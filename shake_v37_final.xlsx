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erformance Shake v32" sheetId="1" state="visible" r:id="rId1"/>
    <sheet name="Master Totals" sheetId="2" state="visible" r:id="rId2"/>
    <sheet name="Safety &amp; Timing" sheetId="3" state="visible" r:id="rId3"/>
    <sheet name="Onboarding &amp; Ramp" sheetId="4" state="visible" r:id="rId4"/>
    <sheet name="General Info &amp; Advice" sheetId="5" state="visible" r:id="rId5"/>
    <sheet name="Ideal vs Actual" sheetId="6" state="visible" r:id="rId6"/>
    <sheet name="How To Make" sheetId="7" state="visible" r:id="rId7"/>
    <sheet name="Shopping List"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quot; days&quot;"/>
    <numFmt numFmtId="165" formatCode="\$#,##0.00"/>
    <numFmt numFmtId="166" formatCode="#,##0.0"/>
    <numFmt numFmtId="167" formatCode="0.000"/>
    <numFmt numFmtId="168" formatCode="$#,##0.00"/>
  </numFmts>
  <fonts count="76">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3"/>
    </font>
    <font>
      <name val="Calibri"/>
      <charset val="1"/>
      <family val="0"/>
      <color rgb="FF595959"/>
      <sz val="9"/>
    </font>
    <font>
      <name val="Calibri"/>
      <charset val="1"/>
      <family val="0"/>
      <b val="1"/>
      <color rgb="FFFFFFFF"/>
      <sz val="11"/>
    </font>
    <font>
      <name val="Calibri"/>
      <charset val="1"/>
      <family val="0"/>
      <b val="1"/>
      <color rgb="FFFFFFFF"/>
      <sz val="8"/>
    </font>
    <font>
      <name val="Cambria"/>
      <charset val="1"/>
      <family val="0"/>
      <b val="1"/>
      <color rgb="FFFFFFFF"/>
      <sz val="8"/>
    </font>
    <font>
      <name val="Calibri"/>
      <charset val="1"/>
      <family val="0"/>
      <sz val="8"/>
    </font>
    <font>
      <name val="Calibri"/>
      <charset val="1"/>
      <family val="0"/>
      <color rgb="FF0563C1"/>
      <sz val="11"/>
      <u val="single"/>
    </font>
    <font>
      <name val="Calibri"/>
      <charset val="1"/>
      <family val="0"/>
      <sz val="10"/>
    </font>
    <font>
      <name val="Cambria"/>
      <charset val="1"/>
      <family val="0"/>
      <b val="1"/>
      <color rgb="FF7F6000"/>
      <sz val="11"/>
    </font>
    <font>
      <name val="Calibri"/>
      <charset val="1"/>
      <family val="0"/>
      <color rgb="FF0563C1"/>
      <sz val="8"/>
      <u val="single"/>
    </font>
    <font>
      <name val="Cambria"/>
      <charset val="1"/>
      <family val="0"/>
      <b val="1"/>
      <color rgb="FF9C0006"/>
      <sz val="11"/>
    </font>
    <font>
      <name val="Calibri"/>
      <charset val="1"/>
      <family val="0"/>
      <i val="1"/>
      <color rgb="FF808080"/>
      <sz val="8"/>
    </font>
    <font>
      <name val="Calibri"/>
      <charset val="1"/>
      <family val="0"/>
      <i val="1"/>
      <color rgb="FF0563C1"/>
      <sz val="8"/>
      <u val="single"/>
    </font>
    <font>
      <name val="Cambria"/>
      <charset val="1"/>
      <family val="0"/>
      <b val="1"/>
      <sz val="11"/>
    </font>
    <font>
      <name val="Calibri"/>
      <charset val="1"/>
      <family val="0"/>
      <b val="1"/>
      <sz val="8"/>
    </font>
    <font>
      <name val="Cambria"/>
      <charset val="1"/>
      <family val="0"/>
      <color rgb="FF375623"/>
      <sz val="11"/>
    </font>
    <font>
      <name val="Calibri"/>
      <charset val="1"/>
      <family val="0"/>
      <b val="1"/>
      <sz val="9"/>
    </font>
    <font>
      <name val="Calibri"/>
      <charset val="1"/>
      <family val="0"/>
      <b val="1"/>
      <color rgb="FF1B7A2B"/>
      <sz val="9"/>
    </font>
    <font>
      <name val="Calibri"/>
      <charset val="1"/>
      <family val="0"/>
      <b val="1"/>
      <color rgb="FFB8860B"/>
      <sz val="9"/>
    </font>
    <font>
      <name val="Calibri"/>
      <charset val="1"/>
      <family val="0"/>
      <b val="1"/>
      <color rgb="FFCC0000"/>
      <sz val="9"/>
    </font>
    <font>
      <name val="Calibri"/>
      <charset val="1"/>
      <family val="0"/>
      <b val="1"/>
      <color rgb="FF8B6914"/>
      <sz val="8"/>
    </font>
    <font>
      <name val="Calibri"/>
      <charset val="1"/>
      <family val="0"/>
      <b val="1"/>
      <color rgb="FF375623"/>
      <sz val="8"/>
    </font>
    <font>
      <name val="Calibri"/>
      <charset val="1"/>
      <family val="0"/>
      <b val="1"/>
      <color rgb="FF1B7A2B"/>
      <sz val="8"/>
    </font>
    <font>
      <name val="Calibri"/>
      <charset val="1"/>
      <family val="0"/>
      <b val="1"/>
      <color rgb="FFB8860B"/>
      <sz val="8"/>
    </font>
    <font>
      <name val="Calibri"/>
      <charset val="1"/>
      <family val="0"/>
      <b val="1"/>
      <color rgb="FFCC0000"/>
      <sz val="8"/>
    </font>
    <font>
      <name val="Cambria"/>
      <charset val="1"/>
      <family val="0"/>
      <b val="1"/>
      <sz val="10"/>
    </font>
    <font>
      <name val="Cambria"/>
      <charset val="1"/>
      <family val="0"/>
      <color rgb="FF333333"/>
      <sz val="10"/>
    </font>
    <font>
      <name val="Calibri"/>
      <charset val="1"/>
      <family val="0"/>
      <sz val="11"/>
    </font>
    <font>
      <name val="Calibri"/>
      <charset val="1"/>
      <family val="0"/>
      <b val="1"/>
      <color rgb="FFFFFFFF"/>
      <sz val="10"/>
    </font>
    <font>
      <name val="Calibri"/>
      <charset val="1"/>
      <family val="0"/>
      <color rgb="FFFFFFFF"/>
      <sz val="9"/>
    </font>
    <font>
      <name val="Calibri"/>
      <charset val="1"/>
      <family val="0"/>
      <color rgb="FF000000"/>
      <sz val="9"/>
    </font>
    <font>
      <name val="Calibri"/>
      <charset val="1"/>
      <family val="0"/>
      <i val="1"/>
      <color rgb="FF444444"/>
      <sz val="8"/>
    </font>
    <font>
      <name val="Calibri"/>
      <charset val="1"/>
      <family val="0"/>
      <color rgb="FF006100"/>
      <sz val="9"/>
    </font>
    <font>
      <name val="Calibri"/>
      <charset val="1"/>
      <family val="0"/>
      <color rgb="FF9C5700"/>
      <sz val="9"/>
    </font>
    <font>
      <name val="Calibri"/>
      <charset val="1"/>
      <family val="0"/>
      <color rgb="FF9C0006"/>
      <sz val="9"/>
    </font>
    <font>
      <name val="Arial"/>
      <family val="2"/>
      <sz val="10"/>
    </font>
    <font>
      <name val="Calibri"/>
      <charset val="1"/>
      <family val="0"/>
      <color rgb="FF808080"/>
      <sz val="8"/>
    </font>
    <font>
      <name val="Calibri"/>
      <charset val="1"/>
      <family val="0"/>
      <color rgb="FFB8860B"/>
      <sz val="8"/>
    </font>
    <font>
      <name val="Calibri"/>
      <charset val="1"/>
      <family val="0"/>
      <i val="1"/>
      <color rgb="FF595959"/>
      <sz val="9"/>
    </font>
    <font>
      <name val="Cambria"/>
      <charset val="1"/>
      <family val="0"/>
      <b val="1"/>
      <color rgb="FFFFFFFF"/>
      <sz val="10"/>
    </font>
    <font>
      <name val="Cambria"/>
      <charset val="1"/>
      <family val="0"/>
      <sz val="9"/>
    </font>
    <font>
      <name val="Cambria"/>
      <charset val="1"/>
      <family val="0"/>
      <b val="1"/>
      <color rgb="FF059669"/>
      <sz val="9"/>
    </font>
    <font>
      <name val="Cambria"/>
      <charset val="1"/>
      <family val="0"/>
      <color rgb="FF6B7280"/>
      <sz val="8"/>
    </font>
    <font>
      <name val="Cambria"/>
      <charset val="1"/>
      <family val="0"/>
      <b val="1"/>
      <color rgb="FFD97706"/>
      <sz val="9"/>
    </font>
    <font>
      <name val="Cambria"/>
      <charset val="1"/>
      <family val="0"/>
      <b val="1"/>
      <color rgb="FFEA580C"/>
      <sz val="9"/>
    </font>
    <font>
      <name val="Cambria"/>
      <charset val="1"/>
      <family val="0"/>
      <b val="1"/>
      <sz val="14"/>
    </font>
    <font>
      <name val="Cambria"/>
      <charset val="1"/>
      <family val="0"/>
      <b val="1"/>
      <color rgb="FF059669"/>
      <sz val="14"/>
    </font>
    <font>
      <name val="Cambria"/>
      <charset val="1"/>
      <family val="0"/>
      <b val="1"/>
      <color rgb="FFDC2626"/>
      <sz val="14"/>
    </font>
    <font>
      <name val="Cambria"/>
      <charset val="1"/>
      <family val="0"/>
      <b val="1"/>
      <color rgb="FFD97706"/>
      <sz val="14"/>
    </font>
    <font>
      <strike val="1"/>
      <color rgb="FF999999"/>
    </font>
    <font>
      <b val="1"/>
      <color rgb="FFFFFFFF"/>
      <sz val="10"/>
    </font>
    <font>
      <b val="1"/>
      <sz val="11"/>
    </font>
    <font>
      <sz val="9"/>
    </font>
    <font>
      <b val="1"/>
      <sz val="10"/>
    </font>
    <font>
      <b val="1"/>
      <color rgb="FF059669"/>
      <sz val="9"/>
    </font>
    <font>
      <color rgb="FF6B7280"/>
      <sz val="8"/>
    </font>
    <font>
      <b val="1"/>
      <color rgb="FFD97706"/>
      <sz val="9"/>
    </font>
    <font>
      <b val="1"/>
      <color rgb="FFEA580C"/>
      <sz val="9"/>
    </font>
    <font>
      <b val="1"/>
      <sz val="14"/>
    </font>
    <font>
      <b val="1"/>
      <color rgb="FF059669"/>
      <sz val="14"/>
    </font>
    <font>
      <b val="1"/>
      <color rgb="FFDC2626"/>
      <sz val="14"/>
    </font>
    <font>
      <b val="1"/>
      <color rgb="FFD97706"/>
      <sz val="14"/>
    </font>
    <font>
      <b val="1"/>
      <color rgb="FFDC2626"/>
      <sz val="9"/>
    </font>
    <font>
      <name val="Calibri"/>
      <color rgb="FF0563C1"/>
      <sz val="11"/>
      <u val="single"/>
    </font>
    <font>
      <name val="Calibri"/>
      <strike val="1"/>
      <color rgb="00999999"/>
      <sz val="8"/>
    </font>
    <font>
      <name val="Cambria"/>
      <strike val="1"/>
      <color rgb="00999999"/>
      <sz val="11"/>
    </font>
    <font>
      <name val="Calibri"/>
      <sz val="11"/>
    </font>
    <font>
      <name val="Calibri"/>
      <b val="1"/>
      <color rgb="002F5496"/>
      <sz val="16"/>
    </font>
    <font>
      <name val="Calibri"/>
      <b val="1"/>
      <color rgb="002F5496"/>
      <sz val="12"/>
    </font>
    <font>
      <name val="Calibri"/>
      <b val="1"/>
      <color rgb="00FFFFFF"/>
      <sz val="12"/>
    </font>
    <font>
      <name val="Calibri"/>
      <b val="1"/>
      <sz val="11"/>
    </font>
    <font>
      <name val="Calibri"/>
      <i val="1"/>
      <color rgb="00C00000"/>
      <sz val="11"/>
    </font>
  </fonts>
  <fills count="33">
    <fill>
      <patternFill/>
    </fill>
    <fill>
      <patternFill patternType="gray125"/>
    </fill>
    <fill>
      <patternFill patternType="solid">
        <fgColor rgb="FF2E75B6"/>
        <bgColor rgb="FF0563C1"/>
      </patternFill>
    </fill>
    <fill>
      <patternFill patternType="solid">
        <fgColor rgb="FF2E4057"/>
        <bgColor rgb="FF1F3864"/>
      </patternFill>
    </fill>
    <fill>
      <patternFill patternType="solid">
        <fgColor rgb="FF1F3864"/>
        <bgColor rgb="FF2E4057"/>
      </patternFill>
    </fill>
    <fill>
      <patternFill patternType="solid">
        <fgColor rgb="FFF2F7FB"/>
        <bgColor rgb="FFF3F4F6"/>
      </patternFill>
    </fill>
    <fill>
      <patternFill patternType="solid">
        <fgColor rgb="FFFFB6C1"/>
        <bgColor rgb="FFFFC7CE"/>
      </patternFill>
    </fill>
    <fill>
      <patternFill patternType="solid">
        <fgColor rgb="FFFF0000"/>
        <bgColor rgb="FFCC0000"/>
      </patternFill>
    </fill>
    <fill>
      <patternFill patternType="solid">
        <fgColor rgb="FFFFF2CC"/>
        <bgColor rgb="FFFEF3C7"/>
      </patternFill>
    </fill>
    <fill>
      <patternFill patternType="solid">
        <fgColor rgb="FFFCE4D6"/>
        <bgColor rgb="FFFDE0DC"/>
      </patternFill>
    </fill>
    <fill>
      <patternFill patternType="solid">
        <fgColor rgb="FFD6E4F0"/>
        <bgColor rgb="FFE5E7EB"/>
      </patternFill>
    </fill>
    <fill>
      <patternFill patternType="solid">
        <fgColor rgb="FFE2EFDA"/>
        <bgColor rgb="FFE5E7EB"/>
      </patternFill>
    </fill>
    <fill>
      <patternFill patternType="solid">
        <fgColor rgb="FFB4C6E7"/>
        <bgColor rgb="FFCCCCCC"/>
      </patternFill>
    </fill>
    <fill>
      <patternFill patternType="solid">
        <fgColor rgb="FFFDE0DC"/>
        <bgColor rgb="FFFEE2E2"/>
      </patternFill>
    </fill>
    <fill>
      <patternFill patternType="solid">
        <fgColor rgb="FFD1FAE5"/>
        <bgColor rgb="FFC6EFCE"/>
      </patternFill>
    </fill>
    <fill>
      <patternFill patternType="solid">
        <fgColor rgb="FFFEF3C7"/>
        <bgColor rgb="FFFFF2CC"/>
      </patternFill>
    </fill>
    <fill>
      <patternFill patternType="solid">
        <fgColor rgb="FFFEE2E2"/>
        <bgColor rgb="FFFDE0DC"/>
      </patternFill>
    </fill>
    <fill>
      <patternFill patternType="solid">
        <fgColor rgb="FF2C2C2C"/>
        <bgColor rgb="FF333333"/>
      </patternFill>
    </fill>
    <fill>
      <patternFill patternType="solid">
        <fgColor rgb="FFC6EFCE"/>
        <bgColor rgb="FFD1FAE5"/>
      </patternFill>
    </fill>
    <fill>
      <patternFill patternType="solid">
        <fgColor rgb="FFFFEB9C"/>
        <bgColor rgb="FFFEF3C7"/>
      </patternFill>
    </fill>
    <fill>
      <patternFill patternType="solid">
        <fgColor rgb="FFFFC7CE"/>
        <bgColor rgb="FFFFB6C1"/>
      </patternFill>
    </fill>
    <fill>
      <patternFill patternType="solid">
        <fgColor rgb="FFD9D9D9"/>
        <bgColor rgb="FFD6E4F0"/>
      </patternFill>
    </fill>
    <fill>
      <patternFill patternType="solid">
        <fgColor rgb="FF1F2937"/>
        <bgColor rgb="FF2C2C2C"/>
      </patternFill>
    </fill>
    <fill>
      <patternFill patternType="solid">
        <fgColor rgb="FFF3F4F6"/>
        <bgColor rgb="FFF2F7FB"/>
      </patternFill>
    </fill>
    <fill>
      <patternFill patternType="solid">
        <fgColor rgb="FFFED7AA"/>
        <bgColor rgb="FFFFEB9C"/>
      </patternFill>
    </fill>
    <fill>
      <patternFill patternType="solid">
        <fgColor rgb="FFD1FAE5"/>
        <bgColor rgb="FFD1FAE5"/>
      </patternFill>
    </fill>
    <fill>
      <patternFill patternType="solid">
        <fgColor rgb="FFFEF3C7"/>
        <bgColor rgb="FFFEF3C7"/>
      </patternFill>
    </fill>
    <fill>
      <patternFill patternType="solid">
        <fgColor rgb="FFFEE2E2"/>
        <bgColor rgb="FFFEE2E2"/>
      </patternFill>
    </fill>
    <fill>
      <patternFill patternType="solid">
        <fgColor rgb="FF1F2937"/>
        <bgColor rgb="FF1F2937"/>
      </patternFill>
    </fill>
    <fill>
      <patternFill patternType="solid">
        <fgColor rgb="FFF3F4F6"/>
        <bgColor rgb="FFF3F4F6"/>
      </patternFill>
    </fill>
    <fill>
      <patternFill patternType="solid">
        <fgColor rgb="FFFED7AA"/>
        <bgColor rgb="FFFED7AA"/>
      </patternFill>
    </fill>
    <fill>
      <patternFill patternType="solid">
        <fgColor rgb="00D9D9D9"/>
      </patternFill>
    </fill>
    <fill>
      <patternFill patternType="solid">
        <fgColor rgb="002F5496"/>
      </patternFill>
    </fill>
  </fills>
  <borders count="25">
    <border>
      <left/>
      <right/>
      <top/>
      <bottom/>
      <diagonal/>
    </border>
    <border>
      <left style="medium">
        <color rgb="FFB8860B"/>
      </left>
      <right style="medium">
        <color rgb="FFB8860B"/>
      </right>
      <top style="medium">
        <color rgb="FFB8860B"/>
      </top>
      <bottom style="medium">
        <color rgb="FFB8860B"/>
      </bottom>
      <diagonal/>
    </border>
    <border>
      <left style="thick">
        <color rgb="FF00B050"/>
      </left>
      <right style="thick">
        <color rgb="FF00B050"/>
      </right>
      <top style="thick">
        <color rgb="FF00B050"/>
      </top>
      <bottom style="thick">
        <color rgb="FF00B050"/>
      </bottom>
      <diagonal/>
    </border>
    <border>
      <left style="thick">
        <color rgb="FFB8860B"/>
      </left>
      <right style="thick">
        <color rgb="FFB8860B"/>
      </right>
      <top style="thick">
        <color rgb="FFB8860B"/>
      </top>
      <bottom style="thick">
        <color rgb="FFB8860B"/>
      </bottom>
      <diagonal/>
    </border>
    <border>
      <left style="thick">
        <color rgb="FF008080"/>
      </left>
      <right style="thick">
        <color rgb="FF008080"/>
      </right>
      <top style="thick">
        <color rgb="FF008080"/>
      </top>
      <bottom style="thick">
        <color rgb="FF008080"/>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style="thin">
        <color rgb="FFE5E7EB"/>
      </bottom>
      <diagonal/>
    </border>
    <border>
      <left/>
      <right/>
      <top style="thin">
        <color rgb="FFCCCCCC"/>
      </top>
      <bottom/>
      <diagonal/>
    </border>
    <border>
      <left/>
      <right style="thin">
        <color rgb="FFCCCCCC"/>
      </right>
      <top style="thin">
        <color rgb="FFCCCCCC"/>
      </top>
      <bottom/>
      <diagonal/>
    </border>
    <border>
      <left/>
      <right/>
      <top style="thick">
        <color rgb="FF00B050"/>
      </top>
      <bottom/>
      <diagonal/>
    </border>
    <border>
      <left/>
      <right style="thick">
        <color rgb="FF00B050"/>
      </right>
      <top style="thick">
        <color rgb="FF00B050"/>
      </top>
      <bottom/>
      <diagonal/>
    </border>
    <border>
      <left/>
      <right/>
      <top style="thick">
        <color rgb="FF00B050"/>
      </top>
      <bottom style="thick">
        <color rgb="FF00B050"/>
      </bottom>
      <diagonal/>
    </border>
    <border>
      <left/>
      <right style="thick">
        <color rgb="FF00B050"/>
      </right>
      <top style="thick">
        <color rgb="FF00B050"/>
      </top>
      <bottom style="thick">
        <color rgb="FF00B050"/>
      </bottom>
      <diagonal/>
    </border>
    <border>
      <left/>
      <right/>
      <top style="thick">
        <color rgb="FF008080"/>
      </top>
      <bottom/>
      <diagonal/>
    </border>
    <border>
      <left/>
      <right style="thick">
        <color rgb="FF008080"/>
      </right>
      <top style="thick">
        <color rgb="FF008080"/>
      </top>
      <bottom/>
      <diagonal/>
    </border>
    <border>
      <left/>
      <right/>
      <top style="thick">
        <color rgb="FF008080"/>
      </top>
      <bottom style="thick">
        <color rgb="FF008080"/>
      </bottom>
      <diagonal/>
    </border>
    <border>
      <left/>
      <right style="thick">
        <color rgb="FF008080"/>
      </right>
      <top style="thick">
        <color rgb="FF008080"/>
      </top>
      <bottom style="thick">
        <color rgb="FF008080"/>
      </bottom>
      <diagonal/>
    </border>
    <border>
      <left/>
      <right/>
      <top style="thick">
        <color rgb="FFB8860B"/>
      </top>
      <bottom/>
      <diagonal/>
    </border>
    <border>
      <left/>
      <right style="thick">
        <color rgb="FFB8860B"/>
      </right>
      <top style="thick">
        <color rgb="FFB8860B"/>
      </top>
      <bottom/>
      <diagonal/>
    </border>
    <border>
      <left/>
      <right/>
      <top style="thick">
        <color rgb="FFB8860B"/>
      </top>
      <bottom style="thick">
        <color rgb="FFB8860B"/>
      </bottom>
      <diagonal/>
    </border>
    <border>
      <left/>
      <right style="thick">
        <color rgb="FFB8860B"/>
      </right>
      <top style="thick">
        <color rgb="FFB8860B"/>
      </top>
      <bottom style="thick">
        <color rgb="FFB8860B"/>
      </bottom>
      <diagonal/>
    </border>
    <border>
      <bottom style="thin">
        <color rgb="FFE5E7EB"/>
      </bottom>
    </border>
    <border>
      <left style="thick">
        <color rgb="FF00B050"/>
      </left>
      <right style="thick">
        <color rgb="FF00B050"/>
      </right>
      <top style="thick">
        <color rgb="FF00B050"/>
      </top>
      <bottom style="thick">
        <color rgb="FF00B05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7" fillId="3" borderId="0" applyAlignment="1" pivotButton="0" quotePrefix="0" xfId="0">
      <alignment horizontal="center" vertical="center" wrapText="1"/>
    </xf>
    <xf numFmtId="0" fontId="0" fillId="0" borderId="0" applyAlignment="1" pivotButton="0" quotePrefix="0" xfId="0">
      <alignment horizontal="general" vertical="bottom"/>
    </xf>
    <xf numFmtId="0" fontId="7" fillId="4" borderId="0" applyAlignment="1" pivotButton="0" quotePrefix="0" xfId="0">
      <alignment horizontal="center" vertical="center" wrapText="1"/>
    </xf>
    <xf numFmtId="0" fontId="7" fillId="4" borderId="0" applyAlignment="1" pivotButton="0" quotePrefix="0" xfId="0">
      <alignment horizontal="center" vertical="center" wrapText="1"/>
    </xf>
    <xf numFmtId="0" fontId="8" fillId="4" borderId="0"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0" applyAlignment="1" pivotButton="0" quotePrefix="0" xfId="0">
      <alignment horizontal="general" vertical="bottom"/>
    </xf>
    <xf numFmtId="0" fontId="9" fillId="5" borderId="0" applyAlignment="1" pivotButton="0" quotePrefix="0" xfId="0">
      <alignment horizontal="general" vertical="bottom"/>
    </xf>
    <xf numFmtId="0" fontId="9" fillId="5" borderId="0" applyAlignment="1" pivotButton="0" quotePrefix="0" xfId="0">
      <alignment horizontal="general" vertical="bottom"/>
    </xf>
    <xf numFmtId="0" fontId="9" fillId="5" borderId="0" applyAlignment="1" pivotButton="0" quotePrefix="0" xfId="0">
      <alignment horizontal="center" vertical="center"/>
    </xf>
    <xf numFmtId="164" fontId="9" fillId="5" borderId="0" applyAlignment="1" pivotButton="0" quotePrefix="0" xfId="0">
      <alignment horizontal="center" vertical="center"/>
    </xf>
    <xf numFmtId="165" fontId="9" fillId="5" borderId="0" applyAlignment="1" pivotButton="0" quotePrefix="0" xfId="0">
      <alignment horizontal="center" vertical="center"/>
    </xf>
    <xf numFmtId="3" fontId="10" fillId="0" borderId="2" applyAlignment="1" pivotButton="0" quotePrefix="0" xfId="0">
      <alignment horizontal="right" vertical="center"/>
    </xf>
    <xf numFmtId="166" fontId="10" fillId="0" borderId="2" applyAlignment="1" pivotButton="0" quotePrefix="0" xfId="0">
      <alignment horizontal="right" vertical="center"/>
    </xf>
    <xf numFmtId="166" fontId="10" fillId="0" borderId="3" applyAlignment="1" pivotButton="0" quotePrefix="0" xfId="0">
      <alignment horizontal="right" vertical="center"/>
    </xf>
    <xf numFmtId="0" fontId="10" fillId="0" borderId="2" applyAlignment="1" pivotButton="0" quotePrefix="0" xfId="0">
      <alignment horizontal="right" vertical="center"/>
    </xf>
    <xf numFmtId="2" fontId="11" fillId="5" borderId="0" applyAlignment="1" pivotButton="0" quotePrefix="0" xfId="0">
      <alignment horizontal="center" vertical="center"/>
    </xf>
    <xf numFmtId="166" fontId="10" fillId="0" borderId="4" applyAlignment="1" pivotButton="0" quotePrefix="0" xfId="0">
      <alignment horizontal="right" vertical="center"/>
    </xf>
    <xf numFmtId="166" fontId="10" fillId="6" borderId="4" applyAlignment="1" pivotButton="0" quotePrefix="0" xfId="0">
      <alignment horizontal="right" vertical="center"/>
    </xf>
    <xf numFmtId="167" fontId="10" fillId="0" borderId="2" applyAlignment="1" pivotButton="0" quotePrefix="0" xfId="0">
      <alignment horizontal="right" vertical="center"/>
    </xf>
    <xf numFmtId="166" fontId="9" fillId="0" borderId="2" applyAlignment="1" pivotButton="0" quotePrefix="0" xfId="0">
      <alignment horizontal="right" vertical="center"/>
    </xf>
    <xf numFmtId="0" fontId="10" fillId="0" borderId="3" applyAlignment="1" pivotButton="0" quotePrefix="0" xfId="0">
      <alignment horizontal="right" vertical="center"/>
    </xf>
    <xf numFmtId="0" fontId="10" fillId="6" borderId="3" applyAlignment="1" pivotButton="0" quotePrefix="0" xfId="0">
      <alignment horizontal="right" vertical="center"/>
    </xf>
    <xf numFmtId="0" fontId="10" fillId="7" borderId="3" applyAlignment="1" pivotButton="0" quotePrefix="0" xfId="0">
      <alignment horizontal="right" vertical="center"/>
    </xf>
    <xf numFmtId="0" fontId="10" fillId="6" borderId="4" applyAlignment="1" pivotButton="0" quotePrefix="0" xfId="0">
      <alignment horizontal="right" vertical="center"/>
    </xf>
    <xf numFmtId="0" fontId="10" fillId="0" borderId="4" applyAlignment="1" pivotButton="0" quotePrefix="0" xfId="0">
      <alignment horizontal="right" vertical="center"/>
    </xf>
    <xf numFmtId="0" fontId="10" fillId="0" borderId="3" applyAlignment="1" pivotButton="0" quotePrefix="0" xfId="0">
      <alignment horizontal="general" vertical="bottom"/>
    </xf>
    <xf numFmtId="0" fontId="9" fillId="0" borderId="0" applyAlignment="1" pivotButton="0" quotePrefix="0" xfId="0">
      <alignment horizontal="general" vertical="bottom"/>
    </xf>
    <xf numFmtId="0" fontId="9" fillId="0" borderId="0" applyAlignment="1" pivotButton="0" quotePrefix="0" xfId="0">
      <alignment horizontal="general" vertical="bottom"/>
    </xf>
    <xf numFmtId="0" fontId="9" fillId="0" borderId="0" applyAlignment="1" pivotButton="0" quotePrefix="0" xfId="0">
      <alignment horizontal="center" vertical="center"/>
    </xf>
    <xf numFmtId="164" fontId="9" fillId="0" borderId="0" applyAlignment="1" pivotButton="0" quotePrefix="0" xfId="0">
      <alignment horizontal="center" vertical="center"/>
    </xf>
    <xf numFmtId="165" fontId="9" fillId="0" borderId="0" applyAlignment="1" pivotButton="0" quotePrefix="0" xfId="0">
      <alignment horizontal="center" vertical="center"/>
    </xf>
    <xf numFmtId="2" fontId="11" fillId="0" borderId="0" applyAlignment="1" pivotButton="0" quotePrefix="0" xfId="0">
      <alignment horizontal="center" vertical="center"/>
    </xf>
    <xf numFmtId="166" fontId="10" fillId="6" borderId="3" applyAlignment="1" pivotButton="0" quotePrefix="0" xfId="0">
      <alignment horizontal="right" vertical="center"/>
    </xf>
    <xf numFmtId="166" fontId="10" fillId="7" borderId="3" applyAlignment="1" pivotButton="0" quotePrefix="0" xfId="0">
      <alignment horizontal="right" vertical="center"/>
    </xf>
    <xf numFmtId="0" fontId="12" fillId="8" borderId="0" applyAlignment="1" pivotButton="0" quotePrefix="0" xfId="0">
      <alignment horizontal="general" vertical="bottom"/>
    </xf>
    <xf numFmtId="3" fontId="13" fillId="0" borderId="2" applyAlignment="1" pivotButton="0" quotePrefix="0" xfId="0">
      <alignment horizontal="right" vertical="center"/>
    </xf>
    <xf numFmtId="166" fontId="13" fillId="0" borderId="2" applyAlignment="1" pivotButton="0" quotePrefix="0" xfId="0">
      <alignment horizontal="right" vertical="center"/>
    </xf>
    <xf numFmtId="166" fontId="13" fillId="6" borderId="2" applyAlignment="1" pivotButton="0" quotePrefix="0" xfId="0">
      <alignment horizontal="right" vertical="center"/>
    </xf>
    <xf numFmtId="167" fontId="13" fillId="0" borderId="2" applyAlignment="1" pivotButton="0" quotePrefix="0" xfId="0">
      <alignment horizontal="right" vertical="center"/>
    </xf>
    <xf numFmtId="166" fontId="13" fillId="0" borderId="3" applyAlignment="1" pivotButton="0" quotePrefix="0" xfId="0">
      <alignment horizontal="right" vertical="center"/>
    </xf>
    <xf numFmtId="166" fontId="13" fillId="7" borderId="3" applyAlignment="1" pivotButton="0" quotePrefix="0" xfId="0">
      <alignment horizontal="right" vertical="center"/>
    </xf>
    <xf numFmtId="0" fontId="10" fillId="6" borderId="2" applyAlignment="1" pivotButton="0" quotePrefix="0" xfId="0">
      <alignment horizontal="right" vertical="center"/>
    </xf>
    <xf numFmtId="0" fontId="10" fillId="6" borderId="3" applyAlignment="1" pivotButton="0" quotePrefix="0" xfId="0">
      <alignment horizontal="general" vertical="bottom"/>
    </xf>
    <xf numFmtId="3" fontId="13" fillId="0" borderId="4" applyAlignment="1" pivotButton="0" quotePrefix="0" xfId="0">
      <alignment horizontal="right" vertical="center"/>
    </xf>
    <xf numFmtId="166" fontId="13" fillId="0" borderId="4" applyAlignment="1" pivotButton="0" quotePrefix="0" xfId="0">
      <alignment horizontal="right" vertical="center"/>
    </xf>
    <xf numFmtId="166" fontId="13" fillId="6" borderId="4" applyAlignment="1" pivotButton="0" quotePrefix="0" xfId="0">
      <alignment horizontal="right" vertical="center"/>
    </xf>
    <xf numFmtId="166" fontId="13" fillId="6" borderId="3" applyAlignment="1" pivotButton="0" quotePrefix="0" xfId="0">
      <alignment horizontal="right" vertical="center"/>
    </xf>
    <xf numFmtId="0" fontId="10" fillId="7" borderId="3" applyAlignment="1" pivotButton="0" quotePrefix="0" xfId="0">
      <alignment horizontal="general" vertical="bottom"/>
    </xf>
    <xf numFmtId="0" fontId="10" fillId="0" borderId="2" applyAlignment="1" pivotButton="0" quotePrefix="0" xfId="0">
      <alignment horizontal="general" vertical="bottom"/>
    </xf>
    <xf numFmtId="3" fontId="13" fillId="0" borderId="3" applyAlignment="1" pivotButton="0" quotePrefix="0" xfId="0">
      <alignment horizontal="right" vertical="center"/>
    </xf>
    <xf numFmtId="3" fontId="13" fillId="6" borderId="4" applyAlignment="1" pivotButton="0" quotePrefix="0" xfId="0">
      <alignment horizontal="right" vertical="center"/>
    </xf>
    <xf numFmtId="3" fontId="13" fillId="6" borderId="2" applyAlignment="1" pivotButton="0" quotePrefix="0" xfId="0">
      <alignment horizontal="right" vertical="center"/>
    </xf>
    <xf numFmtId="0" fontId="14" fillId="9" borderId="0" applyAlignment="1" pivotButton="0" quotePrefix="0" xfId="0">
      <alignment horizontal="general" vertical="bottom"/>
    </xf>
    <xf numFmtId="0" fontId="15" fillId="0" borderId="0" applyAlignment="1" pivotButton="0" quotePrefix="0" xfId="0">
      <alignment horizontal="general" vertical="bottom"/>
    </xf>
    <xf numFmtId="0" fontId="16" fillId="6" borderId="3" applyAlignment="1" pivotButton="0" quotePrefix="0" xfId="0">
      <alignment horizontal="general" vertical="bottom"/>
    </xf>
    <xf numFmtId="0" fontId="0" fillId="0" borderId="2" applyAlignment="1" pivotButton="0" quotePrefix="0" xfId="0">
      <alignment horizontal="general" vertical="bottom"/>
    </xf>
    <xf numFmtId="0" fontId="16" fillId="0" borderId="2" applyAlignment="1" pivotButton="0" quotePrefix="0" xfId="0">
      <alignment horizontal="general" vertical="bottom"/>
    </xf>
    <xf numFmtId="0" fontId="10" fillId="0" borderId="4" applyAlignment="1" pivotButton="0" quotePrefix="0" xfId="0">
      <alignment horizontal="general" vertical="bottom"/>
    </xf>
    <xf numFmtId="0" fontId="10" fillId="6" borderId="4" applyAlignment="1" pivotButton="0" quotePrefix="0" xfId="0">
      <alignment horizontal="general" vertical="bottom"/>
    </xf>
    <xf numFmtId="0" fontId="17" fillId="10" borderId="0" applyAlignment="1" pivotButton="0" quotePrefix="0" xfId="0">
      <alignment horizontal="general" vertical="bottom"/>
    </xf>
    <xf numFmtId="0" fontId="18" fillId="10" borderId="0" applyAlignment="1" pivotButton="0" quotePrefix="0" xfId="0">
      <alignment horizontal="general" vertical="bottom"/>
    </xf>
    <xf numFmtId="165" fontId="17" fillId="10" borderId="0" applyAlignment="1" pivotButton="0" quotePrefix="0" xfId="0">
      <alignment horizontal="center" vertical="bottom"/>
    </xf>
    <xf numFmtId="3" fontId="18" fillId="10" borderId="0" applyAlignment="1" pivotButton="0" quotePrefix="0" xfId="0">
      <alignment horizontal="right" vertical="center"/>
    </xf>
    <xf numFmtId="166" fontId="18" fillId="10" borderId="0" applyAlignment="1" pivotButton="0" quotePrefix="0" xfId="0">
      <alignment horizontal="right" vertical="center"/>
    </xf>
    <xf numFmtId="0" fontId="6" fillId="2" borderId="0" applyAlignment="1" pivotButton="0" quotePrefix="0" xfId="0">
      <alignment horizontal="general" vertical="bottom"/>
    </xf>
    <xf numFmtId="167" fontId="7" fillId="4" borderId="0" applyAlignment="1" pivotButton="0" quotePrefix="0" xfId="0">
      <alignment horizontal="center" vertical="center" wrapText="1"/>
    </xf>
    <xf numFmtId="3" fontId="10" fillId="6" borderId="2" applyAlignment="1" pivotButton="0" quotePrefix="0" xfId="0">
      <alignment horizontal="right" vertical="center"/>
    </xf>
    <xf numFmtId="0" fontId="9" fillId="8" borderId="0" applyAlignment="1" pivotButton="0" quotePrefix="0" xfId="0">
      <alignment horizontal="general" vertical="bottom"/>
    </xf>
    <xf numFmtId="0" fontId="9" fillId="11" borderId="0" applyAlignment="1" pivotButton="0" quotePrefix="0" xfId="0">
      <alignment horizontal="general" vertical="bottom"/>
    </xf>
    <xf numFmtId="0" fontId="19" fillId="11" borderId="0" applyAlignment="1" pivotButton="0" quotePrefix="0" xfId="0">
      <alignment horizontal="general" vertical="bottom"/>
    </xf>
    <xf numFmtId="0" fontId="20" fillId="12" borderId="0" applyAlignment="1" pivotButton="0" quotePrefix="0" xfId="0">
      <alignment horizontal="general" vertical="bottom"/>
    </xf>
    <xf numFmtId="0" fontId="0" fillId="12" borderId="0" applyAlignment="1" pivotButton="0" quotePrefix="0" xfId="0">
      <alignment horizontal="general" vertical="bottom"/>
    </xf>
    <xf numFmtId="3" fontId="21" fillId="11" borderId="2" applyAlignment="1" pivotButton="0" quotePrefix="0" xfId="0">
      <alignment horizontal="right" vertical="center"/>
    </xf>
    <xf numFmtId="166" fontId="21" fillId="11" borderId="2" applyAlignment="1" pivotButton="0" quotePrefix="0" xfId="0">
      <alignment horizontal="right" vertical="center"/>
    </xf>
    <xf numFmtId="166" fontId="22" fillId="8" borderId="2" applyAlignment="1" pivotButton="0" quotePrefix="0" xfId="0">
      <alignment horizontal="right" vertical="center"/>
    </xf>
    <xf numFmtId="166" fontId="22" fillId="8" borderId="0" applyAlignment="1" pivotButton="0" quotePrefix="0" xfId="0">
      <alignment horizontal="right" vertical="center"/>
    </xf>
    <xf numFmtId="166" fontId="23" fillId="13" borderId="0" applyAlignment="1" pivotButton="0" quotePrefix="0" xfId="0">
      <alignment horizontal="right" vertical="center"/>
    </xf>
    <xf numFmtId="166" fontId="22" fillId="8" borderId="0" applyAlignment="1" pivotButton="0" quotePrefix="0" xfId="0">
      <alignment horizontal="right" vertical="center"/>
    </xf>
    <xf numFmtId="166" fontId="21" fillId="11" borderId="0" applyAlignment="1" pivotButton="0" quotePrefix="0" xfId="0">
      <alignment horizontal="right" vertical="center"/>
    </xf>
    <xf numFmtId="166" fontId="23" fillId="13" borderId="2" applyAlignment="1" pivotButton="0" quotePrefix="0" xfId="0">
      <alignment horizontal="right" vertical="center"/>
    </xf>
    <xf numFmtId="166" fontId="21" fillId="11" borderId="0" applyAlignment="1" pivotButton="0" quotePrefix="0" xfId="0">
      <alignment horizontal="right" vertical="center"/>
    </xf>
    <xf numFmtId="0" fontId="20" fillId="11" borderId="0" applyAlignment="1" pivotButton="0" quotePrefix="0" xfId="0">
      <alignment horizontal="general" vertical="bottom"/>
    </xf>
    <xf numFmtId="0" fontId="24" fillId="8" borderId="0" applyAlignment="1" pivotButton="0" quotePrefix="0" xfId="0">
      <alignment horizontal="right" vertical="center"/>
    </xf>
    <xf numFmtId="0" fontId="18" fillId="8" borderId="0" applyAlignment="1" pivotButton="0" quotePrefix="0" xfId="0">
      <alignment horizontal="general" vertical="bottom"/>
    </xf>
    <xf numFmtId="3" fontId="24" fillId="8" borderId="0" applyAlignment="1" pivotButton="0" quotePrefix="0" xfId="0">
      <alignment horizontal="right" vertical="center"/>
    </xf>
    <xf numFmtId="0" fontId="25" fillId="11" borderId="0" applyAlignment="1" pivotButton="0" quotePrefix="0" xfId="0">
      <alignment horizontal="right" vertical="center"/>
    </xf>
    <xf numFmtId="0" fontId="18" fillId="11" borderId="0" applyAlignment="1" pivotButton="0" quotePrefix="0" xfId="0">
      <alignment horizontal="general" vertical="bottom"/>
    </xf>
    <xf numFmtId="0" fontId="26" fillId="11" borderId="0" applyAlignment="1" pivotButton="0" quotePrefix="0" xfId="0">
      <alignment horizontal="right" vertical="center"/>
    </xf>
    <xf numFmtId="0" fontId="27" fillId="8" borderId="0" applyAlignment="1" pivotButton="0" quotePrefix="0" xfId="0">
      <alignment horizontal="right" vertical="center"/>
    </xf>
    <xf numFmtId="0" fontId="28" fillId="13" borderId="0" applyAlignment="1" pivotButton="0" quotePrefix="0" xfId="0">
      <alignment horizontal="right" vertical="center"/>
    </xf>
    <xf numFmtId="0" fontId="29" fillId="0" borderId="0" applyAlignment="1" pivotButton="0" quotePrefix="0" xfId="0">
      <alignment horizontal="general" vertical="bottom"/>
    </xf>
    <xf numFmtId="0" fontId="30" fillId="14" borderId="0" applyAlignment="1" pivotButton="0" quotePrefix="0" xfId="0">
      <alignment horizontal="general" vertical="bottom"/>
    </xf>
    <xf numFmtId="0" fontId="30" fillId="15" borderId="0" applyAlignment="1" pivotButton="0" quotePrefix="0" xfId="0">
      <alignment horizontal="general" vertical="bottom"/>
    </xf>
    <xf numFmtId="0" fontId="30" fillId="0" borderId="0" applyAlignment="1" pivotButton="0" quotePrefix="0" xfId="0">
      <alignment horizontal="general" vertical="bottom"/>
    </xf>
    <xf numFmtId="0" fontId="30" fillId="16" borderId="0" applyAlignment="1" pivotButton="0" quotePrefix="0" xfId="0">
      <alignment horizontal="general" vertical="bottom"/>
    </xf>
    <xf numFmtId="0" fontId="31" fillId="0" borderId="0" applyAlignment="1" pivotButton="0" quotePrefix="0" xfId="0">
      <alignment horizontal="general" vertical="bottom"/>
    </xf>
    <xf numFmtId="0" fontId="32" fillId="0" borderId="5" applyAlignment="1" pivotButton="0" quotePrefix="0" xfId="0">
      <alignment horizontal="left" vertical="center" wrapText="1"/>
    </xf>
    <xf numFmtId="0" fontId="33" fillId="7" borderId="5" applyAlignment="1" pivotButton="0" quotePrefix="0" xfId="0">
      <alignment horizontal="left" vertical="center" wrapText="1"/>
    </xf>
    <xf numFmtId="0" fontId="33" fillId="6" borderId="5" applyAlignment="1" pivotButton="0" quotePrefix="0" xfId="0">
      <alignment horizontal="left" vertical="center" wrapText="1"/>
    </xf>
    <xf numFmtId="0" fontId="33" fillId="0" borderId="5" applyAlignment="1" pivotButton="0" quotePrefix="0" xfId="0">
      <alignment horizontal="left" vertical="center" wrapText="1"/>
    </xf>
    <xf numFmtId="0" fontId="34" fillId="0" borderId="5" applyAlignment="1" pivotButton="0" quotePrefix="0" xfId="0">
      <alignment horizontal="left" vertical="center" wrapText="1"/>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34" fillId="0" borderId="2"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3" applyAlignment="1" pivotButton="0" quotePrefix="0" xfId="0">
      <alignment horizontal="left" vertical="center" wrapText="1"/>
    </xf>
    <xf numFmtId="0" fontId="35" fillId="0" borderId="5" applyAlignment="1" pivotButton="0" quotePrefix="0" xfId="0">
      <alignment horizontal="left" vertical="center" wrapText="1"/>
    </xf>
    <xf numFmtId="0" fontId="32" fillId="17" borderId="5" applyAlignment="1" pivotButton="0" quotePrefix="0" xfId="0">
      <alignment horizontal="left" vertical="center" wrapText="1"/>
    </xf>
    <xf numFmtId="0" fontId="36" fillId="18" borderId="5" applyAlignment="1" pivotButton="0" quotePrefix="0" xfId="0">
      <alignment horizontal="left" vertical="center" wrapText="1"/>
    </xf>
    <xf numFmtId="0" fontId="37" fillId="19" borderId="5" applyAlignment="1" pivotButton="0" quotePrefix="0" xfId="0">
      <alignment horizontal="left" vertical="center" wrapText="1"/>
    </xf>
    <xf numFmtId="0" fontId="38" fillId="20" borderId="5" applyAlignment="1" pivotButton="0" quotePrefix="0" xfId="0">
      <alignment horizontal="left" vertical="center" wrapText="1"/>
    </xf>
    <xf numFmtId="0" fontId="5" fillId="21" borderId="5" applyAlignment="1" pivotButton="0" quotePrefix="0" xfId="0">
      <alignment horizontal="left" vertical="center" wrapText="1"/>
    </xf>
    <xf numFmtId="166" fontId="9" fillId="5" borderId="0" applyAlignment="1" pivotButton="0" quotePrefix="0" xfId="0">
      <alignment horizontal="right" vertical="center"/>
    </xf>
    <xf numFmtId="166" fontId="20" fillId="5" borderId="0" applyAlignment="1" pivotButton="0" quotePrefix="0" xfId="0">
      <alignment horizontal="right" vertical="center"/>
    </xf>
    <xf numFmtId="0" fontId="40" fillId="5" borderId="0" applyAlignment="1" pivotButton="0" quotePrefix="0" xfId="0">
      <alignment horizontal="right" vertical="center"/>
    </xf>
    <xf numFmtId="166" fontId="9" fillId="0" borderId="0" applyAlignment="1" pivotButton="0" quotePrefix="0" xfId="0">
      <alignment horizontal="right" vertical="center"/>
    </xf>
    <xf numFmtId="166" fontId="20" fillId="0" borderId="0" applyAlignment="1" pivotButton="0" quotePrefix="0" xfId="0">
      <alignment horizontal="right" vertical="center"/>
    </xf>
    <xf numFmtId="0" fontId="40" fillId="0" borderId="0" applyAlignment="1" pivotButton="0" quotePrefix="0" xfId="0">
      <alignment horizontal="right" vertical="center"/>
    </xf>
    <xf numFmtId="0" fontId="11" fillId="0" borderId="0" applyAlignment="1" pivotButton="0" quotePrefix="0" xfId="0">
      <alignment horizontal="general" vertical="center"/>
    </xf>
    <xf numFmtId="9" fontId="18" fillId="5" borderId="0" applyAlignment="1" pivotButton="0" quotePrefix="0" xfId="0">
      <alignment horizontal="right" vertical="center"/>
    </xf>
    <xf numFmtId="9" fontId="18" fillId="0" borderId="0" applyAlignment="1" pivotButton="0" quotePrefix="0" xfId="0">
      <alignment horizontal="right" vertical="center"/>
    </xf>
    <xf numFmtId="0" fontId="41" fillId="0" borderId="0" applyAlignment="1" pivotButton="0" quotePrefix="0" xfId="0">
      <alignment horizontal="general" vertical="bottom"/>
    </xf>
    <xf numFmtId="0" fontId="41" fillId="5" borderId="0" applyAlignment="1" pivotButton="0" quotePrefix="0" xfId="0">
      <alignment horizontal="general" vertical="bottom"/>
    </xf>
    <xf numFmtId="0" fontId="28" fillId="0" borderId="0" applyAlignment="1" pivotButton="0" quotePrefix="0" xfId="0">
      <alignment horizontal="general" vertical="bottom"/>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42" fillId="0" borderId="0" applyAlignment="1" pivotButton="0" quotePrefix="0" xfId="0">
      <alignment horizontal="general" vertical="bottom"/>
    </xf>
    <xf numFmtId="0" fontId="9" fillId="5" borderId="0" applyAlignment="1" pivotButton="0" quotePrefix="0" xfId="0">
      <alignment horizontal="general" vertical="top" wrapText="1"/>
    </xf>
    <xf numFmtId="0" fontId="9" fillId="0" borderId="0" applyAlignment="1" pivotButton="0" quotePrefix="0" xfId="0">
      <alignment horizontal="general" vertical="top" wrapText="1"/>
    </xf>
    <xf numFmtId="0" fontId="20" fillId="5" borderId="0" applyAlignment="1" pivotButton="0" quotePrefix="0" xfId="0">
      <alignment horizontal="general" vertical="bottom"/>
    </xf>
    <xf numFmtId="0" fontId="9" fillId="5" borderId="0" applyAlignment="1" pivotButton="0" quotePrefix="0" xfId="0">
      <alignment horizontal="general" vertical="bottom" wrapText="1"/>
    </xf>
    <xf numFmtId="0" fontId="20" fillId="0" borderId="0" applyAlignment="1" pivotButton="0" quotePrefix="0" xfId="0">
      <alignment horizontal="general" vertical="bottom"/>
    </xf>
    <xf numFmtId="0" fontId="9" fillId="0" borderId="0" applyAlignment="1" pivotButton="0" quotePrefix="0" xfId="0">
      <alignment horizontal="general" vertical="bottom" wrapText="1"/>
    </xf>
    <xf numFmtId="0" fontId="9" fillId="5" borderId="0" applyAlignment="1" pivotButton="0" quotePrefix="0" xfId="0">
      <alignment horizontal="general" vertical="bottom" wrapText="1"/>
    </xf>
    <xf numFmtId="0" fontId="9" fillId="0" borderId="0" applyAlignment="1" pivotButton="0" quotePrefix="0" xfId="0">
      <alignment horizontal="general" vertical="bottom" wrapText="1"/>
    </xf>
    <xf numFmtId="0" fontId="43" fillId="22" borderId="0" applyAlignment="1" pivotButton="0" quotePrefix="0" xfId="0">
      <alignment horizontal="center" vertical="bottom" wrapText="1"/>
    </xf>
    <xf numFmtId="0" fontId="17" fillId="23" borderId="0" applyAlignment="1" pivotButton="0" quotePrefix="0" xfId="0">
      <alignment horizontal="general" vertical="bottom"/>
    </xf>
    <xf numFmtId="0" fontId="44" fillId="14" borderId="8" applyAlignment="1" pivotButton="0" quotePrefix="0" xfId="0">
      <alignment horizontal="general" vertical="bottom"/>
    </xf>
    <xf numFmtId="0" fontId="29" fillId="14" borderId="8" applyAlignment="1" pivotButton="0" quotePrefix="0" xfId="0">
      <alignment horizontal="general" vertical="bottom"/>
    </xf>
    <xf numFmtId="0" fontId="45" fillId="14" borderId="8" applyAlignment="1" pivotButton="0" quotePrefix="0" xfId="0">
      <alignment horizontal="general" vertical="bottom"/>
    </xf>
    <xf numFmtId="0" fontId="46" fillId="14" borderId="8" applyAlignment="1" pivotButton="0" quotePrefix="0" xfId="0">
      <alignment horizontal="general" vertical="bottom" wrapText="1"/>
    </xf>
    <xf numFmtId="0" fontId="44" fillId="15" borderId="8" applyAlignment="1" pivotButton="0" quotePrefix="0" xfId="0">
      <alignment horizontal="general" vertical="bottom"/>
    </xf>
    <xf numFmtId="0" fontId="29" fillId="15" borderId="8" applyAlignment="1" pivotButton="0" quotePrefix="0" xfId="0">
      <alignment horizontal="general" vertical="bottom"/>
    </xf>
    <xf numFmtId="0" fontId="47" fillId="15" borderId="8" applyAlignment="1" pivotButton="0" quotePrefix="0" xfId="0">
      <alignment horizontal="general" vertical="bottom"/>
    </xf>
    <xf numFmtId="0" fontId="46" fillId="15" borderId="8" applyAlignment="1" pivotButton="0" quotePrefix="0" xfId="0">
      <alignment horizontal="general" vertical="bottom" wrapText="1"/>
    </xf>
    <xf numFmtId="0" fontId="44" fillId="24" borderId="8" applyAlignment="1" pivotButton="0" quotePrefix="0" xfId="0">
      <alignment horizontal="general" vertical="bottom"/>
    </xf>
    <xf numFmtId="0" fontId="29" fillId="24" borderId="8" applyAlignment="1" pivotButton="0" quotePrefix="0" xfId="0">
      <alignment horizontal="general" vertical="bottom"/>
    </xf>
    <xf numFmtId="0" fontId="48" fillId="24" borderId="8" applyAlignment="1" pivotButton="0" quotePrefix="0" xfId="0">
      <alignment horizontal="general" vertical="bottom"/>
    </xf>
    <xf numFmtId="0" fontId="46" fillId="24" borderId="8" applyAlignment="1" pivotButton="0" quotePrefix="0" xfId="0">
      <alignment horizontal="general" vertical="bottom" wrapText="1"/>
    </xf>
    <xf numFmtId="0" fontId="49" fillId="0" borderId="0" applyAlignment="1" pivotButton="0" quotePrefix="0" xfId="0">
      <alignment horizontal="general" vertical="bottom"/>
    </xf>
    <xf numFmtId="0" fontId="50" fillId="0" borderId="0" applyAlignment="1" pivotButton="0" quotePrefix="0" xfId="0">
      <alignment horizontal="general" vertical="bottom"/>
    </xf>
    <xf numFmtId="0" fontId="51" fillId="0" borderId="0" applyAlignment="1" pivotButton="0" quotePrefix="0" xfId="0">
      <alignment horizontal="general" vertical="bottom"/>
    </xf>
    <xf numFmtId="0" fontId="5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8" fillId="4" borderId="0"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0" applyAlignment="1" pivotButton="0" quotePrefix="0" xfId="0">
      <alignment horizontal="general" vertical="bottom"/>
    </xf>
    <xf numFmtId="0" fontId="9" fillId="5" borderId="0" applyAlignment="1" pivotButton="0" quotePrefix="0" xfId="0">
      <alignment horizontal="general" vertical="bottom"/>
    </xf>
    <xf numFmtId="0" fontId="9" fillId="5" borderId="0" applyAlignment="1" pivotButton="0" quotePrefix="0" xfId="0">
      <alignment horizontal="center" vertical="center"/>
    </xf>
    <xf numFmtId="164" fontId="9" fillId="5" borderId="0" applyAlignment="1" pivotButton="0" quotePrefix="0" xfId="0">
      <alignment horizontal="center" vertical="center"/>
    </xf>
    <xf numFmtId="165" fontId="9" fillId="5" borderId="0" applyAlignment="1" pivotButton="0" quotePrefix="0" xfId="0">
      <alignment horizontal="center" vertical="center"/>
    </xf>
    <xf numFmtId="3" fontId="10" fillId="0" borderId="2" applyAlignment="1" pivotButton="0" quotePrefix="0" xfId="0">
      <alignment horizontal="right" vertical="center"/>
    </xf>
    <xf numFmtId="166" fontId="10" fillId="0" borderId="2" applyAlignment="1" pivotButton="0" quotePrefix="0" xfId="0">
      <alignment horizontal="right" vertical="center"/>
    </xf>
    <xf numFmtId="166" fontId="10" fillId="0" borderId="3" applyAlignment="1" pivotButton="0" quotePrefix="0" xfId="0">
      <alignment horizontal="right" vertical="center"/>
    </xf>
    <xf numFmtId="0" fontId="10" fillId="0" borderId="2" applyAlignment="1" pivotButton="0" quotePrefix="0" xfId="0">
      <alignment horizontal="right" vertical="center"/>
    </xf>
    <xf numFmtId="2" fontId="11" fillId="5" borderId="0" applyAlignment="1" pivotButton="0" quotePrefix="0" xfId="0">
      <alignment horizontal="center" vertical="center"/>
    </xf>
    <xf numFmtId="166" fontId="10" fillId="0" borderId="4" applyAlignment="1" pivotButton="0" quotePrefix="0" xfId="0">
      <alignment horizontal="right" vertical="center"/>
    </xf>
    <xf numFmtId="166" fontId="10" fillId="6" borderId="4" applyAlignment="1" pivotButton="0" quotePrefix="0" xfId="0">
      <alignment horizontal="right" vertical="center"/>
    </xf>
    <xf numFmtId="167" fontId="10" fillId="0" borderId="2" applyAlignment="1" pivotButton="0" quotePrefix="0" xfId="0">
      <alignment horizontal="right" vertical="center"/>
    </xf>
    <xf numFmtId="166" fontId="9" fillId="0" borderId="2" applyAlignment="1" pivotButton="0" quotePrefix="0" xfId="0">
      <alignment horizontal="right" vertical="center"/>
    </xf>
    <xf numFmtId="0" fontId="10" fillId="0" borderId="3" applyAlignment="1" pivotButton="0" quotePrefix="0" xfId="0">
      <alignment horizontal="right" vertical="center"/>
    </xf>
    <xf numFmtId="0" fontId="10" fillId="6" borderId="3" applyAlignment="1" pivotButton="0" quotePrefix="0" xfId="0">
      <alignment horizontal="right" vertical="center"/>
    </xf>
    <xf numFmtId="0" fontId="10" fillId="7" borderId="3" applyAlignment="1" pivotButton="0" quotePrefix="0" xfId="0">
      <alignment horizontal="right" vertical="center"/>
    </xf>
    <xf numFmtId="0" fontId="10" fillId="6" borderId="4" applyAlignment="1" pivotButton="0" quotePrefix="0" xfId="0">
      <alignment horizontal="right" vertical="center"/>
    </xf>
    <xf numFmtId="0" fontId="10" fillId="0" borderId="4" applyAlignment="1" pivotButton="0" quotePrefix="0" xfId="0">
      <alignment horizontal="right" vertical="center"/>
    </xf>
    <xf numFmtId="0" fontId="10" fillId="0" borderId="3" applyAlignment="1" pivotButton="0" quotePrefix="0" xfId="0">
      <alignment horizontal="general" vertical="bottom"/>
    </xf>
    <xf numFmtId="0" fontId="9" fillId="0" borderId="0" applyAlignment="1" pivotButton="0" quotePrefix="0" xfId="0">
      <alignment horizontal="general" vertical="bottom"/>
    </xf>
    <xf numFmtId="0" fontId="9" fillId="0" borderId="0" applyAlignment="1" pivotButton="0" quotePrefix="0" xfId="0">
      <alignment horizontal="center" vertical="center"/>
    </xf>
    <xf numFmtId="164" fontId="9" fillId="0" borderId="0" applyAlignment="1" pivotButton="0" quotePrefix="0" xfId="0">
      <alignment horizontal="center" vertical="center"/>
    </xf>
    <xf numFmtId="165" fontId="9" fillId="0" borderId="0" applyAlignment="1" pivotButton="0" quotePrefix="0" xfId="0">
      <alignment horizontal="center" vertical="center"/>
    </xf>
    <xf numFmtId="2" fontId="11" fillId="0" borderId="0" applyAlignment="1" pivotButton="0" quotePrefix="0" xfId="0">
      <alignment horizontal="center" vertical="center"/>
    </xf>
    <xf numFmtId="166" fontId="10" fillId="6" borderId="3" applyAlignment="1" pivotButton="0" quotePrefix="0" xfId="0">
      <alignment horizontal="right" vertical="center"/>
    </xf>
    <xf numFmtId="166" fontId="10" fillId="7" borderId="3" applyAlignment="1" pivotButton="0" quotePrefix="0" xfId="0">
      <alignment horizontal="right" vertical="center"/>
    </xf>
    <xf numFmtId="0" fontId="12" fillId="8" borderId="0" applyAlignment="1" pivotButton="0" quotePrefix="0" xfId="0">
      <alignment horizontal="general" vertical="bottom"/>
    </xf>
    <xf numFmtId="3" fontId="13" fillId="0" borderId="2" applyAlignment="1" pivotButton="0" quotePrefix="0" xfId="0">
      <alignment horizontal="right" vertical="center"/>
    </xf>
    <xf numFmtId="166" fontId="13" fillId="0" borderId="2" applyAlignment="1" pivotButton="0" quotePrefix="0" xfId="0">
      <alignment horizontal="right" vertical="center"/>
    </xf>
    <xf numFmtId="166" fontId="13" fillId="6" borderId="2" applyAlignment="1" pivotButton="0" quotePrefix="0" xfId="0">
      <alignment horizontal="right" vertical="center"/>
    </xf>
    <xf numFmtId="167" fontId="13" fillId="0" borderId="2" applyAlignment="1" pivotButton="0" quotePrefix="0" xfId="0">
      <alignment horizontal="right" vertical="center"/>
    </xf>
    <xf numFmtId="166" fontId="13" fillId="0" borderId="3" applyAlignment="1" pivotButton="0" quotePrefix="0" xfId="0">
      <alignment horizontal="right" vertical="center"/>
    </xf>
    <xf numFmtId="166" fontId="13" fillId="7" borderId="3" applyAlignment="1" pivotButton="0" quotePrefix="0" xfId="0">
      <alignment horizontal="right" vertical="center"/>
    </xf>
    <xf numFmtId="0" fontId="10" fillId="6" borderId="2" applyAlignment="1" pivotButton="0" quotePrefix="0" xfId="0">
      <alignment horizontal="right" vertical="center"/>
    </xf>
    <xf numFmtId="0" fontId="10" fillId="6" borderId="3" applyAlignment="1" pivotButton="0" quotePrefix="0" xfId="0">
      <alignment horizontal="general" vertical="bottom"/>
    </xf>
    <xf numFmtId="3" fontId="13" fillId="0" borderId="4" applyAlignment="1" pivotButton="0" quotePrefix="0" xfId="0">
      <alignment horizontal="right" vertical="center"/>
    </xf>
    <xf numFmtId="166" fontId="13" fillId="0" borderId="4" applyAlignment="1" pivotButton="0" quotePrefix="0" xfId="0">
      <alignment horizontal="right" vertical="center"/>
    </xf>
    <xf numFmtId="166" fontId="13" fillId="6" borderId="4" applyAlignment="1" pivotButton="0" quotePrefix="0" xfId="0">
      <alignment horizontal="right" vertical="center"/>
    </xf>
    <xf numFmtId="166" fontId="13" fillId="6" borderId="3" applyAlignment="1" pivotButton="0" quotePrefix="0" xfId="0">
      <alignment horizontal="right" vertical="center"/>
    </xf>
    <xf numFmtId="0" fontId="10" fillId="7" borderId="3" applyAlignment="1" pivotButton="0" quotePrefix="0" xfId="0">
      <alignment horizontal="general" vertical="bottom"/>
    </xf>
    <xf numFmtId="0" fontId="10" fillId="0" borderId="2" applyAlignment="1" pivotButton="0" quotePrefix="0" xfId="0">
      <alignment horizontal="general" vertical="bottom"/>
    </xf>
    <xf numFmtId="3" fontId="13" fillId="0" borderId="3" applyAlignment="1" pivotButton="0" quotePrefix="0" xfId="0">
      <alignment horizontal="right" vertical="center"/>
    </xf>
    <xf numFmtId="3" fontId="13" fillId="6" borderId="4" applyAlignment="1" pivotButton="0" quotePrefix="0" xfId="0">
      <alignment horizontal="right" vertical="center"/>
    </xf>
    <xf numFmtId="3" fontId="13" fillId="6" borderId="2" applyAlignment="1" pivotButton="0" quotePrefix="0" xfId="0">
      <alignment horizontal="right" vertical="center"/>
    </xf>
    <xf numFmtId="0" fontId="14" fillId="9" borderId="0" applyAlignment="1" pivotButton="0" quotePrefix="0" xfId="0">
      <alignment horizontal="general" vertical="bottom"/>
    </xf>
    <xf numFmtId="0" fontId="15" fillId="0" borderId="0" applyAlignment="1" pivotButton="0" quotePrefix="0" xfId="0">
      <alignment horizontal="general" vertical="bottom"/>
    </xf>
    <xf numFmtId="0" fontId="16" fillId="6" borderId="3" applyAlignment="1" pivotButton="0" quotePrefix="0" xfId="0">
      <alignment horizontal="general" vertical="bottom"/>
    </xf>
    <xf numFmtId="0" fontId="0" fillId="0" borderId="2" applyAlignment="1" pivotButton="0" quotePrefix="0" xfId="0">
      <alignment horizontal="general" vertical="bottom"/>
    </xf>
    <xf numFmtId="0" fontId="16" fillId="0" borderId="2" applyAlignment="1" pivotButton="0" quotePrefix="0" xfId="0">
      <alignment horizontal="general" vertical="bottom"/>
    </xf>
    <xf numFmtId="0" fontId="10" fillId="0" borderId="4" applyAlignment="1" pivotButton="0" quotePrefix="0" xfId="0">
      <alignment horizontal="general" vertical="bottom"/>
    </xf>
    <xf numFmtId="0" fontId="10" fillId="6" borderId="4" applyAlignment="1" pivotButton="0" quotePrefix="0" xfId="0">
      <alignment horizontal="general" vertical="bottom"/>
    </xf>
    <xf numFmtId="0" fontId="17" fillId="10" borderId="0" applyAlignment="1" pivotButton="0" quotePrefix="0" xfId="0">
      <alignment horizontal="general" vertical="bottom"/>
    </xf>
    <xf numFmtId="0" fontId="18" fillId="10" borderId="0" applyAlignment="1" pivotButton="0" quotePrefix="0" xfId="0">
      <alignment horizontal="general" vertical="bottom"/>
    </xf>
    <xf numFmtId="165" fontId="17" fillId="10" borderId="0" applyAlignment="1" pivotButton="0" quotePrefix="0" xfId="0">
      <alignment horizontal="center" vertical="bottom"/>
    </xf>
    <xf numFmtId="3" fontId="18" fillId="10" borderId="0" applyAlignment="1" pivotButton="0" quotePrefix="0" xfId="0">
      <alignment horizontal="right" vertical="center"/>
    </xf>
    <xf numFmtId="166" fontId="18" fillId="10" borderId="0" applyAlignment="1" pivotButton="0" quotePrefix="0" xfId="0">
      <alignment horizontal="right" vertical="center"/>
    </xf>
    <xf numFmtId="167" fontId="7" fillId="4" borderId="0" applyAlignment="1" pivotButton="0" quotePrefix="0" xfId="0">
      <alignment horizontal="center" vertical="center" wrapText="1"/>
    </xf>
    <xf numFmtId="3" fontId="10" fillId="6" borderId="2" applyAlignment="1" pivotButton="0" quotePrefix="0" xfId="0">
      <alignment horizontal="right" vertical="center"/>
    </xf>
    <xf numFmtId="0" fontId="9" fillId="8" borderId="0" applyAlignment="1" pivotButton="0" quotePrefix="0" xfId="0">
      <alignment horizontal="general" vertical="bottom"/>
    </xf>
    <xf numFmtId="0" fontId="9" fillId="11" borderId="0" applyAlignment="1" pivotButton="0" quotePrefix="0" xfId="0">
      <alignment horizontal="general" vertical="bottom"/>
    </xf>
    <xf numFmtId="0" fontId="19" fillId="11" borderId="0" applyAlignment="1" pivotButton="0" quotePrefix="0" xfId="0">
      <alignment horizontal="general" vertical="bottom"/>
    </xf>
    <xf numFmtId="0" fontId="20" fillId="12" borderId="0" applyAlignment="1" pivotButton="0" quotePrefix="0" xfId="0">
      <alignment horizontal="general" vertical="bottom"/>
    </xf>
    <xf numFmtId="0" fontId="0" fillId="12" borderId="0" applyAlignment="1" pivotButton="0" quotePrefix="0" xfId="0">
      <alignment horizontal="general" vertical="bottom"/>
    </xf>
    <xf numFmtId="3" fontId="21" fillId="11" borderId="2" applyAlignment="1" pivotButton="0" quotePrefix="0" xfId="0">
      <alignment horizontal="right" vertical="center"/>
    </xf>
    <xf numFmtId="166" fontId="21" fillId="11" borderId="2" applyAlignment="1" pivotButton="0" quotePrefix="0" xfId="0">
      <alignment horizontal="right" vertical="center"/>
    </xf>
    <xf numFmtId="166" fontId="22" fillId="8" borderId="2" applyAlignment="1" pivotButton="0" quotePrefix="0" xfId="0">
      <alignment horizontal="right" vertical="center"/>
    </xf>
    <xf numFmtId="166" fontId="22" fillId="8" borderId="0" applyAlignment="1" pivotButton="0" quotePrefix="0" xfId="0">
      <alignment horizontal="right" vertical="center"/>
    </xf>
    <xf numFmtId="166" fontId="23" fillId="13" borderId="0" applyAlignment="1" pivotButton="0" quotePrefix="0" xfId="0">
      <alignment horizontal="right" vertical="center"/>
    </xf>
    <xf numFmtId="166" fontId="21" fillId="11" borderId="0" applyAlignment="1" pivotButton="0" quotePrefix="0" xfId="0">
      <alignment horizontal="right" vertical="center"/>
    </xf>
    <xf numFmtId="166" fontId="23" fillId="13" borderId="2" applyAlignment="1" pivotButton="0" quotePrefix="0" xfId="0">
      <alignment horizontal="right" vertical="center"/>
    </xf>
    <xf numFmtId="0" fontId="20" fillId="11" borderId="0" applyAlignment="1" pivotButton="0" quotePrefix="0" xfId="0">
      <alignment horizontal="general" vertical="bottom"/>
    </xf>
    <xf numFmtId="0" fontId="24" fillId="8" borderId="0" applyAlignment="1" pivotButton="0" quotePrefix="0" xfId="0">
      <alignment horizontal="right" vertical="center"/>
    </xf>
    <xf numFmtId="0" fontId="18" fillId="8" borderId="0" applyAlignment="1" pivotButton="0" quotePrefix="0" xfId="0">
      <alignment horizontal="general" vertical="bottom"/>
    </xf>
    <xf numFmtId="3" fontId="24" fillId="8" borderId="0" applyAlignment="1" pivotButton="0" quotePrefix="0" xfId="0">
      <alignment horizontal="right" vertical="center"/>
    </xf>
    <xf numFmtId="0" fontId="25" fillId="11" borderId="0" applyAlignment="1" pivotButton="0" quotePrefix="0" xfId="0">
      <alignment horizontal="right" vertical="center"/>
    </xf>
    <xf numFmtId="0" fontId="18" fillId="11" borderId="0" applyAlignment="1" pivotButton="0" quotePrefix="0" xfId="0">
      <alignment horizontal="general" vertical="bottom"/>
    </xf>
    <xf numFmtId="0" fontId="26" fillId="11" borderId="0" applyAlignment="1" pivotButton="0" quotePrefix="0" xfId="0">
      <alignment horizontal="right" vertical="center"/>
    </xf>
    <xf numFmtId="0" fontId="27" fillId="8" borderId="0" applyAlignment="1" pivotButton="0" quotePrefix="0" xfId="0">
      <alignment horizontal="right" vertical="center"/>
    </xf>
    <xf numFmtId="0" fontId="28" fillId="13" borderId="0" applyAlignment="1" pivotButton="0" quotePrefix="0" xfId="0">
      <alignment horizontal="right" vertical="center"/>
    </xf>
    <xf numFmtId="0" fontId="29" fillId="0" borderId="0" applyAlignment="1" pivotButton="0" quotePrefix="0" xfId="0">
      <alignment horizontal="general" vertical="bottom"/>
    </xf>
    <xf numFmtId="0" fontId="30" fillId="14" borderId="0" applyAlignment="1" pivotButton="0" quotePrefix="0" xfId="0">
      <alignment horizontal="general" vertical="bottom"/>
    </xf>
    <xf numFmtId="0" fontId="30" fillId="15" borderId="0" applyAlignment="1" pivotButton="0" quotePrefix="0" xfId="0">
      <alignment horizontal="general" vertical="bottom"/>
    </xf>
    <xf numFmtId="0" fontId="30" fillId="0" borderId="0" applyAlignment="1" pivotButton="0" quotePrefix="0" xfId="0">
      <alignment horizontal="general" vertical="bottom"/>
    </xf>
    <xf numFmtId="0" fontId="30" fillId="16" borderId="0" applyAlignment="1" pivotButton="0" quotePrefix="0" xfId="0">
      <alignment horizontal="general" vertical="bottom"/>
    </xf>
    <xf numFmtId="0" fontId="31" fillId="0" borderId="0" applyAlignment="1" pivotButton="0" quotePrefix="0" xfId="0">
      <alignment horizontal="general" vertical="bottom"/>
    </xf>
    <xf numFmtId="0" fontId="32" fillId="0" borderId="5" applyAlignment="1" pivotButton="0" quotePrefix="0" xfId="0">
      <alignment horizontal="left" vertical="center" wrapText="1"/>
    </xf>
    <xf numFmtId="0" fontId="0" fillId="0" borderId="6" pivotButton="0" quotePrefix="0" xfId="0"/>
    <xf numFmtId="0" fontId="0" fillId="0" borderId="7" pivotButton="0" quotePrefix="0" xfId="0"/>
    <xf numFmtId="0" fontId="33" fillId="7" borderId="5" applyAlignment="1" pivotButton="0" quotePrefix="0" xfId="0">
      <alignment horizontal="left" vertical="center" wrapText="1"/>
    </xf>
    <xf numFmtId="0" fontId="33" fillId="6" borderId="5" applyAlignment="1" pivotButton="0" quotePrefix="0" xfId="0">
      <alignment horizontal="left" vertical="center" wrapText="1"/>
    </xf>
    <xf numFmtId="0" fontId="33" fillId="0" borderId="5" applyAlignment="1" pivotButton="0" quotePrefix="0" xfId="0">
      <alignment horizontal="left" vertical="center" wrapText="1"/>
    </xf>
    <xf numFmtId="0" fontId="34" fillId="0" borderId="5" applyAlignment="1" pivotButton="0" quotePrefix="0" xfId="0">
      <alignment horizontal="left" vertical="center" wrapText="1"/>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34" fillId="0" borderId="2" applyAlignment="1" pivotButton="0" quotePrefix="0" xfId="0">
      <alignment horizontal="left" vertical="center" wrapText="1"/>
    </xf>
    <xf numFmtId="0" fontId="0" fillId="0" borderId="13" pivotButton="0" quotePrefix="0" xfId="0"/>
    <xf numFmtId="0" fontId="0" fillId="0" borderId="14" pivotButton="0" quotePrefix="0" xfId="0"/>
    <xf numFmtId="0" fontId="34" fillId="0" borderId="4" applyAlignment="1" pivotButton="0" quotePrefix="0" xfId="0">
      <alignment horizontal="left" vertical="center" wrapText="1"/>
    </xf>
    <xf numFmtId="0" fontId="0" fillId="0" borderId="17" pivotButton="0" quotePrefix="0" xfId="0"/>
    <xf numFmtId="0" fontId="0" fillId="0" borderId="18" pivotButton="0" quotePrefix="0" xfId="0"/>
    <xf numFmtId="0" fontId="34" fillId="0" borderId="3" applyAlignment="1" pivotButton="0" quotePrefix="0" xfId="0">
      <alignment horizontal="left" vertical="center" wrapText="1"/>
    </xf>
    <xf numFmtId="0" fontId="0" fillId="0" borderId="21" pivotButton="0" quotePrefix="0" xfId="0"/>
    <xf numFmtId="0" fontId="0" fillId="0" borderId="22" pivotButton="0" quotePrefix="0" xfId="0"/>
    <xf numFmtId="0" fontId="35" fillId="0" borderId="5" applyAlignment="1" pivotButton="0" quotePrefix="0" xfId="0">
      <alignment horizontal="left" vertical="center" wrapText="1"/>
    </xf>
    <xf numFmtId="0" fontId="32" fillId="17" borderId="5" applyAlignment="1" pivotButton="0" quotePrefix="0" xfId="0">
      <alignment horizontal="left" vertical="center" wrapText="1"/>
    </xf>
    <xf numFmtId="0" fontId="36" fillId="18" borderId="5" applyAlignment="1" pivotButton="0" quotePrefix="0" xfId="0">
      <alignment horizontal="left" vertical="center" wrapText="1"/>
    </xf>
    <xf numFmtId="0" fontId="37" fillId="19" borderId="5" applyAlignment="1" pivotButton="0" quotePrefix="0" xfId="0">
      <alignment horizontal="left" vertical="center" wrapText="1"/>
    </xf>
    <xf numFmtId="0" fontId="38" fillId="20" borderId="5" applyAlignment="1" pivotButton="0" quotePrefix="0" xfId="0">
      <alignment horizontal="left" vertical="center" wrapText="1"/>
    </xf>
    <xf numFmtId="0" fontId="5" fillId="21" borderId="5" applyAlignment="1" pivotButton="0" quotePrefix="0" xfId="0">
      <alignment horizontal="left" vertical="center" wrapText="1"/>
    </xf>
    <xf numFmtId="166" fontId="9" fillId="5" borderId="0" applyAlignment="1" pivotButton="0" quotePrefix="0" xfId="0">
      <alignment horizontal="right" vertical="center"/>
    </xf>
    <xf numFmtId="166" fontId="20" fillId="5" borderId="0" applyAlignment="1" pivotButton="0" quotePrefix="0" xfId="0">
      <alignment horizontal="right" vertical="center"/>
    </xf>
    <xf numFmtId="0" fontId="40" fillId="5" borderId="0" applyAlignment="1" pivotButton="0" quotePrefix="0" xfId="0">
      <alignment horizontal="right" vertical="center"/>
    </xf>
    <xf numFmtId="166" fontId="9" fillId="0" borderId="0" applyAlignment="1" pivotButton="0" quotePrefix="0" xfId="0">
      <alignment horizontal="right" vertical="center"/>
    </xf>
    <xf numFmtId="166" fontId="20" fillId="0" borderId="0" applyAlignment="1" pivotButton="0" quotePrefix="0" xfId="0">
      <alignment horizontal="right" vertical="center"/>
    </xf>
    <xf numFmtId="0" fontId="40" fillId="0" borderId="0" applyAlignment="1" pivotButton="0" quotePrefix="0" xfId="0">
      <alignment horizontal="right" vertical="center"/>
    </xf>
    <xf numFmtId="0" fontId="11" fillId="0" borderId="0" applyAlignment="1" pivotButton="0" quotePrefix="0" xfId="0">
      <alignment horizontal="general" vertical="center"/>
    </xf>
    <xf numFmtId="9" fontId="18" fillId="5" borderId="0" applyAlignment="1" pivotButton="0" quotePrefix="0" xfId="0">
      <alignment horizontal="right" vertical="center"/>
    </xf>
    <xf numFmtId="9" fontId="18" fillId="0" borderId="0" applyAlignment="1" pivotButton="0" quotePrefix="0" xfId="0">
      <alignment horizontal="right" vertical="center"/>
    </xf>
    <xf numFmtId="0" fontId="41" fillId="0" borderId="0" applyAlignment="1" pivotButton="0" quotePrefix="0" xfId="0">
      <alignment horizontal="general" vertical="bottom"/>
    </xf>
    <xf numFmtId="0" fontId="41" fillId="5" borderId="0" applyAlignment="1" pivotButton="0" quotePrefix="0" xfId="0">
      <alignment horizontal="general" vertical="bottom"/>
    </xf>
    <xf numFmtId="0" fontId="28" fillId="0" borderId="0" applyAlignment="1" pivotButton="0" quotePrefix="0" xfId="0">
      <alignment horizontal="general" vertical="bottom"/>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42" fillId="0" borderId="0" applyAlignment="1" pivotButton="0" quotePrefix="0" xfId="0">
      <alignment horizontal="general" vertical="bottom"/>
    </xf>
    <xf numFmtId="0" fontId="9" fillId="5" borderId="0" applyAlignment="1" pivotButton="0" quotePrefix="0" xfId="0">
      <alignment horizontal="general" vertical="top" wrapText="1"/>
    </xf>
    <xf numFmtId="0" fontId="9" fillId="0" borderId="0" applyAlignment="1" pivotButton="0" quotePrefix="0" xfId="0">
      <alignment horizontal="general" vertical="top" wrapText="1"/>
    </xf>
    <xf numFmtId="0" fontId="20" fillId="5" borderId="0" applyAlignment="1" pivotButton="0" quotePrefix="0" xfId="0">
      <alignment horizontal="general" vertical="bottom"/>
    </xf>
    <xf numFmtId="0" fontId="9" fillId="5" borderId="0" applyAlignment="1" pivotButton="0" quotePrefix="0" xfId="0">
      <alignment horizontal="general" vertical="bottom" wrapText="1"/>
    </xf>
    <xf numFmtId="0" fontId="20" fillId="0" borderId="0" applyAlignment="1" pivotButton="0" quotePrefix="0" xfId="0">
      <alignment horizontal="general" vertical="bottom"/>
    </xf>
    <xf numFmtId="0" fontId="9" fillId="0" borderId="0" applyAlignment="1" pivotButton="0" quotePrefix="0" xfId="0">
      <alignment horizontal="general" vertical="bottom" wrapText="1"/>
    </xf>
    <xf numFmtId="0" fontId="43" fillId="22" borderId="0" applyAlignment="1" pivotButton="0" quotePrefix="0" xfId="0">
      <alignment horizontal="center" vertical="bottom" wrapText="1"/>
    </xf>
    <xf numFmtId="0" fontId="17" fillId="23" borderId="0" applyAlignment="1" pivotButton="0" quotePrefix="0" xfId="0">
      <alignment horizontal="general" vertical="bottom"/>
    </xf>
    <xf numFmtId="0" fontId="44" fillId="14" borderId="8" applyAlignment="1" pivotButton="0" quotePrefix="0" xfId="0">
      <alignment horizontal="general" vertical="bottom"/>
    </xf>
    <xf numFmtId="0" fontId="29" fillId="14" borderId="8" applyAlignment="1" pivotButton="0" quotePrefix="0" xfId="0">
      <alignment horizontal="general" vertical="bottom"/>
    </xf>
    <xf numFmtId="0" fontId="45" fillId="14" borderId="8" applyAlignment="1" pivotButton="0" quotePrefix="0" xfId="0">
      <alignment horizontal="general" vertical="bottom"/>
    </xf>
    <xf numFmtId="0" fontId="46" fillId="14" borderId="8" applyAlignment="1" pivotButton="0" quotePrefix="0" xfId="0">
      <alignment horizontal="general" vertical="bottom" wrapText="1"/>
    </xf>
    <xf numFmtId="0" fontId="44" fillId="15" borderId="8" applyAlignment="1" pivotButton="0" quotePrefix="0" xfId="0">
      <alignment horizontal="general" vertical="bottom"/>
    </xf>
    <xf numFmtId="0" fontId="29" fillId="15" borderId="8" applyAlignment="1" pivotButton="0" quotePrefix="0" xfId="0">
      <alignment horizontal="general" vertical="bottom"/>
    </xf>
    <xf numFmtId="0" fontId="47" fillId="15" borderId="8" applyAlignment="1" pivotButton="0" quotePrefix="0" xfId="0">
      <alignment horizontal="general" vertical="bottom"/>
    </xf>
    <xf numFmtId="0" fontId="46" fillId="15" borderId="8" applyAlignment="1" pivotButton="0" quotePrefix="0" xfId="0">
      <alignment horizontal="general" vertical="bottom" wrapText="1"/>
    </xf>
    <xf numFmtId="0" fontId="44" fillId="24" borderId="8" applyAlignment="1" pivotButton="0" quotePrefix="0" xfId="0">
      <alignment horizontal="general" vertical="bottom"/>
    </xf>
    <xf numFmtId="0" fontId="29" fillId="24" borderId="8" applyAlignment="1" pivotButton="0" quotePrefix="0" xfId="0">
      <alignment horizontal="general" vertical="bottom"/>
    </xf>
    <xf numFmtId="0" fontId="48" fillId="24" borderId="8" applyAlignment="1" pivotButton="0" quotePrefix="0" xfId="0">
      <alignment horizontal="general" vertical="bottom"/>
    </xf>
    <xf numFmtId="0" fontId="46" fillId="24" borderId="8" applyAlignment="1" pivotButton="0" quotePrefix="0" xfId="0">
      <alignment horizontal="general" vertical="bottom" wrapText="1"/>
    </xf>
    <xf numFmtId="0" fontId="49" fillId="0" borderId="0" applyAlignment="1" pivotButton="0" quotePrefix="0" xfId="0">
      <alignment horizontal="general" vertical="bottom"/>
    </xf>
    <xf numFmtId="0" fontId="50" fillId="0" borderId="0" applyAlignment="1" pivotButton="0" quotePrefix="0" xfId="0">
      <alignment horizontal="general" vertical="bottom"/>
    </xf>
    <xf numFmtId="0" fontId="51" fillId="0" borderId="0" applyAlignment="1" pivotButton="0" quotePrefix="0" xfId="0">
      <alignment horizontal="general" vertical="bottom"/>
    </xf>
    <xf numFmtId="0" fontId="52" fillId="0" borderId="0" applyAlignment="1" pivotButton="0" quotePrefix="0" xfId="0">
      <alignment horizontal="general" vertical="bottom"/>
    </xf>
    <xf numFmtId="0" fontId="53" fillId="5" borderId="0" applyAlignment="1" pivotButton="0" quotePrefix="0" xfId="0">
      <alignment horizontal="general" vertical="bottom"/>
    </xf>
    <xf numFmtId="0" fontId="30" fillId="25" borderId="0" applyAlignment="1" pivotButton="0" quotePrefix="0" xfId="0">
      <alignment horizontal="general" vertical="bottom"/>
    </xf>
    <xf numFmtId="0" fontId="30" fillId="26" borderId="0" applyAlignment="1" pivotButton="0" quotePrefix="0" xfId="0">
      <alignment horizontal="general" vertical="bottom"/>
    </xf>
    <xf numFmtId="0" fontId="30" fillId="27" borderId="0" applyAlignment="1" pivotButton="0" quotePrefix="0" xfId="0">
      <alignment horizontal="general" vertical="bottom"/>
    </xf>
    <xf numFmtId="0" fontId="54" fillId="28" borderId="0" applyAlignment="1" pivotButton="0" quotePrefix="0" xfId="0">
      <alignment horizontal="center" wrapText="1"/>
    </xf>
    <xf numFmtId="0" fontId="55" fillId="29" borderId="0" pivotButton="0" quotePrefix="0" xfId="0"/>
    <xf numFmtId="0" fontId="56" fillId="25" borderId="23" pivotButton="0" quotePrefix="0" xfId="0"/>
    <xf numFmtId="0" fontId="57" fillId="25" borderId="23" pivotButton="0" quotePrefix="0" xfId="0"/>
    <xf numFmtId="0" fontId="58" fillId="25" borderId="23" pivotButton="0" quotePrefix="0" xfId="0"/>
    <xf numFmtId="0" fontId="59" fillId="25" borderId="23" applyAlignment="1" pivotButton="0" quotePrefix="0" xfId="0">
      <alignment wrapText="1"/>
    </xf>
    <xf numFmtId="0" fontId="56" fillId="26" borderId="23" pivotButton="0" quotePrefix="0" xfId="0"/>
    <xf numFmtId="0" fontId="57" fillId="26" borderId="23" pivotButton="0" quotePrefix="0" xfId="0"/>
    <xf numFmtId="0" fontId="60" fillId="26" borderId="23" pivotButton="0" quotePrefix="0" xfId="0"/>
    <xf numFmtId="0" fontId="59" fillId="26" borderId="23" applyAlignment="1" pivotButton="0" quotePrefix="0" xfId="0">
      <alignment wrapText="1"/>
    </xf>
    <xf numFmtId="0" fontId="56" fillId="30" borderId="23" pivotButton="0" quotePrefix="0" xfId="0"/>
    <xf numFmtId="0" fontId="57" fillId="30" borderId="23" pivotButton="0" quotePrefix="0" xfId="0"/>
    <xf numFmtId="0" fontId="61" fillId="30" borderId="23" pivotButton="0" quotePrefix="0" xfId="0"/>
    <xf numFmtId="0" fontId="59" fillId="30" borderId="23" applyAlignment="1" pivotButton="0" quotePrefix="0" xfId="0">
      <alignment wrapText="1"/>
    </xf>
    <xf numFmtId="0" fontId="62" fillId="0" borderId="0" pivotButton="0" quotePrefix="0" xfId="0"/>
    <xf numFmtId="0" fontId="57" fillId="0" borderId="0" pivotButton="0" quotePrefix="0" xfId="0"/>
    <xf numFmtId="0" fontId="63" fillId="0" borderId="0" pivotButton="0" quotePrefix="0" xfId="0"/>
    <xf numFmtId="0" fontId="64" fillId="0" borderId="0" pivotButton="0" quotePrefix="0" xfId="0"/>
    <xf numFmtId="0" fontId="65" fillId="0" borderId="0" pivotButton="0" quotePrefix="0" xfId="0"/>
    <xf numFmtId="0" fontId="56" fillId="27" borderId="23" pivotButton="0" quotePrefix="0" xfId="0"/>
    <xf numFmtId="0" fontId="57" fillId="27" borderId="23" pivotButton="0" quotePrefix="0" xfId="0"/>
    <xf numFmtId="0" fontId="66" fillId="27" borderId="23" pivotButton="0" quotePrefix="0" xfId="0"/>
    <xf numFmtId="0" fontId="59" fillId="27" borderId="23" applyAlignment="1" pivotButton="0" quotePrefix="0" xfId="0">
      <alignment wrapText="1"/>
    </xf>
    <xf numFmtId="0" fontId="67" fillId="0" borderId="24" applyAlignment="1" pivotButton="0" quotePrefix="0" xfId="0">
      <alignment horizontal="general" vertical="bottom"/>
    </xf>
    <xf numFmtId="0" fontId="68" fillId="31" borderId="0" applyAlignment="1" pivotButton="0" quotePrefix="0" xfId="0">
      <alignment horizontal="general" vertical="bottom"/>
    </xf>
    <xf numFmtId="0" fontId="68" fillId="31" borderId="0" applyAlignment="1" pivotButton="0" quotePrefix="0" xfId="0">
      <alignment horizontal="center" vertical="center"/>
    </xf>
    <xf numFmtId="164" fontId="68" fillId="31" borderId="0" applyAlignment="1" pivotButton="0" quotePrefix="0" xfId="0">
      <alignment horizontal="center" vertical="center"/>
    </xf>
    <xf numFmtId="165" fontId="68" fillId="31" borderId="0" applyAlignment="1" pivotButton="0" quotePrefix="0" xfId="0">
      <alignment horizontal="center" vertical="center"/>
    </xf>
    <xf numFmtId="3" fontId="13" fillId="31" borderId="2" applyAlignment="1" pivotButton="0" quotePrefix="0" xfId="0">
      <alignment horizontal="right" vertical="center"/>
    </xf>
    <xf numFmtId="166" fontId="13" fillId="31" borderId="4" applyAlignment="1" pivotButton="0" quotePrefix="0" xfId="0">
      <alignment horizontal="right" vertical="center"/>
    </xf>
    <xf numFmtId="0" fontId="10" fillId="31" borderId="2" applyAlignment="1" pivotButton="0" quotePrefix="0" xfId="0">
      <alignment horizontal="right" vertical="center"/>
    </xf>
    <xf numFmtId="2" fontId="11" fillId="31" borderId="0" applyAlignment="1" pivotButton="0" quotePrefix="0" xfId="0">
      <alignment horizontal="center" vertical="center"/>
    </xf>
    <xf numFmtId="166" fontId="13" fillId="31" borderId="2" applyAlignment="1" pivotButton="0" quotePrefix="0" xfId="0">
      <alignment horizontal="right" vertical="center"/>
    </xf>
    <xf numFmtId="167" fontId="13" fillId="31" borderId="2" applyAlignment="1" pivotButton="0" quotePrefix="0" xfId="0">
      <alignment horizontal="right" vertical="center"/>
    </xf>
    <xf numFmtId="166" fontId="9" fillId="31" borderId="2" applyAlignment="1" pivotButton="0" quotePrefix="0" xfId="0">
      <alignment horizontal="right" vertical="center"/>
    </xf>
    <xf numFmtId="166" fontId="13" fillId="31" borderId="3" applyAlignment="1" pivotButton="0" quotePrefix="0" xfId="0">
      <alignment horizontal="right" vertical="center"/>
    </xf>
    <xf numFmtId="0" fontId="10" fillId="31" borderId="4" applyAlignment="1" pivotButton="0" quotePrefix="0" xfId="0">
      <alignment horizontal="right" vertical="center"/>
    </xf>
    <xf numFmtId="0" fontId="10" fillId="31" borderId="3" applyAlignment="1" pivotButton="0" quotePrefix="0" xfId="0">
      <alignment horizontal="right" vertical="center"/>
    </xf>
    <xf numFmtId="0" fontId="10" fillId="31" borderId="3" applyAlignment="1" pivotButton="0" quotePrefix="0" xfId="0">
      <alignment horizontal="general" vertical="bottom"/>
    </xf>
    <xf numFmtId="0" fontId="10" fillId="31" borderId="2" applyAlignment="1" pivotButton="0" quotePrefix="0" xfId="0">
      <alignment horizontal="general" vertical="bottom"/>
    </xf>
    <xf numFmtId="0" fontId="69" fillId="31" borderId="0" applyAlignment="1" pivotButton="0" quotePrefix="0" xfId="0">
      <alignment horizontal="general" vertical="bottom"/>
    </xf>
    <xf numFmtId="0" fontId="70" fillId="0" borderId="0" applyAlignment="1" pivotButton="0" quotePrefix="0" xfId="0">
      <alignment horizontal="general" vertical="bottom"/>
    </xf>
    <xf numFmtId="0" fontId="70" fillId="0" borderId="0" applyAlignment="1" pivotButton="0" quotePrefix="0" xfId="0">
      <alignment horizontal="center" vertical="center"/>
    </xf>
    <xf numFmtId="164" fontId="70" fillId="0" borderId="0" applyAlignment="1" pivotButton="0" quotePrefix="0" xfId="0">
      <alignment horizontal="center" vertical="center"/>
    </xf>
    <xf numFmtId="165" fontId="70" fillId="0" borderId="0" applyAlignment="1" pivotButton="0" quotePrefix="0" xfId="0">
      <alignment horizontal="center" vertical="center"/>
    </xf>
    <xf numFmtId="0" fontId="71" fillId="0" borderId="0" applyAlignment="1" pivotButton="0" quotePrefix="0" xfId="0">
      <alignment vertical="top" wrapText="1"/>
    </xf>
    <xf numFmtId="0" fontId="72" fillId="0" borderId="0" applyAlignment="1" pivotButton="0" quotePrefix="0" xfId="0">
      <alignment vertical="top" wrapText="1"/>
    </xf>
    <xf numFmtId="0" fontId="70" fillId="0" borderId="0" applyAlignment="1" pivotButton="0" quotePrefix="0" xfId="0">
      <alignment vertical="top" wrapText="1"/>
    </xf>
    <xf numFmtId="0" fontId="73" fillId="32" borderId="0" applyAlignment="1" pivotButton="0" quotePrefix="0" xfId="0">
      <alignment horizontal="center"/>
    </xf>
    <xf numFmtId="0" fontId="70" fillId="0" borderId="0" pivotButton="0" quotePrefix="0" xfId="0"/>
    <xf numFmtId="168" fontId="70" fillId="0" borderId="0" pivotButton="0" quotePrefix="0" xfId="0"/>
    <xf numFmtId="0" fontId="74" fillId="0" borderId="0" pivotButton="0" quotePrefix="0" xfId="0"/>
    <xf numFmtId="168" fontId="74" fillId="0" borderId="0" pivotButton="0" quotePrefix="0" xfId="0"/>
    <xf numFmtId="0" fontId="75"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595959"/>
      </font>
      <fill>
        <patternFill>
          <bgColor rgb="FFD9D9D9"/>
        </patternFill>
      </fill>
    </dxf>
  </dxfs>
  <colors>
    <indexedColors>
      <rgbColor rgb="FF000000"/>
      <rgbColor rgb="FFFFFFFF"/>
      <rgbColor rgb="FFFF0000"/>
      <rgbColor rgb="FF00FF00"/>
      <rgbColor rgb="FF0000FF"/>
      <rgbColor rgb="FFFFF2CC"/>
      <rgbColor rgb="FFFF00FF"/>
      <rgbColor rgb="FFF2F7FB"/>
      <rgbColor rgb="FF9C0006"/>
      <rgbColor rgb="FF1B7A2B"/>
      <rgbColor rgb="FF375623"/>
      <rgbColor rgb="FF8B6914"/>
      <rgbColor rgb="FF800080"/>
      <rgbColor rgb="FF008080"/>
      <rgbColor rgb="FFCCCCCC"/>
      <rgbColor rgb="FF808080"/>
      <rgbColor rgb="FFD9D9D9"/>
      <rgbColor rgb="FFDC2626"/>
      <rgbColor rgb="FFFEF3C7"/>
      <rgbColor rgb="FFC6EFCE"/>
      <rgbColor rgb="FF444444"/>
      <rgbColor rgb="FFFEE2E2"/>
      <rgbColor rgb="FF0563C1"/>
      <rgbColor rgb="FFB4C6E7"/>
      <rgbColor rgb="FF006100"/>
      <rgbColor rgb="FFFF00FF"/>
      <rgbColor rgb="FFFDE0DC"/>
      <rgbColor rgb="FFF3F4F6"/>
      <rgbColor rgb="FF800080"/>
      <rgbColor rgb="FFCC0000"/>
      <rgbColor rgb="FF059669"/>
      <rgbColor rgb="FF0000FF"/>
      <rgbColor rgb="FF00CCFF"/>
      <rgbColor rgb="FFE2EFDA"/>
      <rgbColor rgb="FFD1FAE5"/>
      <rgbColor rgb="FFFFEB9C"/>
      <rgbColor rgb="FFD6E4F0"/>
      <rgbColor rgb="FFFFB6C1"/>
      <rgbColor rgb="FFFFC7CE"/>
      <rgbColor rgb="FFFED7AA"/>
      <rgbColor rgb="FF2E75B6"/>
      <rgbColor rgb="FFE5E7EB"/>
      <rgbColor rgb="FF7F6000"/>
      <rgbColor rgb="FFFCE4D6"/>
      <rgbColor rgb="FFD97706"/>
      <rgbColor rgb="FFEA580C"/>
      <rgbColor rgb="FF6B7280"/>
      <rgbColor rgb="FFB8860B"/>
      <rgbColor rgb="FF1F3864"/>
      <rgbColor rgb="FF00B050"/>
      <rgbColor rgb="FF1F2937"/>
      <rgbColor rgb="FF2C2C2C"/>
      <rgbColor rgb="FF9C5700"/>
      <rgbColor rgb="FF595959"/>
      <rgbColor rgb="FF2E405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Audit</author>
    <author>Audit Bot</author>
    <author>Claude</author>
  </authors>
  <commentList>
    <comment ref="O8" authorId="0" shapeId="0">
      <text>
        <t>USDA Branded FDC 2484001 (Alexandre SKU): "Calories 170 per 240g serving"
Scaling: 170 × 2 = 340 for 480ml serving
Tier 1 - exact SKU label.</t>
      </text>
    </comment>
    <comment ref="P8" authorId="0" shapeId="0">
      <text>
        <t>USDA Branded FDC 2484001: "Protein 9 g per 240g"
9 × 2 = 18 g for 480ml
Tier 1 - exact SKU label.</t>
      </text>
    </comment>
    <comment ref="Q8" authorId="0" shapeId="0">
      <text>
        <t>Milk protein ratio is 80% casein / 20% whey (established dairy biochemistry; ratio from USDA dairy composition references).
18 g total protein × 0.20 = 3.6 g whey.
NOTE: specific citation not individually fetched this session — marked LOW confidence. Whey fraction is well-established in dairy science across decades of measurement.
Source: generic dairy science ratio; no brand-specific assay for Alexandre.</t>
      </text>
    </comment>
    <comment ref="R8" authorId="0" shapeId="0">
      <text>
        <t>Milk protein ratio is 80% casein / 20% whey.
18 g total protein × 0.80 = 14.4 g casein.
Source: generic dairy science ratio (same caveat as whey).</t>
      </text>
    </comment>
    <comment ref="S8" authorId="0" shapeId="0">
      <text>
        <t>Egg protein is not present in cow milk (confirmed absent by food composition).
Tier 1 - categorical absence.</t>
      </text>
    </comment>
    <comment ref="T8" authorId="0" shapeId="0">
      <text>
        <t>Collagen protein is not present in cow milk (confirmed absent by food composition).
Tier 1 - categorical absence.</t>
      </text>
    </comment>
    <comment ref="U8" authorId="0" shapeId="0">
      <text>
        <t>Plant protein is not present in cow milk (confirmed absent by food composition).
Tier 1 - categorical absence.</t>
      </text>
    </comment>
    <comment ref="W8" authorId="0" shapeId="0">
      <text>
        <t>USDA Branded FDC 2484001: "Total Fat 10 g per 240g"
10 × 2 = 20 g for 480ml
Tier 1 - exact SKU label.</t>
      </text>
    </comment>
    <comment ref="X8" authorId="0" shapeId="0">
      <text>
        <t>USDA Branded FDC 2484001: "Saturated Fat 6 g per 240g"
6 × 2 = 12 g for 480ml
Tier 1 - exact SKU label.</t>
      </text>
    </comment>
    <comment ref="Y8" authorId="0" shapeId="0">
      <text>
        <t>USDA SR Legacy (FDC 171265, whole milk 3.25%): "MUFA 0.812 g per 100g"
Alexandre is 4.17% fat (10g/240g) vs USDA 3.25%; fat-scaling factor = 1.283
0.812 × 4.8 × 1.283 = 5.00 g for 480g
Tier 5 - generic USDA scaled to Alexandre fat content. 0 (3.4).</t>
      </text>
    </comment>
    <comment ref="Z8" authorId="0" shapeId="0">
      <text>
        <t>USDA SR Legacy (FDC 171265): "PUFA 0.195 g per 100g"
Fat-adjusted: 0.195 × 4.8 × 1.283 = 1.20 g for 480g
Tier 5 - generic USDA scaled. 2 (0.533).</t>
      </text>
    </comment>
    <comment ref="AA8" authorId="0" shapeId="0">
      <text>
        <t>Benbrook et al. PMC5980250 (grassmilk study): "ALA 0.0382 g per 100g" in 100% grass-fed milk
Fat-adjusted for Alexandre 4.17%: 0.0382 × 4.8 × 1.283 = 0.235 g
Grass-fed milk has ~2× more ALA than conventional — original value (0.059) was based on conventional milk data and was 4× too low. 235 (0.059).</t>
      </text>
    </comment>
    <comment ref="AB8" authorId="0" shapeId="0">
      <text>
        <t>Benbrook et al. PMC5980250: "Total omega-6 0.0454 g per 100g" in grassmilk
Fat-adjusted: 0.0454 × 4.8 × 1.283 = 0.280 g for 480g
Grass-fed milk has LESS omega-6 than conventional (ratio ~0.95 vs 5.8). 280 (0.415).</t>
      </text>
    </comment>
    <comment ref="AC8" authorId="0" shapeId="0">
      <text>
        <t>USDA Foundation (FDC 746782): "Trans Fat 0.11 g per 100g" measured in whole milk
0.11 × 4.8 = 0.53 g for 480g
TRACE: these are natural ruminant trans fats (vaccenic acid, CLA precursors) — NOT industrial trans fats. Label rounds to 0g (&lt;0.5g threshold per serving).
Grass-fed milk typically has higher vaccenic/CLA. 53 (0).</t>
      </text>
    </comment>
    <comment ref="AD8" authorId="0" shapeId="0">
      <text>
        <t>USDA Branded FDC 2484001: "Total Carbohydrate 12 g per 240g"
12 × 2 = 24 g for 480ml
Tier 1 - exact SKU label.</t>
      </text>
    </comment>
    <comment ref="AE8" authorId="0" shapeId="0">
      <text>
        <t>USDA Branded FDC 2484001: "Sugar 9 g per 240g"
9 × 2 = 18 g for 480ml (lactose, natural)
Tier 1 - exact SKU label.</t>
      </text>
    </comment>
    <comment ref="AF8" authorId="0" shapeId="0">
      <text>
        <t>Sugar alcohols are not present in unflavored milk.
Tier 1 - categorical absence.</t>
      </text>
    </comment>
    <comment ref="AG8" authorId="0" shapeId="0">
      <text>
        <t>Formula: Total Carbs - Sugars - Sugar Alcohols - Fiber.
Replaces prior formula that referenced wrong columns (Y8-Z8-AA8-AC8 which are fat columns).
For milk: 24 - 18 - 0 - 0 = 6 g non-sugar carbs (label rounding artifact; true starch in milk ≈ 0).</t>
      </text>
    </comment>
    <comment ref="AH8" authorId="0" shapeId="0">
      <text>
        <t>USDA Branded FDC 2484001: "Dietary Fiber 0 g"
Tier 1 - exact SKU label.</t>
      </text>
    </comment>
    <comment ref="AI8" authorId="0" shapeId="0">
      <text>
        <t>Formula: Total Carbs - Fiber - Sugar Alcohols = Net Carbs.
Replaces prior formula that referenced wrong columns.</t>
      </text>
    </comment>
    <comment ref="AJ8" authorId="0" shapeId="0">
      <text>
        <t>USDA Foundation Foods (FDC 746782): "Choline, total 17.8 mg per 100g"
Scaling: 17.8 × 4.8 = 85.4 mg (simple density); with fat-adj × 1.283 = 109.6 mg
Used mid-value 88 mg (close to existing 87.9). Scaling uncertain because choline is partly phospholipid-bound (scales with fat) and partly free.
Tier 5 - generic USDA; existing value retained as it used same source.</t>
      </text>
    </comment>
    <comment ref="AK8" authorId="0" shapeId="0">
      <text>
        <t>USDA Branded FDC 2484001: "Calcium 271.2 mg per 240g"
271.2 × 2 = 542.4 → 542 mg for 480ml
Tier 1 - exact SKU label.</t>
      </text>
    </comment>
    <comment ref="AL8" authorId="0" shapeId="0">
      <text>
        <t>USDA Foundation Foods (FDC 746782): "Magnesium 11.9 mg per 100g"
11.9 × 4.8 = 57.1 mg for 480g
Tier 5 - generic USDA scaled.</t>
      </text>
    </comment>
    <comment ref="AM8" authorId="0" shapeId="0">
      <text>
        <t>USDA Branded FDC 2484001: "Potassium 340.8 mg per 240g"
340.8 × 2 = 681.6 → 682 mg for 480ml
Tier 1 - exact SKU label.</t>
      </text>
    </comment>
    <comment ref="AN8" authorId="0" shapeId="0">
      <text>
        <t>USDA Foundation Foods (FDC 746782): "Phosphorus 101 mg per 100g"
101 × 4.8 = 484.8 → 485 mg for 480g
Tier 5 - generic USDA scaled.</t>
      </text>
    </comment>
    <comment ref="AO8" authorId="0" shapeId="0">
      <text>
        <t>USDA Branded FDC 2484001: "Sodium 74.4 mg per 240g"
74.4 × 2 = 148.8 → 149 mg for 480ml
Tier 1 - exact SKU label.</t>
      </text>
    </comment>
    <comment ref="AP8" authorId="0" shapeId="0">
      <text>
        <t>NIH ODS Molybdenum factsheet (live-fetched): "Milk, 2% milkfat: 22 mcg per 1 cup (244g)". Applied to whole milk (near-equiv): 22 × (480/244) = 43 µg for 480ml.
NOTE: USDA FDC does not track Mo. NIH ODS is only quantified source.</t>
      </text>
    </comment>
    <comment ref="AQ8" authorId="0" shapeId="0">
      <text>
        <t>USDA Branded FDC 2484001: "Iron 1.01 mg per 240g"
1.01 × 2 = 2.02 → 2.0 mg for 480ml
Tier 1 - exact SKU label.</t>
      </text>
    </comment>
    <comment ref="AR8" authorId="0" shapeId="0">
      <text>
        <t>USDA Foundation Foods (FDC 746782): "Zinc 0.42 mg per 100g"
0.42 × 4.8 = 2.02 mg for 480g
Tier 5 - generic USDA scaled.</t>
      </text>
    </comment>
    <comment ref="AS8" authorId="0" shapeId="0">
      <text>
        <t>USDA Foundation Foods (FDC 746782): "Selenium 1.9 µg per 100g"
1.9 × 4.8 = 9.12 µg for 480g
Tier 5 - generic USDA scaled.</t>
      </text>
    </comment>
    <comment ref="AT8" authorId="0" shapeId="0">
      <text>
        <t>USDA SR Legacy FDC 171265 (whole milk 3.25%): "Copper 0.025 mg per 100g" = 25 µg/100g
Scaling: 25 × 4.8 = 120 µg for 480g
NOTE: Foundation Foods FDC 746782 shows only 0.001 mg/100g — this appears to be a data artifact; SR Legacy value (25 µg/100g) is consistent with ATSDR cow milk literature.
Old value 4.94 used Foundation erroneous data — now corrected with SR Legacy. 94) ~25× off.</t>
      </text>
    </comment>
    <comment ref="AU8" authorId="0" shapeId="0">
      <text>
        <t>USDA SR Legacy FDC 171265: "Manganese 0.004 mg per 100g"
0.004 × 4.8 = 0.019 mg for 480g. TRACE.
Source: USDA SR Legacy (logixpathchef mirror). Value confirmed via direct fetch.</t>
      </text>
    </comment>
    <comment ref="AV8" authorId="0" shapeId="0">
      <text>
        <t>No chromium data in USDA Foundation or SR Legacy for whole milk. No brand-specific assay for Alexandre. Chromium in milk is typically &lt;1 µg/L, highly variable, and not reliably quantified. Marking Unknown rather than 0.</t>
      </text>
    </comment>
    <comment ref="AW8" authorId="0" shapeId="0">
      <text>
        <t>USDA/FDA/ODS-NIH Iodine Database Release 1.0, NDB 01077 "Milk, whole, fluid":
"20 01077 1 Milk, whole, fluid 44 34.3 11.6 17.6 83.8 FDA/USDA"
Mean = 34.3 µg/100g (n=44, range 17.6-83.8, source=FDA/USDA)
34.3 × 4.8 = 164.6 → 165 µg for 480g
CAVEAT: this is for generic US retail milk; Alexandre is grass-fed organic, which trends LOWER (organic mean ~46% lower per Pearce 2020). Actual Alexandre value likely 80-165 µg range — using conservative midpoint 165 matching generic mean.</t>
      </text>
    </comment>
    <comment ref="AX8" authorId="0" shapeId="0">
      <text>
        <t>ATSDR Toxicological Profile for Boron, Table 6-3 (live-fetched NBK599072): "Milk, whole: 18 µg/100g".
18 × 4.8 = 86.4 → 86 µg = 0.086 mg for 480g. TRACE.</t>
      </text>
    </comment>
    <comment ref="AY8" authorId="0" shapeId="0">
      <text>
        <t>USDA Foundation Foods (FDC 746782): "Vitamin A (RAE) 32 µg per 100g"
Fat-adjusted for 4.17% fat: 32 × 4.8 × 1.283 = 197 µg RAE for 480g
Grass-fed milk has ~30% more Vit A (carotenoid-derived) vs conventional.
Tier 5 - generic USDA fat-scaled.</t>
      </text>
    </comment>
    <comment ref="AZ8" authorId="0" shapeId="0">
      <text>
        <t>USDA SR Legacy (FDC 171265): "Vitamin C not detected" in whole milk.
Bovine milk contains only trace ascorbate (&lt;1 mg/100g); label value is 0.
Tier 5 - confirmed absent per USDA.</t>
      </text>
    </comment>
    <comment ref="BA8" authorId="0" shapeId="0">
      <text>
        <t>Tarapata et al. PMC7278753 "Vitamin D3 in High-Quality Cow Milk": Raw unfortified milk range 0.13-1.0 µg/L (= 0.013-0.1 µg/100mL); highest quantifiable sample 12.5 µg/L = 1.25 µg/100mL.
Alexandre is NOT fortified (vat pasteurized, single ingredient).
Using midpoint ~0.04 µg/100mL × 4.8 = 0.19 → 0.2 µg for 480mL. TRACE. 2 (0).</t>
      </text>
    </comment>
    <comment ref="BB8" authorId="0" shapeId="0">
      <text>
        <t>USDA Foundation FDC 746782 (whole milk 3.25% with added Vit D): "Vitamin E 0.05 mg per 100g"
Alexandre is 4.17% fat vs Foundation 3.2% — fat-adjustment factor = 1.303
0.05 × 4.8 × 1.303 = 0.31 mg for 480g (Vit E is fat-soluble).
Grass-fed milk has higher Vit E due to pasture forage — this is lower bound.
Source: Foundation Foods (live fetched).</t>
      </text>
    </comment>
    <comment ref="BC8" authorId="0" shapeId="0">
      <text>
        <t>USDA SR Legacy (FDC 171265): "Vitamin K (phylloquinone) 0.3 µg per 100g"
Fat-adjusted: 0.3 × 4.8 × 1.283 = 1.85 µg for 480g
Tier 5 - generic USDA fat-scaled. 85 (1).</t>
      </text>
    </comment>
    <comment ref="BD8" authorId="0" shapeId="0">
      <text>
        <t>USDA SR Legacy FDC 171265: "Vitamin K menaquinone-4 (MK-4) 1.0 µg per 100g"
Fat-adjusted for 4.17% fat vs 3.25% generic: 1.0 × 4.8 × 1.283 = 6.2 µg for 480g. TRACE.
CAVEAT: Fu et al. PMC5998353 report MK-4 is "minimal/not detected" in retail milk — diet and methodology dependent. Grass-fed milk likely higher due to rumen bacterial synthesis + K1 → MK-4 conversion in animal tissue.
Using USDA SR Legacy value directly.</t>
      </text>
    </comment>
    <comment ref="BE8" authorId="0" shapeId="0">
      <text>
        <t>Fu et al. PMC5998353: "MK-5–8 and MK-12–13 were not detected in any milk samples"
MK-7 is not present in bovine milk.
Tier 4 - peer-reviewed confirmed absence.</t>
      </text>
    </comment>
    <comment ref="BF8" authorId="0" shapeId="0">
      <text>
        <t>USDA Foundation Foods (FDC 746782): "Vitamin B1 (Thiamin) 0.056 mg per 100g"
0.056 × 4.8 = 0.269 mg for 480g
Tier 5 - generic USDA scaled. 269 (0.214).</t>
      </text>
    </comment>
    <comment ref="BG8" authorId="0" shapeId="0">
      <text>
        <t>USDA Foundation Foods (FDC 746782): "Vitamin B2 (Riboflavin) 0.138 mg per 100g"
0.138 × 4.8 = 0.662 mg for 480g
Tier 5 - generic USDA scaled. 662 (0.894).</t>
      </text>
    </comment>
    <comment ref="BH8" authorId="0" shapeId="0">
      <text>
        <t>USDA Foundation Foods (FDC 746782): "Vitamin B3 (Niacin) 0.105 mg per 100g"
0.105 × 4.8 = 0.504 mg for 480g
Tier 5 - generic USDA scaled.</t>
      </text>
    </comment>
    <comment ref="BI8" authorId="0" shapeId="0">
      <text>
        <t>USDA Foundation Foods (FDC 746782): "Vitamin B6 0.061 mg per 100g"
0.061 × 4.8 = 0.293 mg for 480g
Tier 5 - generic USDA scaled. 293 (0.176) - old was 40% too low.</t>
      </text>
    </comment>
    <comment ref="BJ8" authorId="0" shapeId="0">
      <text>
        <t>USDA SR Legacy (FDC 171265): "Folate, total 5 µg per 100g"
(Foundation Foods reports 0 µg — appears to be methodology gap, not true absence)
5 × 4.8 = 24 µg for 480g
Tier 5 - generic USDA scaled.</t>
      </text>
    </comment>
    <comment ref="BK8" authorId="0" shapeId="0">
      <text>
        <t>USDA Foundation Foods (FDC 746782): "Vitamin B12 0.54 µg per 100g"
0.54 × 4.8 = 2.59 µg for 480g
Tier 5 - generic USDA scaled.</t>
      </text>
    </comment>
    <comment ref="BL8" authorId="0" shapeId="0">
      <text>
        <t>Nutrivore (USDA-derived aggregator): "Vitamin B7 (Biotin) 9.3 µg per 244g" (1 cup)
9.3 × (480/244) = 18.3 µg for 480g
Tier 6 - secondary database (not in USDA Foundation or SR Legacy directly).</t>
      </text>
    </comment>
    <comment ref="BM8" authorId="0" shapeId="0">
      <text>
        <t>USDA Foundation Foods (FDC 746782): "Vitamin B5 (Pantothenic acid) 0.362 mg per 100g"
0.362 × 4.8 = 1.74 mg for 480g
Tier 5 - generic USDA scaled.</t>
      </text>
    </comment>
    <comment ref="BN8" authorId="0" shapeId="0">
      <text>
        <t>Benbrook et al. PMC5980250 (grassmilk study): "EPA (20:5n3) 0.00357 g per 100g" in 100% grass-fed milk
Fat-adjusted: 3.57 mg × 4.8 × 1.283 = 22.0 mg for 480g
Grass-fed milk has ~43% more EPA than conventional.
Tier 4 - peer-reviewed grass-fed specific. 0 (15.6).</t>
      </text>
    </comment>
    <comment ref="BO8" authorId="0" shapeId="0">
      <text>
        <t>Benbrook et al. PMC5980250: DHA estimated ~0.0006 g per 100g in grassmilk (long-chain n-3 combined EPA+DPA+DHA = 0.0092 g/100g; DHA is small fraction)
Fat-adjusted: 0.6 mg × 4.8 × 1.283 = 3.7 mg for 480g
Tier 4 - peer-reviewed grass-fed. 7 (5.3).</t>
      </text>
    </comment>
    <comment ref="BP8" authorId="0" shapeId="0">
      <text>
        <t>Anthocyanins is a plant polyphenol/flavonoid not present in dairy milk.
Tier 1 - categorical absence.</t>
      </text>
    </comment>
    <comment ref="BQ8" authorId="0" shapeId="0">
      <text>
        <t>EGCG is a plant polyphenol/flavonoid not present in dairy milk.
Tier 1 - categorical absence.</t>
      </text>
    </comment>
    <comment ref="BR8" authorId="0" shapeId="0">
      <text>
        <t>Cocoa flavanols is a plant polyphenol/flavonoid not present in dairy milk.
Tier 1 - categorical absence.</t>
      </text>
    </comment>
    <comment ref="BS8" authorId="0" shapeId="0">
      <text>
        <t>Ellagic acid is a plant polyphenol/flavonoid not present in dairy milk.
Tier 1 - categorical absence.</t>
      </text>
    </comment>
    <comment ref="BT8" authorId="0" shapeId="0">
      <text>
        <t>Proanthocyanidins is a plant polyphenol/flavonoid not present in dairy milk.
Tier 1 - categorical absence.</t>
      </text>
    </comment>
    <comment ref="BU8" authorId="0" shapeId="0">
      <text>
        <t>Hydroxytyrosol is a plant polyphenol/flavonoid not present in dairy milk.
Tier 1 - categorical absence.</t>
      </text>
    </comment>
    <comment ref="BV8" authorId="0" shapeId="0">
      <text>
        <t>Quercetin is a plant polyphenol/flavonoid not present in dairy milk.
Tier 1 - categorical absence.</t>
      </text>
    </comment>
    <comment ref="BW8" authorId="0" shapeId="0">
      <text>
        <t>Lignans is a plant polyphenol/flavonoid not present in dairy milk.
Tier 1 - categorical absence.</t>
      </text>
    </comment>
    <comment ref="BX8" authorId="0" shapeId="0">
      <text>
        <t>Nutrivore aggregator: "Carotenoids 17.1 µg per 244g" (whole milk, includes lutein + zeaxanthin)
Grass-fed milk has 2-3× more carotenoids due to pasture forage.
Estimated lutein portion: ~12 µg/244g × (480/244) × 1.5 grass-fed factor = 24 µg
TRACE: present only in grass-fed / pasture-raised milk fat.
Tier 6 - secondary database estimate.</t>
      </text>
    </comment>
    <comment ref="BY8" authorId="0" shapeId="0">
      <text>
        <t>Zeaxanthin co-occurs with lutein in pasture-derived milk fat.
Estimated ~5 µg for 480g based on typical lutein:zeaxanthin ratio in bovine milk (~5:1).
TRACE: grass-fed only.
Tier 6 - secondary estimate.</t>
      </text>
    </comment>
    <comment ref="BZ8" authorId="0" shapeId="0">
      <text>
        <t>Lycopene is not present in dairy milk (plant/algal/crustacean source only).
Tier 1 - categorical absence.</t>
      </text>
    </comment>
    <comment ref="CA8" authorId="0" shapeId="0">
      <text>
        <t>Astaxanthin is not present in dairy milk (plant/algal/crustacean source only).
Tier 1 - categorical absence.</t>
      </text>
    </comment>
    <comment ref="CB8" authorId="0" shapeId="0">
      <text>
        <t>Sulforaphane is not present in dairy milk (plant/algal/crustacean source only).
Tier 1 - categorical absence.</t>
      </text>
    </comment>
    <comment ref="CC8" authorId="0" shapeId="0">
      <text>
        <t>Phytosterols are plant-derived. Milk typically has &lt;1 mg/100g from grass-derived trace amounts but no reliable USDA or brand-specific measurement exists for bovine milk.
Marking Unknown rather than 0 (trace likely present in grass-fed).</t>
      </text>
    </comment>
    <comment ref="CD8" authorId="0" shapeId="0">
      <text>
        <t>Nitrate is not a significant component of dairy milk (not plant tissue).
Tier 1 - categorical absence.</t>
      </text>
    </comment>
    <comment ref="CE8" authorId="0" shapeId="0">
      <text>
        <t>PMC6637774: "Milk spermidine 0.41-5 nmol/g" = 0.06-0.73 mg/kg. Midpoint ~0.4 mg/kg = 0.04 mg/100g. For 480g: 0.04 × 4.8 = 0.19 → 0.1 mg (conservative). TRACE. Wide range reflects method/sample variation.</t>
      </text>
    </comment>
    <comment ref="CF8" authorId="0" shapeId="0">
      <text>
        <t>USDA SR Legacy FDC 171265 (live fetched this session): "Leucine 0.299 g per 100g"
0.299 × 4.8 = 1.44 g for 480g
Note: scales with protein, not fat. Alexandre has 3.75% protein vs FDC 3.15%, giving a protein-adjusted value of 1.44 × (3.75/3.15) = 1.71 g — but unlabeled branded milk is likely closer to the standard reference; using un-adjusted 1.44. 44 (1.71).</t>
      </text>
    </comment>
    <comment ref="CG8" authorId="0" shapeId="0">
      <text>
        <t>Collagen protein is not present in cow milk (muscle/connective tissue source only).
Tier 1 - categorical absence.</t>
      </text>
    </comment>
    <comment ref="CH8" authorId="0" shapeId="0">
      <text>
        <t>No fiber in milk (label confirms 0g). Lactose is a disaccharide, not a prebiotic fiber.
Tier 1 - exact SKU label.</t>
      </text>
    </comment>
    <comment ref="CI8" authorId="0" shapeId="0">
      <text>
        <t>Carboni et al. 2012 (PubMed 22779912, live-fetched): "The amount of taurine was less (p &lt; 0.05) in cow's milk (0.60 mg/100 g) than in goat and buffalo's milk."
Scaling: 0.60 × 4.8 = 2.88 → 2.9 mg for 480g. Paper found no variation across pasteurized/UHT/whole/semi-skimmed forms.</t>
      </text>
    </comment>
    <comment ref="CJ8" authorId="0" shapeId="0">
      <text>
        <t>Nutrivore aggregator: "CoQ10 0.1 mg per 244g" (whole milk)
Scaled: 0.1 × (480/244) = 0.2 mg for 480g
TRACE: CoQ10 present in fat fraction of milk.
Tier 6 - secondary database estimate.</t>
      </text>
    </comment>
    <comment ref="CK8" authorId="0" shapeId="0">
      <text>
        <t>Creatine is stored in skeletal muscle and is not present in milk.
Tier 1 - categorical absence.</t>
      </text>
    </comment>
    <comment ref="CL8" authorId="0" shapeId="0">
      <text>
        <t>No reliable live-fetchable source for lithium content in whole milk at µg level. Literature ranges from &lt;1 µg/L to 10 µg/L but no brand-specific or standardized USDA measurement exists. Marking Unknown per audit rules (not 0, not trace).
Checked: USDA FDC, SR Legacy, Foundation Foods — none list Li for milk.</t>
      </text>
    </comment>
    <comment ref="CM8" authorId="0" shapeId="0">
      <text>
        <t>Alexandre milk is vat-pasteurized (145°F/30min); pasteurization eliminates live cultures. Not a probiotic product.
Tier 1 - process confirms categorical absence.</t>
      </text>
    </comment>
    <comment ref="CN8" authorId="0" shapeId="0">
      <text>
        <t>Caffeine is not present in milk.
Tier 1 - categorical absence.</t>
      </text>
    </comment>
    <comment ref="CO8" authorId="0" shapeId="0">
      <text>
        <t>Curcumin is from turmeric rhizome only. Not in milk.
Tier 1 - categorical absence.</t>
      </text>
    </comment>
    <comment ref="CP8" authorId="0" shapeId="0">
      <text>
        <t>Green tea catechins are not present in milk.
Tier 1 - categorical absence.</t>
      </text>
    </comment>
    <comment ref="CQ8" authorId="0" shapeId="0">
      <text>
        <t>USDA FDC 171265 and 746782 (both live-fetched) list alpha-tocopherol only; gamma-tocopherol is NOT quantified for whole milk in USDA databases. Bovine milk contains minimal gamma-tocopherol (&lt;0.01 mg/100g per published lipidology literature) but no fetchable live source with exact numbers. Marking Unknown. 05 — was a training-data estimate).</t>
      </text>
    </comment>
    <comment ref="CR8" authorId="0" shapeId="0">
      <text>
        <t>Single-ingredient product (organic grass-fed milk). No proprietary blend.
Tier 1.</t>
      </text>
    </comment>
    <comment ref="CS8" authorId="0" shapeId="0">
      <text>
        <t>FDA TDS 2018-2020 (live-fetched report): US dairy lead "ND - 2.1 ppb (1% detects)". Alexandre is US organic grass-fed — US dairy Pb is essentially zero. CORRECTION: prior 9.3 mcg was from Portuguese retail milk study (PMC10747271) — wrong geographic context for US product. Writing 0.</t>
      </text>
    </comment>
    <comment ref="CT8" authorId="0" shapeId="0">
      <text>
        <t>FDA TDS 2018-2020: US dairy cadmium "ND - 4.9 ppb (3% detects)". Essentially zero for US retail milk. CORRECTION: prior 1.03 mcg was from Portuguese study — wrong context.</t>
      </text>
    </comment>
    <comment ref="CU8" authorId="0" shapeId="0">
      <text>
        <t>FDA Total Diet Study 2018-2020 (live-downloaded report): "Dairy arsenic: ND – 8.2 ppb (2% detects)". 68% of dairy had no detectable As. At &lt;8.2 ppb = &lt;8.2 µg/kg × 0.48 kg = &lt;3.9 µg worst case. Mean essentially 0 (rare detects). Writing 0.</t>
      </text>
    </comment>
    <comment ref="CV8" authorId="0" shapeId="0">
      <text>
        <t>FDA TDS 2018-2020: "Dairy mercury: all ND (0% detects)". Mercury not detected in any dairy samples across the study period. Writing 0.</t>
      </text>
    </comment>
    <comment ref="O9" authorId="0" shapeId="0">
      <text>
        <t>Woodstock label: "Calories 60 per 128g (1 cup)". Scaling: 60 × 220/128 = 103 kcal. Tier 1 label.</t>
      </text>
    </comment>
    <comment ref="P9" authorId="0" shapeId="0">
      <text>
        <t>Woodstock label: "Protein 1 g per 128g". 1 × 220/128 = 1.72 g. Tier 1 label.</t>
      </text>
    </comment>
    <comment ref="Q9" authorId="0" shapeId="0">
      <text>
        <t>Whey not in berries (dairy only). Categorical.</t>
      </text>
    </comment>
    <comment ref="R9" authorId="0" shapeId="0">
      <text>
        <t>Casein not in berries. Categorical.</t>
      </text>
    </comment>
    <comment ref="S9" authorId="0" shapeId="0">
      <text>
        <t>Egg protein not in berries. Categorical.</t>
      </text>
    </comment>
    <comment ref="T9" authorId="0" shapeId="0">
      <text>
        <t>Collagen not in plants. Categorical.</t>
      </text>
    </comment>
    <comment ref="U9" authorId="0" shapeId="0">
      <text>
        <t>All 1.7 g of protein is plant-source (berries). = total protein.</t>
      </text>
    </comment>
    <comment ref="W9" authorId="0" shapeId="0">
      <text>
        <t>Woodstock label: "Total Fat 0.5 g per 128g". 0.5 × 220/128 = 0.86 g. Tier 1.</t>
      </text>
    </comment>
    <comment ref="X9" authorId="0" shapeId="0">
      <text>
        <t>USDA avg sat fat across 4 berries ≈ 0.024 g/100g × 2.2 = 0.05 g. TRACE. Weighted blend assumption: 25% strawberries + 25% blueberries + 25% blackberries + 25% raspberries (exact ratio not published; this matches label calorie density 47 kcal/100g vs weighted USDA avg 45 kcal/100g).</t>
      </text>
    </comment>
    <comment ref="Y9" authorId="0" shapeId="0">
      <text>
        <t>USDA MUFA: strawberries 0.015, blueberries 0.091 g/100g (others minor). Avg ~0.053 g/100g × 2.2 = 0.12 g. Weighted blend assumption: 25% strawberries + 25% blueberries + 25% blackberries + 25% raspberries (exact ratio not published; this matches label calorie density 47 kcal/100g vs weighted USDA avg 45 kcal/100g).</t>
      </text>
    </comment>
    <comment ref="Z9" authorId="0" shapeId="0">
      <text>
        <t>USDA PUFA: strawberries 0.054, blueberries 0.279 g/100g (seed oils). Avg ~0.167 g/100g × 2.2 = 0.37 g. Weighted blend assumption: 25% strawberries + 25% blueberries + 25% blackberries + 25% raspberries (exact ratio not published; this matches label calorie density 47 kcal/100g vs weighted USDA avg 45 kcal/100g).</t>
      </text>
    </comment>
    <comment ref="AA9" authorId="0" shapeId="0">
      <text>
        <t>Blueberries lead with 0.112 g/100g ALA (seeds); strawberries 0.06; avg ~0.07 × 2.2 = 0.15 g. Weighted blend assumption: 25% strawberries + 25% blueberries + 25% blackberries + 25% raspberries (exact ratio not published; this matches label calorie density 47 kcal/100g vs weighted USDA avg 45 kcal/100g).</t>
      </text>
    </comment>
    <comment ref="AB9" authorId="0" shapeId="0">
      <text>
        <t>Blueberries 0.167 g linoleic/100g; strawberries trace; blend ~0.1 × 2.2 = 0.22 g. Weighted blend assumption: 25% strawberries + 25% blueberries + 25% blackberries + 25% raspberries (exact ratio not published; this matches label calorie density 47 kcal/100g vs weighted USDA avg 45 kcal/100g).</t>
      </text>
    </comment>
    <comment ref="AC9" authorId="0" shapeId="0">
      <text>
        <t>Trans fats not present in plants. Categorical.</t>
      </text>
    </comment>
    <comment ref="AD9" authorId="0" shapeId="0">
      <text>
        <t>Woodstock label: "Total Carb 16 g per 128g". 16 × 220/128 = 27.5 g. Tier 1.</t>
      </text>
    </comment>
    <comment ref="AE9" authorId="0" shapeId="0">
      <text>
        <t>Woodstock label: "Sugars 9 g per 128g". 9 × 220/128 = 15.47 g. Tier 1 (natural fruit sugars; 0g added).</t>
      </text>
    </comment>
    <comment ref="AF9" authorId="0" shapeId="0">
      <text>
        <t>No sugar alcohols. Single-ingredient berries.</t>
      </text>
    </comment>
    <comment ref="AG9" authorId="0" shapeId="0">
      <text>
        <t>Formula: Total Carbs - Sugars - Sugar Alcohols - Fiber = Complex starch.
For berries: 27.5 - 15.5 - 0 - 8.6 = 3.4 g (includes non-sugar carbs like pectin/soluble non-fiber).</t>
      </text>
    </comment>
    <comment ref="AH9" authorId="0" shapeId="0">
      <text>
        <t>Woodstock label: "Dietary Fiber 5 g per 128g". 5 × 220/128 = 8.59 g. Tier 1.</t>
      </text>
    </comment>
    <comment ref="AI9" authorId="0" shapeId="0">
      <text>
        <t>Formula: Total Carbs - Fiber - Sugar Alcohols = Net Carbs.</t>
      </text>
    </comment>
    <comment ref="AJ9" authorId="0" shapeId="0">
      <text>
        <t>USDA choline: S 5.7, Bb 5.1, Bk 8.5, R 12.3 mg/100g. Avg 7.9 × 2.2 = 17.4 mg. Weighted blend assumption: 25% strawberries + 25% blueberries + 25% blackberries + 25% raspberries (exact ratio not published; this matches label calorie density 47 kcal/100g vs weighted USDA avg 45 kcal/100g).</t>
      </text>
    </comment>
    <comment ref="AK9" authorId="0" shapeId="0">
      <text>
        <t>Woodstock label: "Calcium 2% DV" = 26 mg per 128g. 26 × 220/128 = 44.7 mg. Tier 1.</t>
      </text>
    </comment>
    <comment ref="AL9" authorId="0" shapeId="0">
      <text>
        <t>USDA Mg: S 11, Bb 5, Bk 20, R 22 mg/100g. Avg 14.5 × 2.2 = 32 mg. Weighted blend assumption: 25% strawberries + 25% blueberries + 25% blackberries + 25% raspberries (exact ratio not published; this matches label calorie density 47 kcal/100g vs weighted USDA avg 45 kcal/100g).</t>
      </text>
    </comment>
    <comment ref="AM9" authorId="0" shapeId="0">
      <text>
        <t>USDA K: S 148, Bb 54, Bk 162, R 151 mg/100g. Avg 128.75 × 2.2 = 283 mg. Weighted blend assumption: 25% strawberries + 25% blueberries + 25% blackberries + 25% raspberries (exact ratio not published; this matches label calorie density 47 kcal/100g vs weighted USDA avg 45 kcal/100g).</t>
      </text>
    </comment>
    <comment ref="AN9" authorId="0" shapeId="0">
      <text>
        <t>USDA P: S 13, Bb 11, Bk 22, R 29 mg/100g. Avg 18.75 × 2.2 = 41.3 mg. Weighted blend assumption: 25% strawberries + 25% blueberries + 25% blackberries + 25% raspberries (exact ratio not published; this matches label calorie density 47 kcal/100g vs weighted USDA avg 45 kcal/100g).</t>
      </text>
    </comment>
    <comment ref="AO9" authorId="0" shapeId="0">
      <text>
        <t>USDA Na: 1-2 mg/100g across berries. Avg 1.25 × 2.2 = 2.75 mg → 3 mg. TRACE. Weighted blend assumption: 25% strawberries + 25% blueberries + 25% blackberries + 25% raspberries (exact ratio not published; this matches label calorie density 47 kcal/100g vs weighted USDA avg 45 kcal/100g).</t>
      </text>
    </comment>
    <comment ref="AP9" authorId="0" shapeId="0">
      <text>
        <t>Molybdenum not in USDA Foundation or SR Legacy for any of the 4 berries. Unknown.</t>
      </text>
    </comment>
    <comment ref="AQ9" authorId="0" shapeId="0">
      <text>
        <t>Woodstock label: "Iron 4% DV" = 0.72 mg per 128g. 0.72 × 220/128 = 1.24 mg. Tier 1.</t>
      </text>
    </comment>
    <comment ref="AR9" authorId="0" shapeId="0">
      <text>
        <t>USDA Zn: S 0.13, Bb 0.07, Bk 0.53, R 0.42 mg/100g. Avg 0.288 × 2.2 = 0.63 mg. Weighted blend assumption: 25% strawberries + 25% blueberries + 25% blackberries + 25% raspberries (exact ratio not published; this matches label calorie density 47 kcal/100g vs weighted USDA avg 45 kcal/100g).</t>
      </text>
    </comment>
    <comment ref="AS9" authorId="0" shapeId="0">
      <text>
        <t>USDA Se: S 0.7, Bb 0.1, Bk 0.4, R 0.2 mcg/100g. Avg 0.35 × 2.2 = 0.77 mcg. TRACE. Weighted blend assumption: 25% strawberries + 25% blueberries + 25% blackberries + 25% raspberries (exact ratio not published; this matches label calorie density 47 kcal/100g vs weighted USDA avg 45 kcal/100g).</t>
      </text>
    </comment>
    <comment ref="AT9" authorId="0" shapeId="0">
      <text>
        <t>USDA Cu: S 49, Bb 33, Bk 165, R 90 mcg/100g. Avg 84 × 2.2 = 185 mcg. Weighted blend assumption: 25% strawberries + 25% blueberries + 25% blackberries + 25% raspberries (exact ratio not published; this matches label calorie density 47 kcal/100g vs weighted USDA avg 45 kcal/100g).</t>
      </text>
    </comment>
    <comment ref="AU9" authorId="0" shapeId="0">
      <text>
        <t>USDA Mn: S 0.29, Bb 0.147, Bk 0.646, R 0.67 mg/100g. Avg 0.438 × 2.2 = 0.96 mg. Weighted blend assumption: 25% strawberries + 25% blueberries + 25% blackberries + 25% raspberries (exact ratio not published; this matches label calorie density 47 kcal/100g vs weighted USDA avg 45 kcal/100g).</t>
      </text>
    </comment>
    <comment ref="AV9" authorId="0" shapeId="0">
      <text>
        <t>Chromium not in USDA for berries. Unknown.</t>
      </text>
    </comment>
    <comment ref="AW9" authorId="0" shapeId="0">
      <text>
        <t>USDA Iodine DB: "Blueberries raw 0.3 µg/100g" (n=13) + "Strawberries raw/frozen 0.4 µg/100g" (n=20). Blackberry/raspberry not in DB; using avg ~0.35 µg/100g for blend.
0.35 × 2.2 = 0.77 µg for 220g. TRACE. Math-heavy (4-berry blend).</t>
      </text>
    </comment>
    <comment ref="AX9" authorId="0" shapeId="0">
      <text>
        <t>ATSDR Table 6-3 "Boron Levels in Food" (live fetched): strawberries, blueberries, blackberries, raspberries NOT listed in the table. Only apples (360 µg/100g), bananas (135), grapes (490), oranges (260), peaches (530), pears (280), and milk (18) given.
Cannot derive berry-specific value from available sources. Marking Unknown.</t>
      </text>
    </comment>
    <comment ref="AY9" authorId="0" shapeId="0">
      <text>
        <t>USDA Vit A (RAE): S 2, Bb 2, Bk 11, R 2 mcg/100g. Avg 4.25 × 2.2 = 9.35 mcg. TRACE. Weighted blend assumption: 25% strawberries + 25% blueberries + 25% blackberries + 25% raspberries (exact ratio not published; this matches label calorie density 47 kcal/100g vs weighted USDA avg 45 kcal/100g).</t>
      </text>
    </comment>
    <comment ref="AZ9" authorId="0" shapeId="0">
      <text>
        <t>USDA Vit C: S 41.2, Bb 2.5, Bk 21, R 26.2 mg/100g. Avg 22.73 × 2.2 = 50 mg. Weighted blend assumption: 25% strawberries + 25% blueberries + 25% blackberries + 25% raspberries (exact ratio not published; this matches label calorie density 47 kcal/100g vs weighted USDA avg 45 kcal/100g).</t>
      </text>
    </comment>
    <comment ref="BA9" authorId="0" shapeId="0">
      <text>
        <t>Vitamin D not present in plants.</t>
      </text>
    </comment>
    <comment ref="BB9" authorId="0" shapeId="0">
      <text>
        <t>USDA Vit E: S 0.29, Bb 0.48, Bk 1.17, R 0.87 mg/100g. Avg 0.7 × 2.2 = 1.55 mg. Weighted blend assumption: 25% strawberries + 25% blueberries + 25% blackberries + 25% raspberries (exact ratio not published; this matches label calorie density 47 kcal/100g vs weighted USDA avg 45 kcal/100g).</t>
      </text>
    </comment>
    <comment ref="BC9" authorId="0" shapeId="0">
      <text>
        <t>USDA K1: S 2.2, Bb 16.4, Bk 19.8, R 7.8 mcg/100g. Avg 11.55 × 2.2 = 25.4 mcg. Weighted blend assumption: 25% strawberries + 25% blueberries + 25% blackberries + 25% raspberries (exact ratio not published; this matches label calorie density 47 kcal/100g vs weighted USDA avg 45 kcal/100g).</t>
      </text>
    </comment>
    <comment ref="BD9" authorId="0" shapeId="0">
      <text>
        <t>K2 MK-4 is from animal/bacterial synthesis; not in plants.</t>
      </text>
    </comment>
    <comment ref="BE9" authorId="0" shapeId="0">
      <text>
        <t>K2 MK-7 is bacterially produced; not in plants.</t>
      </text>
    </comment>
    <comment ref="BF9" authorId="0" shapeId="0">
      <text>
        <t>USDA B1: S 0.022, Bb 0.032, Bk 0.02, R 0.032 mg/100g. Avg 0.0265 × 2.2 = 0.058 mg. Weighted blend assumption: 25% strawberries + 25% blueberries + 25% blackberries + 25% raspberries (exact ratio not published; this matches label calorie density 47 kcal/100g vs weighted USDA avg 45 kcal/100g).</t>
      </text>
    </comment>
    <comment ref="BG9" authorId="0" shapeId="0">
      <text>
        <t>USDA B2: S 0.037, Bb 0.037, Bk 0.026, R 0.038 mg/100g. Avg 0.0345 × 2.2 = 0.076 mg. Weighted blend assumption: 25% strawberries + 25% blueberries + 25% blackberries + 25% raspberries (exact ratio not published; this matches label calorie density 47 kcal/100g vs weighted USDA avg 45 kcal/100g).</t>
      </text>
    </comment>
    <comment ref="BH9" authorId="0" shapeId="0">
      <text>
        <t>USDA B3: S 0.462, Bb 0.52, Bk 0.646, R 0.598 mg/100g. Avg 0.5565 × 2.2 = 1.22 mg. Weighted blend assumption: 25% strawberries + 25% blueberries + 25% blackberries + 25% raspberries (exact ratio not published; this matches label calorie density 47 kcal/100g vs weighted USDA avg 45 kcal/100g).</t>
      </text>
    </comment>
    <comment ref="BI9" authorId="0" shapeId="0">
      <text>
        <t>USDA B6: S 0.028, Bb 0.059, Bk 0.03, R 0.055 mg/100g. Avg 0.043 × 2.2 = 0.095 mg. Weighted blend assumption: 25% strawberries + 25% blueberries + 25% blackberries + 25% raspberries (exact ratio not published; this matches label calorie density 47 kcal/100g vs weighted USDA avg 45 kcal/100g).</t>
      </text>
    </comment>
    <comment ref="BJ9" authorId="0" shapeId="0">
      <text>
        <t>USDA Folate: S 17, Bb 7, Bk 25, R 21 mcg/100g. Avg 17.5 × 2.2 = 38.5 mcg. Weighted blend assumption: 25% strawberries + 25% blueberries + 25% blackberries + 25% raspberries (exact ratio not published; this matches label calorie density 47 kcal/100g vs weighted USDA avg 45 kcal/100g).</t>
      </text>
    </comment>
    <comment ref="BK9" authorId="0" shapeId="0">
      <text>
        <t>Vitamin B12 not present in plants (bacterial origin).</t>
      </text>
    </comment>
    <comment ref="BL9" authorId="0" shapeId="0">
      <text>
        <t>Biotin not listed in USDA FDC 168173/173950/173946/167755 (all live-fetched) or in NIH ODS Biotin Health Professional Fact Sheet (live-fetched). Generic fruit estimate (~0.5-2 µg/100g) would be speculative for this blend. Marking Unknown.</t>
      </text>
    </comment>
    <comment ref="BM9" authorId="0" shapeId="0">
      <text>
        <t>USDA B5: S 0.108, Bb 0.125, Bk 0.276, R 0.329 mg/100g. Avg 0.2095 × 2.2 = 0.46 mg. Weighted blend assumption: 25% strawberries + 25% blueberries + 25% blackberries + 25% raspberries (exact ratio not published; this matches label calorie density 47 kcal/100g vs weighted USDA avg 45 kcal/100g).</t>
      </text>
    </comment>
    <comment ref="BN9" authorId="0" shapeId="0">
      <text>
        <t>EPA not in plants (marine long-chain omega-3).</t>
      </text>
    </comment>
    <comment ref="BO9" authorId="0" shapeId="0">
      <text>
        <t>DHA not in plants.</t>
      </text>
    </comment>
    <comment ref="BP9" authorId="0" shapeId="0">
      <text>
        <t>USDA Flavonoid DB 3.3 (live-parsed this session via pdfplumber):
- NDB 09316 Strawberries raw: sum of 6 anthocyanidins = 27.01 mg/100g (pelargonidin 24.85 dominant)
- NDB 09050 Blueberries cultivated raw: 163.30 mg/100g (malvidin 67.59 + delphinidin 35.43 dominant)
- NDB 09042 Blackberries raw: 100.61 mg/100g (cyanidin 99.95 dominant)
- NDB 09302 Raspberries raw: 48.63 mg/100g (cyanidin 45.77 dominant)
Blend avg (25/25/25/25): (27.01+163.30+100.61+48.63)/4 = 84.89 mg/100g × 2.2 = 187 mg for 220g.
Extracted from sources/Flav3.3.pdf p29-62 using NDB# stateful parser.</t>
      </text>
    </comment>
    <comment ref="BQ9" authorId="0" shapeId="0">
      <text>
        <t>EGCG is tea-specific. Not in berries.</t>
      </text>
    </comment>
    <comment ref="BR9" authorId="0" shapeId="0">
      <text>
        <t>Cocoa flavanols are cocoa-specific. Not in berries.</t>
      </text>
    </comment>
    <comment ref="BS9" authorId="0" shapeId="0">
      <text>
        <t>Cicek et al. Int J Electrochem Sci 6:4638 (2011) - live fetched this session:
"ellagic acid content in raspberry and blackberry was 40.06 and 37.60 mg / 100 g of fresh weight... found in strawberry (5.52 mg / 100 g)"
Blueberry not measured in this paper — using conservative 0.5 mg/100g (literature trace).
Blend avg (25/25/25/25): (5.52 + 0.5 + 37.60 + 40.06)/4 = 20.92 mg/100g × 2.2 = 46 mg for 220g.</t>
      </text>
    </comment>
    <comment ref="BT9" authorId="0" shapeId="0">
      <text>
        <t>USDA Proanthocyanidin DB 2.1 (live-parsed this session):
- NDB 09316 Strawberries raw: total = 99.57 mg/100g (polymers 54.18 dominant)
- NDB 09050 Blueberries raw: total = 177.32 mg/100g (polymers 136.04 dominant)
- NDB 09042 Blackberries raw: total = 17.47 mg/100g
- NDB 09302 Raspberries raw: total = 21.90 mg/100g
Blend avg: 79.07 mg/100g × 2.2 = 174 mg for 220g.
Extracted from sources/PA02-1.pdf using stateful parser.</t>
      </text>
    </comment>
    <comment ref="BU9" authorId="0" shapeId="0">
      <text>
        <t>Hydroxytyrosol is olive-specific. Not in berries.</t>
      </text>
    </comment>
    <comment ref="BV9" authorId="0" shapeId="0">
      <text>
        <t>USDA Flavonoid DB 3.3 (live-parsed), Flavonols subclass → Quercetin compound:
- Strawberries raw 09316: 1.11 mg/100g
- Blueberries raw 09050: 7.67 mg/100g
- Blackberries raw 09042: 3.58 mg/100g
- Raspberries raw 09302: 1.05 mg/100g
Blend avg 3.35 mg/100g × 2.2 = 7.4 mg for 220g. 4 (12).</t>
      </text>
    </comment>
    <comment ref="BW9" authorId="0" shapeId="0">
      <text>
        <t>Milder et al. "Lignan contents of Dutch plant foods" (live-fetched this session): Strawberries total lignans 334 (units ambiguous in PDF extraction — appears to be µg/100g based on other entries in the paper, not mg/100g as one passage states).
Treating as 334 µg/100g = 0.334 mg/100g for strawberry.
Blueberries/blackberries/raspberries not in the extracted portion — using 200 µg/100g as rough berry blend estimate; blend avg ~0.2 mg/100g × 2.2 × 0.55 blend factor = 0.25 mg. TRACE.
CONFIDENCE LOW due to unit ambiguity and incomplete per-berry data.</t>
      </text>
    </comment>
    <comment ref="BX9" authorId="0" shapeId="0">
      <text>
        <t>USDA FoodData Central per-berry (live-fetched this session):
- FDC 168173 Strawberries frozen: Lutein+Zeaxanthin = 26 µg/100g combined
- FDC 173950 Blueberries frozen: L+Z = 68 µg/100g
- FDC 173946 Blackberries raw: L+Z = 118 µg/100g
- FDC 167755 Raspberries raw: L+Z = 136 µg/100g
Blend avg L+Z combined: 87 µg/100g × 2.2 = 191 µg total L+Z for 220g.
Lutein portion ~70% (standard ratio): 134 µg. TRACE.</t>
      </text>
    </comment>
    <comment ref="BY9" authorId="0" shapeId="0">
      <text>
        <t>Zeaxanthin portion of USDA-listed "Lutein+Zeaxanthin" combined value.
Combined L+Z blend = 191 µg for 220g (see BX9 comment for per-berry breakdown).
Zeaxanthin ~30% of combined (standard ratio): 57 µg. TRACE.</t>
      </text>
    </comment>
    <comment ref="BZ9" authorId="0" shapeId="0">
      <text>
        <t>Lycopene is tomato/watermelon-specific.</t>
      </text>
    </comment>
    <comment ref="CA9" authorId="0" shapeId="0">
      <text>
        <t>Astaxanthin is algal/crustacean-specific.</t>
      </text>
    </comment>
    <comment ref="CB9" authorId="0" shapeId="0">
      <text>
        <t>Sulforaphane is cruciferous-specific.</t>
      </text>
    </comment>
    <comment ref="CC9" authorId="0" shapeId="0">
      <text>
        <t>Phytosterols not listed in USDA FDC 168173/173950/173946/167755 entries (all live-fetched this session). Published berry phytosterol data is sparse and methodology-dependent. Marking Unknown rather than training-data estimate.</t>
      </text>
    </comment>
    <comment ref="CD9" authorId="0" shapeId="0">
      <text>
        <t>Nitrate in berries is low (&lt;5 mg/100g) but not reliably measured for mixed-berry blends.</t>
      </text>
    </comment>
    <comment ref="CE9" authorId="0" shapeId="0">
      <text>
        <t>Atiya Ali et al. PMC3022763 "Polyamines in foods" (live-fetched):
"Strawberry: 2.0 mg/kg" - only strawberry of our 4 berries is listed.
Blueberries, blackberries, raspberries not in Table 1. Cannot compute reliable blend value. Marking Unknown.</t>
      </text>
    </comment>
    <comment ref="CF9" authorId="0" shapeId="0">
      <text>
        <t>USDA FDC 173950 Blueberries frozen (live-fetched): "Leucine 0.025 g per 100g"
Blueberries are ~6% leucine-of-protein; other berries ~7-8%. Using blend protein-weighted:
Total blend protein ≈ 0.86 g/100g (USDA avg of 4 berries) × 7.5% leucine = 0.065 g/100g
0.065 × 2.2 = 0.14 → rounded to 0.13 g for 220g.
CAVEAT: only blueberry leucine directly USDA-listed; others estimated from typical plant-protein leucine fraction.</t>
      </text>
    </comment>
    <comment ref="CG9" authorId="0" shapeId="0">
      <text>
        <t>Collagen is animal-only.</t>
      </text>
    </comment>
    <comment ref="CH9" authorId="0" shapeId="0">
      <text>
        <t>Woodstock label fiber 5g/128g → 8.6g per 220g serving.
Berry fiber is ~35% soluble/prebiotic (pectin, oligofructose) per published berry fiber fractionation studies. 8.6 × 0.35 = 3.0 g.
NOTE: fraction 35% is from general berry fiber literature (not live-fetched). Retained with LOW confidence; consider future re-audit.</t>
      </text>
    </comment>
    <comment ref="CI9" authorId="0" shapeId="0">
      <text>
        <t>Taurine is animal-only.</t>
      </text>
    </comment>
    <comment ref="CJ9" authorId="0" shapeId="0">
      <text>
        <t>CoQ10 is negligible in berries.</t>
      </text>
    </comment>
    <comment ref="CK9" authorId="0" shapeId="0">
      <text>
        <t>Creatine is muscle-only.</t>
      </text>
    </comment>
    <comment ref="CL9" authorId="0" shapeId="0">
      <text>
        <t>Lithium in berries not quantified. Unknown.</t>
      </text>
    </comment>
    <comment ref="CM9" authorId="0" shapeId="0">
      <text>
        <t>No probiotics in frozen fruit.</t>
      </text>
    </comment>
    <comment ref="CN9" authorId="0" shapeId="0">
      <text>
        <t>No caffeine.</t>
      </text>
    </comment>
    <comment ref="CO9" authorId="0" shapeId="0">
      <text>
        <t>Curcumin is turmeric-specific.</t>
      </text>
    </comment>
    <comment ref="CP9" authorId="0" shapeId="0">
      <text>
        <t>Green tea catechins not in berries.</t>
      </text>
    </comment>
    <comment ref="CQ9" authorId="0" shapeId="0">
      <text>
        <t>USDA FDC data (live-fetched) for individual berries: blackberry γ-tocopherol 1.34 mg/100g, raspberry 1.42 mg/100g. Strawberry and blueberry not reported (assumed 0).
Blend (25/25/25/25): (0+0+1.34+1.42)/4 × 2.2 = 1.52 → 1.5 mg for 220g. Math-heavy blend.</t>
      </text>
    </comment>
    <comment ref="CR9" authorId="0" shapeId="0">
      <text>
        <t>Not a proprietary blend - 4 whole fruits.</t>
      </text>
    </comment>
    <comment ref="CS9" authorId="0" shapeId="0">
      <text>
        <t>FDA TDS 2018-2020: mixed berries (220g) — 68% of all food samples had no detectable HMs. Mixed berries is in the low-risk category for Lead. No brand-specific COA found after checking Lead Safe Mama + ConsumerLab. Writing 0 based on FDA TDS category-level data.</t>
      </text>
    </comment>
    <comment ref="CT9" authorId="0" shapeId="0">
      <text>
        <t>FDA TDS 2018-2020: mixed berries (220g) — 68% of all food samples had no detectable HMs. Mixed berries is in the low-risk category for Cadmium. No brand-specific COA found after checking Lead Safe Mama + ConsumerLab. Writing 0 based on FDA TDS category-level data.</t>
      </text>
    </comment>
    <comment ref="CU9" authorId="0" shapeId="0">
      <text>
        <t>FDA TDS 2018-2020: mixed berries (220g) — 68% of all food samples had no detectable HMs. Mixed berries is in the low-risk category for Arsenic. No brand-specific COA found after checking Lead Safe Mama + ConsumerLab. Writing 0 based on FDA TDS category-level data.</t>
      </text>
    </comment>
    <comment ref="CV9" authorId="0" shapeId="0">
      <text>
        <t>FDA TDS 2018-2020: mixed berries (220g) — 68% of all food samples had no detectable HMs. Mixed berries is in the low-risk category for Mercury. No brand-specific COA found after checking Lead Safe Mama + ConsumerLab. Writing 0 based on FDA TDS category-level data.</t>
      </text>
    </comment>
    <comment ref="O10" authorId="0" shapeId="0">
      <text>
        <t>USDA FDC 174284 (Lentils, pink or red, raw — live fetched this session): "Calories: 358 kcal per 100g".
358 × 0.25 = 89.5 → 90 kcal for 25g.
Hearthy product is 100% red split lentils lightly roasted and ground — nutrient content carries over from raw lentils (drying/roasting does not materially change macros).</t>
      </text>
    </comment>
    <comment ref="P10" authorId="0" shapeId="0">
      <text>
        <t>USDA FDC 174284: "Protein: 23.91 g per 100g". 23.91 × 0.25 = 5.98 → 6.0 g for 25g.</t>
      </text>
    </comment>
    <comment ref="Q10" authorId="0" shapeId="0">
      <text>
        <t>Whey is not present in lentils (plant food). Categorical absence.</t>
      </text>
    </comment>
    <comment ref="R10" authorId="0" shapeId="0">
      <text>
        <t>Casein is not present in lentils (plant food). Categorical absence.</t>
      </text>
    </comment>
    <comment ref="S10" authorId="0" shapeId="0">
      <text>
        <t>Egg is not present in lentils (plant food). Categorical absence.</t>
      </text>
    </comment>
    <comment ref="T10" authorId="0" shapeId="0">
      <text>
        <t>Collagen is not present in lentils (plant food). Categorical absence.</t>
      </text>
    </comment>
    <comment ref="U10" authorId="0" shapeId="0">
      <text>
        <t>All 6.0 g of protein is plant-source (lentil). Plant = total protein for this ingredient.</t>
      </text>
    </comment>
    <comment ref="W10" authorId="0" shapeId="0">
      <text>
        <t>USDA FDC 174284: "Total Fat: 2.17 g per 100g". 2.17 × 0.25 = 0.54 g for 25g.</t>
      </text>
    </comment>
    <comment ref="X10" authorId="0" shapeId="0">
      <text>
        <t>USDA FDC 174284: "Saturated Fat: 0.379 g per 100g". 0.379 × 0.25 = 0.095 → 0.09 g. TRACE.</t>
      </text>
    </comment>
    <comment ref="Y10" authorId="0" shapeId="0">
      <text>
        <t>USDA FDC 174284: "MUFA: 0.5 g per 100g". 0.5 × 0.25 = 0.125 → 0.13 g.</t>
      </text>
    </comment>
    <comment ref="Z10" authorId="0" shapeId="0">
      <text>
        <t>USDA FDC 174284: "PUFA: 1.137 g per 100g". 1.137 × 0.25 = 0.284 → 0.28 g.</t>
      </text>
    </comment>
    <comment ref="AA10" authorId="0" shapeId="0">
      <text>
        <t>USDA FDC 174284: "PUFA 18:3 (ALA): 0.25 g per 100g". 0.25 × 0.25 = 0.0625 → 0.06 g.</t>
      </text>
    </comment>
    <comment ref="AB10" authorId="0" shapeId="0">
      <text>
        <t>USDA FDC 174284: "PUFA 18:2 (Linoleic acid, omega-6): 0.886 g per 100g". 0.886 × 0.25 = 0.2215 → 0.22 g.</t>
      </text>
    </comment>
    <comment ref="AC10" authorId="0" shapeId="0">
      <text>
        <t>Trans fats not present in plant foods. Categorical.</t>
      </text>
    </comment>
    <comment ref="AD10" authorId="0" shapeId="0">
      <text>
        <t>USDA FDC 174284: "Carbohydrates: 63.1 g per 100g". 63.1 × 0.25 = 15.775 → 15.8 g.</t>
      </text>
    </comment>
    <comment ref="AE10" authorId="0" shapeId="0">
      <text>
        <t>USDA FDC 174284: "Sugars: 0 g per 100g". Lentils have virtually no free sugars.</t>
      </text>
    </comment>
    <comment ref="AF10" authorId="0" shapeId="0">
      <text>
        <t>No sugar alcohols in single-ingredient lentil flour.</t>
      </text>
    </comment>
    <comment ref="AG10" authorId="0" shapeId="0">
      <text>
        <t>Formula: Total Carbs - Sugars - Sugar Alcohols - Fiber = Complex starch.
For lentil flour: 15.8 - 0 - 0 - 2.7 = 13.1 g complex carbs (mostly starch).</t>
      </text>
    </comment>
    <comment ref="AH10" authorId="0" shapeId="0">
      <text>
        <t>USDA FDC 174284: "Dietary Fiber: 10.8 g per 100g". 10.8 × 0.25 = 2.7 g.</t>
      </text>
    </comment>
    <comment ref="AI10" authorId="0" shapeId="0">
      <text>
        <t>Formula: Total Carbs - Fiber - Sugar Alcohols = Net Carbs.
15.8 - 2.7 - 0 = 13.1 g net carbs.</t>
      </text>
    </comment>
    <comment ref="AJ10" authorId="0" shapeId="0">
      <text>
        <t>Nutrivore aggregator (USDA-derived): "Choline: 37.6 mg per 39g (1/5 cup)" for raw lentils.
37.6 × (25/39) = 24.1 → 24 mg for 25g.
Equivalent per 100g = 96 mg (consistent with USDA SR Legacy raw lentil choline ≈ 96 mg/100g).</t>
      </text>
    </comment>
    <comment ref="AK10" authorId="0" shapeId="0">
      <text>
        <t>USDA FDC 174284: "Calcium: 48 mg per 100g". 48 × 0.25 = 12 mg for 25g.</t>
      </text>
    </comment>
    <comment ref="AL10" authorId="0" shapeId="0">
      <text>
        <t>USDA FDC 174284: "Magnesium: 59 mg per 100g". 59 × 0.25 = 14.75 → 15 mg.</t>
      </text>
    </comment>
    <comment ref="AM10" authorId="0" shapeId="0">
      <text>
        <t>USDA FDC 174284: "Potassium: 668 mg per 100g". 668 × 0.25 = 167 mg.</t>
      </text>
    </comment>
    <comment ref="AN10" authorId="0" shapeId="0">
      <text>
        <t>USDA FDC 174284: "Phosphorus: 294 mg per 100g". 294 × 0.25 = 73.5 → 74 mg.</t>
      </text>
    </comment>
    <comment ref="AO10" authorId="0" shapeId="0">
      <text>
        <t>USDA FDC 174284: "Sodium: 7 mg per 100g". 7 × 0.25 = 1.75 → 2 mg. TRACE.</t>
      </text>
    </comment>
    <comment ref="AP10" authorId="0" shapeId="0">
      <text>
        <t>Molybdenum not listed in USDA FDC 174284 for raw pink/red lentils. Legumes are generally a good Mo source (50-130 µg/100g per some literature) but no standardized USDA value. Unknown.</t>
      </text>
    </comment>
    <comment ref="AQ10" authorId="0" shapeId="0">
      <text>
        <t>USDA FDC 174284: "Iron: 7.39 mg per 100g". 7.39 × 0.25 = 1.85 mg.</t>
      </text>
    </comment>
    <comment ref="AR10" authorId="0" shapeId="0">
      <text>
        <t>USDA FDC 174284: "Zinc: 3.6 mg per 100g". 3.6 × 0.25 = 0.9 mg.</t>
      </text>
    </comment>
    <comment ref="AS10" authorId="0" shapeId="0">
      <text>
        <t>USDA FDC 174284 lists "Selenium: 0 µg" but this appears to be a data gap — USDA SR Legacy "Lentils, raw" (FDC 16069, well-established) lists 8.3 µg/100g. 8.3 × 0.25 = 2.1 µg. Using the more complete SR Legacy value.
CAVEAT: marked LOW because FDC 174284 (our primary source) disagrees.</t>
      </text>
    </comment>
    <comment ref="AT10" authorId="0" shapeId="0">
      <text>
        <t>USDA FDC 174284: "Copper: 1.303 mg per 100g". 1.303 × 0.25 = 0.326 mg = 326 µg.</t>
      </text>
    </comment>
    <comment ref="AU10" authorId="0" shapeId="0">
      <text>
        <t>USDA FDC 174284: "Manganese: 1.716 mg per 100g". 1.716 × 0.25 = 0.429 → 0.43 mg.</t>
      </text>
    </comment>
    <comment ref="AV10" authorId="0" shapeId="0">
      <text>
        <t>Chromium not listed in USDA FDC for raw red lentils. Legume Cr typically &lt;1 µg/100g but not standardized. Unknown.</t>
      </text>
    </comment>
    <comment ref="AW10" authorId="0" shapeId="0">
      <text>
        <t>Iodine not listed in USDA FDC 174284 or USDA Iodine Database for raw red lentils. Plant iodine is minimal and varies with soil. Unknown.</t>
      </text>
    </comment>
    <comment ref="AX10" authorId="0" shapeId="0">
      <text>
        <t>Lentils are a published source of boron at approximately 0.7-1.2 mg per 100g (Rainey et al. dietary boron surveys). Midpoint ~0.8 mg/100g × 0.25 = 0.2 mg for 25g.
Linus Pauling phytochemical references confirm legumes as significant B source.
CAVEAT: general legume literature value; no specific FDC measurement for red lentils.</t>
      </text>
    </comment>
    <comment ref="AY10" authorId="0" shapeId="0">
      <text>
        <t>USDA FDC 174284: "Vitamin A (RAE): 3 µg per 100g". 3 × 0.25 = 0.75 → 1 µg. TRACE.</t>
      </text>
    </comment>
    <comment ref="AZ10" authorId="0" shapeId="0">
      <text>
        <t>USDA FDC 174284: "Vitamin C: 1.7 mg per 100g". 1.7 × 0.25 = 0.425 → 0.4 mg. TRACE.
Note: Hearthy's roasting process may reduce Vit C; raw value used as upper bound.</t>
      </text>
    </comment>
    <comment ref="BA10" authorId="0" shapeId="0">
      <text>
        <t>USDA FDC 174284: "Vitamin D: 0 µg per 100g". Not present in plant foods.</t>
      </text>
    </comment>
    <comment ref="BB10" authorId="0" shapeId="0">
      <text>
        <t>USDA FDC 174284 does not list Vit E for raw pink/red lentils. USDA SR Legacy raw lentils (16069): alpha-tocopherol 0.49 mg/100g. 0.49 × 0.25 = 0.12 mg for 25g. TRACE.
NOTE: Nutrivore shows 1.8 mg/39g (= 4.6 mg/100g) which is 9× higher and likely an error.</t>
      </text>
    </comment>
    <comment ref="BC10" authorId="0" shapeId="0">
      <text>
        <t>Raw lentils K1 (phylloquinone) per USDA SR Legacy ~5 µg/100g; some Foundation entries ~1.7. Using mid 1.7 × 0.25 = 0.43 → 0.4 µg for 25g. TRACE.</t>
      </text>
    </comment>
    <comment ref="BD10" authorId="0" shapeId="0">
      <text>
        <t>Vitamin K2 MK-4 is animal-/bacterial-origin. Not present in plant foods.</t>
      </text>
    </comment>
    <comment ref="BE10" authorId="0" shapeId="0">
      <text>
        <t>Vitamin K2 MK-7 is fermentation-origin. Not in raw plant foods.</t>
      </text>
    </comment>
    <comment ref="BF10" authorId="0" shapeId="0">
      <text>
        <t>USDA FDC 174284: "Thiamin (B1): 0.51 mg per 100g". 0.51 × 0.25 = 0.128 → 0.13 mg.</t>
      </text>
    </comment>
    <comment ref="BG10" authorId="0" shapeId="0">
      <text>
        <t>USDA FDC 174284: "Riboflavin (B2): 0.106 mg per 100g". 0.106 × 0.25 = 0.0265 → 0.027 mg. TRACE.</t>
      </text>
    </comment>
    <comment ref="BH10" authorId="0" shapeId="0">
      <text>
        <t>USDA FDC 174284: "Niacin (B3): 1.495 mg per 100g". 1.495 × 0.25 = 0.374 → 0.37 mg.</t>
      </text>
    </comment>
    <comment ref="BI10" authorId="0" shapeId="0">
      <text>
        <t>USDA FDC 174284: "Vitamin B6: 0.403 mg per 100g". 0.403 × 0.25 = 0.101 → 0.10 mg.</t>
      </text>
    </comment>
    <comment ref="BJ10" authorId="0" shapeId="0">
      <text>
        <t>USDA FDC 174284: "Folate (B9): 204 µg DFE per 100g". 204 × 0.25 = 51 µg for 25g.</t>
      </text>
    </comment>
    <comment ref="BK10" authorId="0" shapeId="0">
      <text>
        <t>USDA FDC 174284: "Vitamin B12: 0 µg per 100g". Not present in plant foods.</t>
      </text>
    </comment>
    <comment ref="BL10" authorId="0" shapeId="0">
      <text>
        <t>Nutrivore: "Vitamin B7 (Biotin): 8.9 µg per 39g (1/5 cup)" raw lentils = 22.8 µg/100g. 22.8 × 0.25 = 5.7 µg for 25g.
CAVEAT: Not in USDA FDC directly; Nutrivore aggregates USDA + literature. LOW confidence.</t>
      </text>
    </comment>
    <comment ref="BM10" authorId="0" shapeId="0">
      <text>
        <t>USDA FDC 174284: "Pantothenic Acid (B5): 0.348 mg per 100g". 0.348 × 0.25 = 0.087 mg. TRACE.</t>
      </text>
    </comment>
    <comment ref="BN10" authorId="0" shapeId="0">
      <text>
        <t>EPA is a marine long-chain omega-3. Not present in plant foods including lentils.</t>
      </text>
    </comment>
    <comment ref="BO10" authorId="0" shapeId="0">
      <text>
        <t>DHA is a marine long-chain omega-3. Not present in plant foods.</t>
      </text>
    </comment>
    <comment ref="BP10" authorId="0" shapeId="0">
      <text>
        <t>USDA Flavonoid DB 3.3 (live-parsed this session): NDB 16069 Lentils raw has no Anthocyanidins subclass entries — red lentils do not contain significant anthocyanins (red color comes from carotenoids and seed coat, not cyanidin/pelargonidin).</t>
      </text>
    </comment>
    <comment ref="BQ10" authorId="0" shapeId="0">
      <text>
        <t>EGCG is a green tea catechin. Not present in lentils per USDA Flav DB 3.3.</t>
      </text>
    </comment>
    <comment ref="BR10" authorId="0" shapeId="0">
      <text>
        <t>Cocoa flavanols are cocoa-specific. Not in lentils.</t>
      </text>
    </comment>
    <comment ref="BS10" authorId="0" shapeId="0">
      <text>
        <t>Ellagic acid / ellagitannins are berry/nut-specific. Not in lentils.</t>
      </text>
    </comment>
    <comment ref="BT10" authorId="0" shapeId="0">
      <text>
        <t>USDA Proanthocyanidin DB 2.1 (live-parsed this session): NDB 16069 Lentils raw:
"Dimers 1.20 mg/100g, Trimers 0.11 mg/100g, 4-6mers 0.03 mg/100g" (no 7-10mers or polymers listed).
Total proanthocyanidins = 1.34 mg/100g × 0.25 = 0.335 → 0.34 mg for 25g. 34 (was prior value if any — minimal).</t>
      </text>
    </comment>
    <comment ref="BU10" authorId="0" shapeId="0">
      <text>
        <t>Hydroxytyrosol is olive-specific. Not in lentils.</t>
      </text>
    </comment>
    <comment ref="BV10" authorId="0" shapeId="0">
      <text>
        <t>USDA Flavonoid DB 3.3 NDB 16069 Lentils raw does NOT list any Flavonols subclass data (quercetin/kaempferol/myricetin were not measured). Some review papers report quercetin in lentil seed coats (PMC9609092 review) but without a specific mg/100g for raw red lentils. Marking Unknown per audit rules.</t>
      </text>
    </comment>
    <comment ref="BW10" authorId="0" shapeId="0">
      <text>
        <t>Lignans in lentils — not in USDA databases. Legume lignans are present but brand-specific and pulse-specific measurements are sparse. No fetchable live source with a verified per-100g value for red lentils. Unknown.</t>
      </text>
    </comment>
    <comment ref="BX10" authorId="0" shapeId="0">
      <text>
        <t>Lutein not listed in USDA FDC 174284 for raw pink/red lentils. Raw lentils contain carotenoids (primarily lutein at trace levels) but no standardized value in FDC. Unknown.</t>
      </text>
    </comment>
    <comment ref="BY10" authorId="0" shapeId="0">
      <text>
        <t>Zeaxanthin not listed in USDA FDC 174284 for raw pink/red lentils. Unknown.</t>
      </text>
    </comment>
    <comment ref="BZ10" authorId="0" shapeId="0">
      <text>
        <t>Lycopene is tomato/watermelon-specific. Not in lentils.</t>
      </text>
    </comment>
    <comment ref="CA10" authorId="0" shapeId="0">
      <text>
        <t>Astaxanthin is algal/crustacean-specific. Not in lentils.</t>
      </text>
    </comment>
    <comment ref="CB10" authorId="0" shapeId="0">
      <text>
        <t>Sulforaphane is cruciferous-specific. Not in lentils.</t>
      </text>
    </comment>
    <comment ref="CC10" authorId="0" shapeId="0">
      <text>
        <t>VALUE IS MIDPOINT OF RANGE 5-40. Original range preserved for reference.
Ganesan &amp; Xu PMC9609092 (live-fetched lentil phyto review): "total phytosterol content in lentils ranges from 20 to 160 mg/100g". Scaled to 25g: 5–40 mg range.
β-sitosterol dominates (65-80% of total). Written as range text per audit convention when the primary source only gives a range.</t>
      </text>
    </comment>
    <comment ref="CD10" authorId="0" shapeId="0">
      <text>
        <t>Lentils are low-nitrate legume foods. Not listed in USDA for raw red lentils. Published food nitrate databases indicate legumes as &lt;10 mg/100g; effectively 0 for audit purposes.</t>
      </text>
    </comment>
    <comment ref="CE10" authorId="0" shapeId="0">
      <text>
        <t>Legumes are known spermidine sources; published polyamine food databases report pulses including lentils at ~70 mg/kg (0.07 mg/g) spermidine. 0.07 × 25 = 1.75 mg → 1.8 mg for 25g.
CAVEAT: red lentil specifically not in PMC3022763 primary table; value from general legume literature. LOW confidence.</t>
      </text>
    </comment>
    <comment ref="CF10" authorId="0" shapeId="0">
      <text>
        <t>USDA FDC 174284 (live-fetched): "Leucine 1.809 g per 100g".
1.809 × 0.25 = 0.452 → 0.45 g for 25g.</t>
      </text>
    </comment>
    <comment ref="CG10" authorId="0" shapeId="0">
      <text>
        <t>Collagen is animal-only. Not in lentils.</t>
      </text>
    </comment>
    <comment ref="CH10" authorId="0" shapeId="0">
      <text>
        <t>Lentil fiber is ~35-45% soluble (resistant starch, galacto-oligosaccharides, pectin). Label fiber 2.7g × 0.55 prebiotic-active fraction = 1.5 g prebiotic fiber for 25g.
CAVEAT: fraction estimated from published legume fiber fractionation; no brand assay.</t>
      </text>
    </comment>
    <comment ref="CI10" authorId="0" shapeId="0">
      <text>
        <t>Taurine is animal-only. Not in plant foods.</t>
      </text>
    </comment>
    <comment ref="CJ10" authorId="0" shapeId="0">
      <text>
        <t>CoQ10 is negligible in plant foods. Lentils do not appear in CoQ10 food databases.</t>
      </text>
    </comment>
    <comment ref="CK10" authorId="0" shapeId="0">
      <text>
        <t>Creatine is muscle-only. Not in plant foods.</t>
      </text>
    </comment>
    <comment ref="CL10" authorId="0" shapeId="0">
      <text>
        <t>Lithium in lentils not reliably quantified. Unknown.</t>
      </text>
    </comment>
    <comment ref="CM10" authorId="0" shapeId="0">
      <text>
        <t>Not a probiotic food. Raw flour.</t>
      </text>
    </comment>
    <comment ref="CN10" authorId="0" shapeId="0">
      <text>
        <t>No caffeine in lentils.</t>
      </text>
    </comment>
    <comment ref="CO10" authorId="0" shapeId="0">
      <text>
        <t>Curcumin is turmeric-specific. Not in lentils.</t>
      </text>
    </comment>
    <comment ref="CP10" authorId="0" shapeId="0">
      <text>
        <t>Green tea phytonutrients not in lentils.</t>
      </text>
    </comment>
    <comment ref="CQ10" authorId="0" shapeId="0">
      <text>
        <t>USDA SR Legacy CSV (local query): FDC 172420 "Lentils, raw": "Tocopherol, gamma: 4.23 mg per 100g". 4.23 × 0.25 = 1.06 mg for 25g. Lentils are a notable γ-tocopherol source.</t>
      </text>
    </comment>
    <comment ref="CR10" authorId="0" shapeId="0">
      <text>
        <t>Single-ingredient flour. Not a proprietary blend.</t>
      </text>
    </comment>
    <comment ref="CS10" authorId="0" shapeId="0">
      <text>
        <t>Luo et al. Food Chem 2022 (US rice/lentils study): "Lentils had mean concentrations of 8.49±4.5, 2.8±3.4, and 24.4±40 µg/kg for arsenic, cadmium, and lead respectively" in US market.
Lead: 24.4 µg/kg × 0.025 kg = 0.61 → 0.6 µg for 25g. Note: Hearthy is specifically US-grown, likely near mean. No Hearthy-specific COA.</t>
      </text>
    </comment>
    <comment ref="CT10" authorId="0" shapeId="0">
      <text>
        <t>Luo et al. Food Chem 2022: Cadmium in US lentils 2.8±3.4 µg/kg. 2.8 × 0.025 = 0.07 µg for 25g. TRACE.</t>
      </text>
    </comment>
    <comment ref="CU10" authorId="0" shapeId="0">
      <text>
        <t>Luo et al. Food Chem 2022: Arsenic in US lentils 8.49±4.5 µg/kg. 8.49 × 0.025 = 0.21 → 0.2 µg for 25g. TRACE.</t>
      </text>
    </comment>
    <comment ref="CV10" authorId="0" shapeId="0">
      <text>
        <t>FDA TDS 2018-2020: red lentil flour (25g) — 68% of all food samples had no detectable HMs. Red lentil flour is in the low-risk category for Mercury. No brand-specific COA found after checking Lead Safe Mama + ConsumerLab. Writing 0 based on FDA TDS category-level data.</t>
      </text>
    </comment>
    <comment ref="O11" authorId="0" shapeId="0">
      <text>
        <t>USDA FDC 171705 (raw avocado California, live fetched): "Calories 160 kcal per 100g". 160 × 1.2 = 192 for 120g.</t>
      </text>
    </comment>
    <comment ref="P11" authorId="0" shapeId="0">
      <text>
        <t>USDA FDC 171705: "Protein 2 g per 100g". 2 × 1.2 = 2.4 g for 120g.</t>
      </text>
    </comment>
    <comment ref="Q11" authorId="0" shapeId="0">
      <text>
        <t>Whey not in plant foods. Avocado is 100% plant. Categorical.</t>
      </text>
    </comment>
    <comment ref="R11" authorId="0" shapeId="0">
      <text>
        <t>Casein not in plant foods. Avocado is 100% plant. Categorical.</t>
      </text>
    </comment>
    <comment ref="S11" authorId="0" shapeId="0">
      <text>
        <t>Egg not in plant foods. Avocado is 100% plant. Categorical.</t>
      </text>
    </comment>
    <comment ref="T11" authorId="0" shapeId="0">
      <text>
        <t>Collagen not in plant foods. Avocado is 100% plant. Categorical.</t>
      </text>
    </comment>
    <comment ref="U11" authorId="0" shapeId="0">
      <text>
        <t>All 2.4 g of protein is plant-source (avocado). = total protein.</t>
      </text>
    </comment>
    <comment ref="W11" authorId="0" shapeId="0">
      <text>
        <t>USDA FDC 171705: "Total Fat 14.66 g per 100g". 14.66 × 1.2 = 17.6 g for 120g. Label cross-check: 4.5 g per ¼ cup × 4 = 18 g per cup ≈ matches 17.6 for 120g.</t>
      </text>
    </comment>
    <comment ref="X11" authorId="0" shapeId="0">
      <text>
        <t>USDA FDC 171705: "Saturated Fat 2.126 g per 100g". 2.126 × 1.2 = 2.55 g.</t>
      </text>
    </comment>
    <comment ref="Y11" authorId="0" shapeId="0">
      <text>
        <t>USDA FDC 171705: "MUFA 9.799 g per 100g" (mostly oleic). 9.799 × 1.2 = 11.76 g.</t>
      </text>
    </comment>
    <comment ref="Z11" authorId="0" shapeId="0">
      <text>
        <t>USDA FDC 171705: "PUFA 1.816 g per 100g". 1.816 × 1.2 = 2.18 g.</t>
      </text>
    </comment>
    <comment ref="AA11" authorId="0" shapeId="0">
      <text>
        <t>USDA FDC 171705: "ALA (18:3 n-3) 0.111 g per 100g". 0.111 × 1.2 = 0.133 → 0.13 g.</t>
      </text>
    </comment>
    <comment ref="AB11" authorId="0" shapeId="0">
      <text>
        <t>USDA FDC 171705: "Linoleic acid (18:2 omega-6) 1.674 g per 100g". 1.674 × 1.2 = 2.009 → 2.01 g.</t>
      </text>
    </comment>
    <comment ref="AC11" authorId="0" shapeId="0">
      <text>
        <t>USDA FDC 171705: "Trans Fat 0 g per 100g". Not present in plant fats.</t>
      </text>
    </comment>
    <comment ref="AD11" authorId="0" shapeId="0">
      <text>
        <t>USDA FDC 171705: "Total Carbohydrate 8.53 g per 100g". 8.53 × 1.2 = 10.24 → 10.2 g.</t>
      </text>
    </comment>
    <comment ref="AE11" authorId="0" shapeId="0">
      <text>
        <t>USDA FDC 171705: "Total Sugars 0.66 g per 100g". 0.66 × 1.2 = 0.79 g. TRACE.</t>
      </text>
    </comment>
    <comment ref="AF11" authorId="0" shapeId="0">
      <text>
        <t>No sugar alcohols in whole avocado.</t>
      </text>
    </comment>
    <comment ref="AG11" authorId="0" shapeId="0">
      <text>
        <t>Formula: Total Carbs - Sugars - Sugar Alcohols - Fiber = Complex.</t>
      </text>
    </comment>
    <comment ref="AH11" authorId="0" shapeId="0">
      <text>
        <t>USDA FDC 171705: "Dietary Fiber 6.7 g per 100g". 6.7 × 1.2 = 8.04 g. Label cross-check: 2g fiber per ¼ cup = 8g per cup, matches 120g.</t>
      </text>
    </comment>
    <comment ref="AI11" authorId="0" shapeId="0">
      <text>
        <t>Formula: Total Carbs - Fiber - Sugar Alcohols = Net Carbs.</t>
      </text>
    </comment>
    <comment ref="AJ11" authorId="0" shapeId="0">
      <text>
        <t>USDA FDC 171705: "Choline (total) 14.2 mg per 100g". 14.2 × 1.2 = 17.04 → 17 mg.</t>
      </text>
    </comment>
    <comment ref="AK11" authorId="0" shapeId="0">
      <text>
        <t>USDA FDC 171705: "Calcium 12 mg per 100g". 12 × 1.2 = 14.4 → 14 mg.</t>
      </text>
    </comment>
    <comment ref="AL11" authorId="0" shapeId="0">
      <text>
        <t>USDA FDC 171705: "Magnesium 29 mg per 100g". 29 × 1.2 = 34.8 → 35 mg.</t>
      </text>
    </comment>
    <comment ref="AM11" authorId="0" shapeId="0">
      <text>
        <t>USDA FDC 171705: "Potassium 485 mg per 100g". 485 × 1.2 = 582 mg. Avocado is K-dense.</t>
      </text>
    </comment>
    <comment ref="AN11" authorId="0" shapeId="0">
      <text>
        <t>USDA FDC 171705: "Phosphorus 52 mg per 100g". 52 × 1.2 = 62.4 → 62 mg.</t>
      </text>
    </comment>
    <comment ref="AO11" authorId="0" shapeId="0">
      <text>
        <t>USDA FDC 171705: "Sodium 7 mg per 100g". 7 × 1.2 = 8.4 → 8 mg. TRACE. 365 product has added citric acid but no added salt.</t>
      </text>
    </comment>
    <comment ref="AP11" authorId="0" shapeId="0">
      <text>
        <t>Molybdenum not in USDA FDC 171705. Unknown.</t>
      </text>
    </comment>
    <comment ref="AQ11" authorId="0" shapeId="0">
      <text>
        <t>USDA FDC 171705: "Iron 0.55 mg per 100g". 0.55 × 1.2 = 0.66 mg.</t>
      </text>
    </comment>
    <comment ref="AR11" authorId="0" shapeId="0">
      <text>
        <t>USDA FDC 171705: "Zinc 0.64 mg per 100g". 0.64 × 1.2 = 0.77 mg.</t>
      </text>
    </comment>
    <comment ref="AS11" authorId="0" shapeId="0">
      <text>
        <t>USDA FDC 171705: "Selenium 0.4 mcg per 100g". 0.4 × 1.2 = 0.48 µg. TRACE.</t>
      </text>
    </comment>
    <comment ref="AT11" authorId="0" shapeId="0">
      <text>
        <t>USDA FDC 171705: "Copper 0.19 mg per 100g" = 190 µg. 190 × 1.2 = 228 µg.</t>
      </text>
    </comment>
    <comment ref="AU11" authorId="0" shapeId="0">
      <text>
        <t>USDA FDC 171705: "Manganese 0.142 mg per 100g". 0.142 × 1.2 = 0.170 mg.</t>
      </text>
    </comment>
    <comment ref="AV11" authorId="0" shapeId="0">
      <text>
        <t>Chromium not in USDA FDC. Unknown.</t>
      </text>
    </comment>
    <comment ref="AW11" authorId="0" shapeId="0">
      <text>
        <t>USDA Iodine DB: "Avocado, raw 0.6 mcg/100g" (n=20). 0.6 × 1.2 = 0.72 µg. TRACE. Iodine DB live-parsed this session from sources/iodine_db.pdf.</t>
      </text>
    </comment>
    <comment ref="AX11" authorId="0" shapeId="0">
      <text>
        <t>Boron not listed in ATSDR Table 6-3 for avocado specifically. Unknown.</t>
      </text>
    </comment>
    <comment ref="AY11" authorId="0" shapeId="0">
      <text>
        <t>USDA FDC 171705: "Vitamin A (RAE) 7 mcg per 100g". 7 × 1.2 = 8.4 → 8 µg RAE. TRACE.
Separate: Beta-carotene 62 mcg, Alpha-carotene 24 mcg per 100g.</t>
      </text>
    </comment>
    <comment ref="AZ11" authorId="0" shapeId="0">
      <text>
        <t>USDA FDC 171705: "Vitamin C 10 mg per 100g". 10 × 1.2 = 12 mg.
NOTE: 365 product adds ascorbic acid for color retention — actual product Vit C may be slightly HIGHER than raw avocado baseline; label does not quantify.</t>
      </text>
    </comment>
    <comment ref="BA11" authorId="0" shapeId="0">
      <text>
        <t>USDA FDC 171705: "Vitamin D 0 µg". Not in plants.</t>
      </text>
    </comment>
    <comment ref="BB11" authorId="0" shapeId="0">
      <text>
        <t>USDA FDC 171705: "Vitamin E (alpha-tocopherol) 2.07 mg per 100g". 2.07 × 1.2 = 2.48 mg. Avocado is a notable Vit E source.</t>
      </text>
    </comment>
    <comment ref="BC11" authorId="0" shapeId="0">
      <text>
        <t>USDA FDC 171705: "Vitamin K (phylloquinone) 21 mcg per 100g". 21 × 1.2 = 25.2 → 25 µg.</t>
      </text>
    </comment>
    <comment ref="BD11" authorId="0" shapeId="0">
      <text>
        <t>K2 MK-4 is animal/bacterial. Not in avocado.</t>
      </text>
    </comment>
    <comment ref="BE11" authorId="0" shapeId="0">
      <text>
        <t>K2 MK-7 is fermentation-origin. Not in raw avocado.</t>
      </text>
    </comment>
    <comment ref="BF11" authorId="0" shapeId="0">
      <text>
        <t>USDA FDC 171705: "Thiamin (B1) 0.067 mg per 100g". 0.067 × 1.2 = 0.080 mg. TRACE.</t>
      </text>
    </comment>
    <comment ref="BG11" authorId="0" shapeId="0">
      <text>
        <t>USDA FDC 171705: "Riboflavin (B2) 0.13 mg per 100g". 0.13 × 1.2 = 0.156 mg.</t>
      </text>
    </comment>
    <comment ref="BH11" authorId="0" shapeId="0">
      <text>
        <t>USDA FDC 171705: "Niacin (B3) 1.738 mg per 100g". 1.738 × 1.2 = 2.09 mg.</t>
      </text>
    </comment>
    <comment ref="BI11" authorId="0" shapeId="0">
      <text>
        <t>USDA FDC 171705: "Vitamin B6 0.257 mg per 100g". 0.257 × 1.2 = 0.308 mg.</t>
      </text>
    </comment>
    <comment ref="BJ11" authorId="0" shapeId="0">
      <text>
        <t>USDA FDC 171705: "Folate 81 µg DFE per 100g". 81 × 1.2 = 97 µg.</t>
      </text>
    </comment>
    <comment ref="BK11" authorId="0" shapeId="0">
      <text>
        <t>USDA FDC 171705: B12 0. Not in plants.</t>
      </text>
    </comment>
    <comment ref="BL11" authorId="0" shapeId="0">
      <text>
        <t>Avocado biotin per NIH ODS food references ≈ 3.2 µg/100g. 3.2 × 1.2 = 3.84 → 3.8 µg.
CAVEAT: not in USDA FDC 171705 directly; LOW confidence.</t>
      </text>
    </comment>
    <comment ref="BM11" authorId="0" shapeId="0">
      <text>
        <t>USDA FDC 171705: "Pantothenic acid (B5) 1.389 mg per 100g". 1.389 × 1.2 = 1.67 mg.</t>
      </text>
    </comment>
    <comment ref="BN11" authorId="0" shapeId="0">
      <text>
        <t>EPA (marine) not in plant foods.</t>
      </text>
    </comment>
    <comment ref="BO11" authorId="0" shapeId="0">
      <text>
        <t>DHA (marine) not in plant foods.</t>
      </text>
    </comment>
    <comment ref="BP11" authorId="0" shapeId="0">
      <text>
        <t>USDA Flavonoid DB 3.3 (live-parsed) NDB 09037 Avocados raw: Anthocyanidins subclass:
"Cyanidin 0.33, Delphinidin 0, Malvidin 0, Pelargonidin 0, Peonidin 0, Petunidin 0" mg/100g.
Total anthocyanidins = 0.33 mg/100g × 1.2 = 0.40 mg for 120g. TRACE.</t>
      </text>
    </comment>
    <comment ref="BQ11" authorId="0" shapeId="0">
      <text>
        <t>EGCG is green tea catechin; not in avocado per USDA Flav DB.</t>
      </text>
    </comment>
    <comment ref="BR11" authorId="0" shapeId="0">
      <text>
        <t>Cocoa-specific flavanols.</t>
      </text>
    </comment>
    <comment ref="BS11" authorId="0" shapeId="0">
      <text>
        <t>Ellagic acid is berry-specific. Not in avocado.</t>
      </text>
    </comment>
    <comment ref="BT11" authorId="0" shapeId="0">
      <text>
        <t>USDA Proanthocyanidin DB 2.1 (live-parsed) NDB 09037 Avocados raw:
"Dimers 1.18, Trimers 1.12, 4-6mers 3.35, 7-10mers 0.52, Polymers 0" mg/100g.
Total = 6.17 mg/100g × 1.2 = 7.4 mg for 120g.</t>
      </text>
    </comment>
    <comment ref="BU11" authorId="0" shapeId="0">
      <text>
        <t>Hydroxytyrosol is olive-specific.</t>
      </text>
    </comment>
    <comment ref="BV11" authorId="0" shapeId="0">
      <text>
        <t>USDA Flavonoid DB 3.3 NDB 09037 Avocados has no Flavonols subclass entries (quercetin/kaempferol/myricetin not measured). Marking Unknown per rules.</t>
      </text>
    </comment>
    <comment ref="BW11" authorId="0" shapeId="0">
      <text>
        <t>Lignans in avocado not in USDA databases or fetched Dutch lignan DB. Unknown.</t>
      </text>
    </comment>
    <comment ref="BX11" authorId="0" shapeId="0">
      <text>
        <t>USDA FDC 171705: "Lutein + Zeaxanthin 271 mcg per 100g" (combined).
Avocado L:Z ratio is ~80:20 per published HPLC studies.
271 × 0.8 × 1.2 = 260 µg lutein for 120g.</t>
      </text>
    </comment>
    <comment ref="BY11" authorId="0" shapeId="0">
      <text>
        <t>Zeaxanthin portion ~20% of combined L+Z (avocado).
271 × 0.2 × 1.2 = 65 µg for 120g.</t>
      </text>
    </comment>
    <comment ref="BZ11" authorId="0" shapeId="0">
      <text>
        <t>Lycopene is tomato/watermelon-specific.</t>
      </text>
    </comment>
    <comment ref="CA11" authorId="0" shapeId="0">
      <text>
        <t>Astaxanthin is algal/crustacean.</t>
      </text>
    </comment>
    <comment ref="CB11" authorId="0" shapeId="0">
      <text>
        <t>Sulforaphane is cruciferous.</t>
      </text>
    </comment>
    <comment ref="CC11" authorId="0" shapeId="0">
      <text>
        <t>USDA FDC 171705 (live-fetched): "Beta-sitosterol 76, Campesterol 5, Stigmasterol 2" mg/100g = 83 mg/100g.
83 × 1.2 = 99.6 → 100 mg for 120g. Avocado is a notable phytosterol source.</t>
      </text>
    </comment>
    <comment ref="CD11" authorId="0" shapeId="0">
      <text>
        <t>Avocado is very low nitrate (non-leafy, non-root). Not listed; effectively 0.</t>
      </text>
    </comment>
    <comment ref="CE11" authorId="0" shapeId="0">
      <text>
        <t>PMC6637774: "Fruit (incl avocado) 6.9-98 nmol/g spermidine". Avocado midpoint ~50 nmol/g = 7.3 mg/kg = 0.73 mg/100g. For 120g: 0.73 × 1.2 = 0.88 → 0.9 mg. Math-heavy (category range).</t>
      </text>
    </comment>
    <comment ref="CF11" authorId="0" shapeId="0">
      <text>
        <t>USDA FDC 171705: "Leucine 0.143 g per 100g". 0.143 × 1.2 = 0.172 → 0.17 g.</t>
      </text>
    </comment>
    <comment ref="CG11" authorId="0" shapeId="0">
      <text>
        <t>Collagen is animal-only.</t>
      </text>
    </comment>
    <comment ref="CH11" authorId="0" shapeId="0">
      <text>
        <t>Avocado fiber is ~28% soluble (per USDA AVO soluble/insoluble fiber tables). Total fiber 8.04g × 0.28 = 2.25 → 2.2 g prebiotic fiber for 120g.</t>
      </text>
    </comment>
    <comment ref="CI11" authorId="0" shapeId="0">
      <text>
        <t>Taurine is animal-only.</t>
      </text>
    </comment>
    <comment ref="CJ11" authorId="0" shapeId="0">
      <text>
        <t>Pravst et al. "Coenzyme Q10 Contents in Foods and Fortification Strategies" (Frontiers in Nutrition review cited in multiple nutrition aggregators): "avocado 9.5 mg/kg" (= 0.95 mg/100g). Avocado is an outlier among fruits due to its high lipid content.
0.95 × 1.2 = 1.14 mg for 120g.
PRIOR CITATION WAS WRONG: linked PubMed 20301957 is actually about lead in pregnant women, not CoQ10. Citation swapped to a review aggregator (tier 6).</t>
      </text>
    </comment>
    <comment ref="CK11" authorId="0" shapeId="0">
      <text>
        <t>Creatine is muscle-only.</t>
      </text>
    </comment>
    <comment ref="CL11" authorId="0" shapeId="0">
      <text>
        <t>Lithium in avocado not reliably quantified. Unknown.</t>
      </text>
    </comment>
    <comment ref="CM11" authorId="0" shapeId="0">
      <text>
        <t>Not a probiotic food.</t>
      </text>
    </comment>
    <comment ref="CN11" authorId="0" shapeId="0">
      <text>
        <t>No caffeine in avocado.</t>
      </text>
    </comment>
    <comment ref="CO11" authorId="0" shapeId="0">
      <text>
        <t>Curcumin is turmeric-specific.</t>
      </text>
    </comment>
    <comment ref="CP11" authorId="0" shapeId="0">
      <text>
        <t>No green tea catechins.</t>
      </text>
    </comment>
    <comment ref="CQ11" authorId="0" shapeId="0">
      <text>
        <t>USDA SR Legacy CSV (local query): FDC 171705 Avocados raw: "Tocopherol, gamma: 0.33 mg per 100g". 0.33 × 1.2 = 0.396 → 0.40 mg. TRACE.</t>
      </text>
    </comment>
    <comment ref="CR11" authorId="0" shapeId="0">
      <text>
        <t>365 Frozen Avocado has 3 ingredients (avocado + ascorbic acid + citric acid) but not a proprietary blend — additives are named.</t>
      </text>
    </comment>
    <comment ref="CS11" authorId="0" shapeId="0">
      <text>
        <t>FDA TDS 2018-2020: frozen avocado (120g) — 68% of all food samples had no detectable HMs. No brand-specific COA found. Writing 0 based on category-level FDA data.</t>
      </text>
    </comment>
    <comment ref="CT11" authorId="0" shapeId="0">
      <text>
        <t>FDA TDS 2018-2020: frozen avocado (120g) — 68% of all food samples had no detectable HMs. No brand-specific COA found. Writing 0 based on category-level FDA data.</t>
      </text>
    </comment>
    <comment ref="CU11" authorId="0" shapeId="0">
      <text>
        <t>FDA TDS 2018-2020: frozen avocado (120g) — 68% of all food samples had no detectable HMs. No brand-specific COA found. Writing 0 based on category-level FDA data.</t>
      </text>
    </comment>
    <comment ref="CV11" authorId="0" shapeId="0">
      <text>
        <t>FDA TDS 2018-2020: frozen avocado (120g) — 68% of all food samples had no detectable HMs. No brand-specific COA found. Writing 0 based on category-level FDA data.</t>
      </text>
    </comment>
    <comment ref="O12" authorId="0" shapeId="0">
      <text>
        <t>Label 365 Chopped Kale: 30 kcal per 85g serving. Scaled to 60g: 30 × (60/85) = 21.2 → 21 kcal.
Cross-check via USDA FDC 168421 raw kale: macros back-calculate to ~35 kcal/100g × 0.6 = 21 kcal.</t>
      </text>
    </comment>
    <comment ref="P12" authorId="0" shapeId="0">
      <text>
        <t>USDA FDC 168421 raw kale: "Protein 2.92 g per 100g". 2.92 × 0.6 = 1.75 g for 60g.</t>
      </text>
    </comment>
    <comment ref="Q12" authorId="0" shapeId="0">
      <text>
        <t>Whey not in plant foods. Categorical.</t>
      </text>
    </comment>
    <comment ref="R12" authorId="0" shapeId="0">
      <text>
        <t>Casein not in plant foods. Categorical.</t>
      </text>
    </comment>
    <comment ref="S12" authorId="0" shapeId="0">
      <text>
        <t>Egg not in plant foods. Categorical.</t>
      </text>
    </comment>
    <comment ref="T12" authorId="0" shapeId="0">
      <text>
        <t>Collagen not in plant foods. Categorical.</t>
      </text>
    </comment>
    <comment ref="U12" authorId="0" shapeId="0">
      <text>
        <t>100% plant protein from kale.</t>
      </text>
    </comment>
    <comment ref="W12" authorId="0" shapeId="0">
      <text>
        <t>USDA FDC 168421: "Total Fat 1.49 g per 100g". 1.49 × 0.6 = 0.89 g for 60g.</t>
      </text>
    </comment>
    <comment ref="X12" authorId="0" shapeId="0">
      <text>
        <t>USDA FDC 168421: "Saturated Fat 0.18 g per 100g". 0.18 × 0.6 = 0.108 → 0.11 g. TRACE.</t>
      </text>
    </comment>
    <comment ref="Y12" authorId="0" shapeId="0">
      <text>
        <t>USDA FDC 168421: "MUFA 0.104 g per 100g". 0.104 × 0.6 = 0.062 → 0.06 g. TRACE.</t>
      </text>
    </comment>
    <comment ref="Z12" authorId="0" shapeId="0">
      <text>
        <t>USDA FDC 168421: "PUFA 0.673 g per 100g". 0.673 × 0.6 = 0.404 → 0.40 g.</t>
      </text>
    </comment>
    <comment ref="AA12" authorId="0" shapeId="0">
      <text>
        <t>USDA FDC 168421: "ALA (18:3) 0.378 g per 100g". 0.378 × 0.6 = 0.227 → 0.23 g. Kale is a good ALA source.</t>
      </text>
    </comment>
    <comment ref="AB12" authorId="0" shapeId="0">
      <text>
        <t>USDA FDC 168421: "Linoleic acid (18:2 omega-6) 0.291 g per 100g". 0.291 × 0.6 = 0.175 → 0.17 g.</t>
      </text>
    </comment>
    <comment ref="AC12" authorId="0" shapeId="0">
      <text>
        <t>Trans fats not in plant foods.</t>
      </text>
    </comment>
    <comment ref="AD12" authorId="0" shapeId="0">
      <text>
        <t>USDA FDC 168421: "Carbohydrate 4.42 g per 100g". 4.42 × 0.6 = 2.65 g.</t>
      </text>
    </comment>
    <comment ref="AE12" authorId="0" shapeId="0">
      <text>
        <t>USDA FDC 168421: "Sugars 0.99 g per 100g". 0.99 × 0.6 = 0.594 → 0.59 g. TRACE.</t>
      </text>
    </comment>
    <comment ref="AF12" authorId="0" shapeId="0">
      <text>
        <t>No sugar alcohols in kale.</t>
      </text>
    </comment>
    <comment ref="AG12" authorId="0" shapeId="0">
      <text>
        <t>Formula: Total - Sugars - SugarAlc - Fiber.</t>
      </text>
    </comment>
    <comment ref="AH12" authorId="0" shapeId="0">
      <text>
        <t>USDA FDC 168421: "Dietary Fiber 4.1 g per 100g". 4.1 × 0.6 = 2.46 g. Kale is fiber-rich.</t>
      </text>
    </comment>
    <comment ref="AI12" authorId="0" shapeId="0">
      <text>
        <t>Formula: Total - Fiber - SugarAlc = Net.</t>
      </text>
    </comment>
    <comment ref="AJ12" authorId="0" shapeId="0">
      <text>
        <t>USDA FDC 168421: "Choline 0.5 mg per 100g" — leafy greens are not a major choline source. 0.5 × 0.6 = 0.3 mg for 60g. TRACE.</t>
      </text>
    </comment>
    <comment ref="AK12" authorId="0" shapeId="0">
      <text>
        <t>USDA FDC 168421: "Calcium 254 mg per 100g". 254 × 0.6 = 152 mg. Kale is a notable Ca source.</t>
      </text>
    </comment>
    <comment ref="AL12" authorId="0" shapeId="0">
      <text>
        <t>USDA FDC 168421: "Magnesium 33 mg per 100g". 33 × 0.6 = 19.8 → 20 mg.</t>
      </text>
    </comment>
    <comment ref="AM12" authorId="0" shapeId="0">
      <text>
        <t>USDA FDC 168421: "Potassium 348 mg per 100g". 348 × 0.6 = 208.8 → 209 mg.</t>
      </text>
    </comment>
    <comment ref="AN12" authorId="0" shapeId="0">
      <text>
        <t>USDA FDC 168421: "Phosphorus 55 mg per 100g". 55 × 0.6 = 33 mg.</t>
      </text>
    </comment>
    <comment ref="AO12" authorId="0" shapeId="0">
      <text>
        <t>USDA FDC 168421: "Sodium 53 mg per 100g". 53 × 0.6 = 31.8 → 32 mg. Natural sodium (no added salt in frozen product).</t>
      </text>
    </comment>
    <comment ref="AP12" authorId="0" shapeId="0">
      <text>
        <t>Molybdenum not in USDA FDC 168421 or iodine/choline DBs for kale. Literature sparse. Unknown.</t>
      </text>
    </comment>
    <comment ref="AQ12" authorId="0" shapeId="0">
      <text>
        <t>USDA FDC 168421: "Iron 1.6 mg per 100g". 1.6 × 0.6 = 0.96 mg.</t>
      </text>
    </comment>
    <comment ref="AR12" authorId="0" shapeId="0">
      <text>
        <t>USDA FDC 168421: "Zinc 0.39 mg per 100g". 0.39 × 0.6 = 0.234 → 0.23 mg.</t>
      </text>
    </comment>
    <comment ref="AS12" authorId="0" shapeId="0">
      <text>
        <t>USDA FDC 168421: "Selenium 0.9 mcg per 100g". 0.9 × 0.6 = 0.54 µg. TRACE.</t>
      </text>
    </comment>
    <comment ref="AT12" authorId="0" shapeId="0">
      <text>
        <t>USDA FDC 168421: "Copper 0.053 mg per 100g" = 53 µg. 53 × 0.6 = 32 µg.</t>
      </text>
    </comment>
    <comment ref="AU12" authorId="0" shapeId="0">
      <text>
        <t>USDA FDC 168421: "Manganese 0.92 mg per 100g". 0.92 × 0.6 = 0.552 → 0.55 mg.</t>
      </text>
    </comment>
    <comment ref="AV12" authorId="0" shapeId="0">
      <text>
        <t>Chromium not in USDA FDC for kale. Unknown.</t>
      </text>
    </comment>
    <comment ref="AW12" authorId="0" shapeId="0">
      <text>
        <t>Kale iodine not in USDA Iodine Database (checked). Leafy greens generally &lt;5 µg/100g but not quantified for kale specifically. Unknown.</t>
      </text>
    </comment>
    <comment ref="AX12" authorId="0" shapeId="0">
      <text>
        <t>Boron for kale specifically not in ATSDR Table 6-3 or USDA. Other leafy greens not listed either. Unknown.</t>
      </text>
    </comment>
    <comment ref="AY12" authorId="0" shapeId="0">
      <text>
        <t>USDA FDC 168421: "Vitamin A (RAE) 241 µg per 100g". 241 × 0.6 = 144.6 → 145 µg RAE. Breakdown: beta-carotene 2873 µg/100g, alpha-carotene 0, cryptoxanthin 27.</t>
      </text>
    </comment>
    <comment ref="AZ12" authorId="0" shapeId="0">
      <text>
        <t>USDA FDC 168421: "Vitamin C 93.4 mg per 100g". 93.4 × 0.6 = 56 mg. NOTE: freezing may reduce Vit C by 10-30% vs raw; label may reflect lower.</t>
      </text>
    </comment>
    <comment ref="BA12" authorId="0" shapeId="0">
      <text>
        <t>USDA FDC 168421: Vit D 0. Not in plants.</t>
      </text>
    </comment>
    <comment ref="BB12" authorId="0" shapeId="0">
      <text>
        <t>USDA FDC 168421: "Vitamin E (alpha-tocopherol) 0.66 mg per 100g". 0.66 × 0.6 = 0.396 → 0.40 mg.</t>
      </text>
    </comment>
    <comment ref="BC12" authorId="0" shapeId="0">
      <text>
        <t>USDA FDC 168421: "Vitamin K (phylloquinone) 389.6 µg per 100g". 389.6 × 0.6 = 233.76 → 234 µg. Kale is one of the highest K1 foods.</t>
      </text>
    </comment>
    <comment ref="BD12" authorId="0" shapeId="0">
      <text>
        <t>K2 MK-4 is animal/bacterial origin. Not in plants.</t>
      </text>
    </comment>
    <comment ref="BE12" authorId="0" shapeId="0">
      <text>
        <t>K2 MK-7 is fermentation origin. Not in raw kale.</t>
      </text>
    </comment>
    <comment ref="BF12" authorId="0" shapeId="0">
      <text>
        <t>USDA FDC 168421: "Thiamin (B1) 0.113 mg per 100g". 0.113 × 0.6 = 0.068 mg. TRACE.</t>
      </text>
    </comment>
    <comment ref="BG12" authorId="0" shapeId="0">
      <text>
        <t>USDA FDC 168421: "Riboflavin (B2) 0.347 mg per 100g". 0.347 × 0.6 = 0.208 mg.</t>
      </text>
    </comment>
    <comment ref="BH12" authorId="0" shapeId="0">
      <text>
        <t>USDA FDC 168421: "Niacin (B3) 1.18 mg per 100g". 1.18 × 0.6 = 0.708 → 0.71 mg.</t>
      </text>
    </comment>
    <comment ref="BI12" authorId="0" shapeId="0">
      <text>
        <t>USDA FDC 168421: "Vitamin B6 0.147 mg per 100g". 0.147 × 0.6 = 0.088 mg. TRACE.</t>
      </text>
    </comment>
    <comment ref="BJ12" authorId="0" shapeId="0">
      <text>
        <t>USDA FDC 168421: "Folate (DFE) 62 µg per 100g". 62 × 0.6 = 37.2 → 37 µg.</t>
      </text>
    </comment>
    <comment ref="BK12" authorId="0" shapeId="0">
      <text>
        <t>B12 is not in plant foods.</t>
      </text>
    </comment>
    <comment ref="BL12" authorId="0" shapeId="0">
      <text>
        <t>Biotin not in USDA FDC 168421 or ODS Biotin factsheet for kale. Leafy greens generally &lt;1 µg/100g but not quantified. Unknown.</t>
      </text>
    </comment>
    <comment ref="BM12" authorId="0" shapeId="0">
      <text>
        <t>USDA FDC 168421: "Pantothenic acid (B5) 0.37 mg per 100g". 0.37 × 0.6 = 0.222 → 0.22 mg.</t>
      </text>
    </comment>
    <comment ref="BN12" authorId="0" shapeId="0">
      <text>
        <t>EPA (marine) not in plants.</t>
      </text>
    </comment>
    <comment ref="BO12" authorId="0" shapeId="0">
      <text>
        <t>DHA (marine) not in plants.</t>
      </text>
    </comment>
    <comment ref="BP12" authorId="0" shapeId="0">
      <text>
        <t>USDA Flavonoid DB 3.3 (live-parsed): NDB 11233 Kale raw has no Anthocyanidins subclass data. Standard green curly kale does not contain significant anthocyanidins (red/purple kale cultivars do; 365 Organic Blue Curled Kale is the green Acephala variety).</t>
      </text>
    </comment>
    <comment ref="BQ12" authorId="0" shapeId="0">
      <text>
        <t>EGCG tea-specific.</t>
      </text>
    </comment>
    <comment ref="BR12" authorId="0" shapeId="0">
      <text>
        <t>Cocoa-specific.</t>
      </text>
    </comment>
    <comment ref="BS12" authorId="0" shapeId="0">
      <text>
        <t>Ellagic acid berry-specific.</t>
      </text>
    </comment>
    <comment ref="BT12" authorId="0" shapeId="0">
      <text>
        <t>USDA Proanthocyanidin DB 2.1 (live-parsed): kale (NDB 11233) NOT listed in the database. Kale is not a recognized proanthocyanidin source per USDA.</t>
      </text>
    </comment>
    <comment ref="BU12" authorId="0" shapeId="0">
      <text>
        <t>Hydroxytyrosol olive-specific.</t>
      </text>
    </comment>
    <comment ref="BV12" authorId="0" shapeId="0">
      <text>
        <t>USDA Flavonoid DB 3.3 (live-parsed) NDB 11233 Kale raw Flavonols subclass: "Quercetin 22.58 mg/100g" (n=18 samples, range 0.00-56.20). Kale is one of highest quercetin food sources. 22.58 × 0.6 = 13.5 mg for 60g. Also per 100g: Kaempferol 46.80 mg, Isorhamnetin 23.60 mg, Myricetin 0.</t>
      </text>
    </comment>
    <comment ref="BW12" authorId="0" shapeId="0">
      <text>
        <t>Dutch Lignan DB (Milder et al., live-parsed from sources/dutch_lignans.pdf): "Curly kale (cv. acephala): 84 + 599 + 1691 + 19 + 12 = 2321 µg total lignans per 100g" (lariciresinol 84, pinoresinol 599, secoisolariciresinol 1691, matairesinol 19, other 12). Kale is one of the highest-lignan vegetables.
2321 µg × 0.6 / 1000 = 1.39 → 1.4 mg for 60g.</t>
      </text>
    </comment>
    <comment ref="BX12" authorId="0" shapeId="0">
      <text>
        <t>USDA FDC 168421 (live-fetched): "Lutein + zeaxanthin: 6261 µg per 100g" combined. Kale L:Z ratio ~90:10 per Humphries &amp; Khachik 2003 HPLC analyses (math-heavy split).
6261 × 0.6 × 0.9 = 3381 µg lutein for 60g. Kale is top food lutein source.</t>
      </text>
    </comment>
    <comment ref="BY12" authorId="0" shapeId="0">
      <text>
        <t>Kale zeaxanthin ~10% of combined L+Z (math split from literature ratio). 6261 × 0.6 × 0.1 = 376 µg for 60g.</t>
      </text>
    </comment>
    <comment ref="BZ12" authorId="0" shapeId="0">
      <text>
        <t>Lycopene is tomato/watermelon.</t>
      </text>
    </comment>
    <comment ref="CA12" authorId="0" shapeId="0">
      <text>
        <t>Astaxanthin algal/crustacean.</t>
      </text>
    </comment>
    <comment ref="CB12" authorId="0" shapeId="0">
      <text>
        <t>VALUE IS MIDPOINT OF RANGE 2-8. Original range preserved for reference.
Hahn et al. 2016 (PubMed 22857862): "Sulforaphane contents in kale ranged from 96.08 to 177.7 mg/100g fresh weight" after myrosinase activation on fresh raw kale.
HOWEVER: Saha et al. 2012 showed commercial frozen kale (blanched before freezing) has myrosinase destroyed and sulforaphane yield drops to ~2-14% of raw. 365 frozen chopped kale: expected ~2-15 mg/100g active potential. For 60g: 1.2-9 mg.
Written as range "2-8" mg reflecting typical commercial-frozen yield.</t>
      </text>
    </comment>
    <comment ref="CC12" authorId="0" shapeId="0">
      <text>
        <t>Kale phytosterols: not listed in USDA FDC 168421 or fetched lentil/avocado phytosterol reviews. Leafy greens generally contain low phytosterols (&lt;15 mg/100g) but kale-specific value not found in session fetches. Marking Unknown.</t>
      </text>
    </comment>
    <comment ref="CD12" authorId="0" shapeId="0">
      <text>
        <t>VALUE IS MIDPOINT OF RANGE 7-120. Original range preserved for reference.
Kale nitrate: wide range 11.1-201 mg/100g reported in literature (PMC5412236 leafy greens nitrate review + seasonal variation studies). For 60g: 7-120 mg range.
Written as range per new convention.</t>
      </text>
    </comment>
    <comment ref="CE12" authorId="0" shapeId="0">
      <text>
        <t>PMC6637774: "Broccoli spermidine 6.9-398 nmol/g". Kale (same Brassica family) likely similar at lower end. Using 50 nmol/g = 7.3 mg/kg = 0.73 mg/100g raw. For 60g: 0.73 × 0.6 = 0.44 → 0.3 mg. Math-heavy (Brassica category + range estimate).</t>
      </text>
    </comment>
    <comment ref="CF12" authorId="0" shapeId="0">
      <text>
        <t>Korus 2014 (PubMed 26059143): kale amino acid composition. Leucine ~0.21 g/100g fresh kale.
0.21 × 0.6 = 0.126 → 0.13 g for 60g. Kale is ~6-8% leucine of total protein.</t>
      </text>
    </comment>
    <comment ref="CG12" authorId="0" shapeId="0">
      <text>
        <t>Collagen animal-only.</t>
      </text>
    </comment>
    <comment ref="CH12" authorId="0" shapeId="0">
      <text>
        <t>Kale fiber 2.46g per 60g label. ~40% soluble/fermentable (pectin, oligofructose) per published leafy greens fiber fractionation. 2.46 × 0.4 = 0.98 → 1.0 g prebiotic. Math-heavy estimate.</t>
      </text>
    </comment>
    <comment ref="CI12" authorId="0" shapeId="0">
      <text>
        <t>Taurine animal-only.</t>
      </text>
    </comment>
    <comment ref="CJ12" authorId="0" shapeId="0">
      <text>
        <t>Leafy greens (kale, spinach, broccoli) contain ~0.4-1 mg CoQ10/100g per published food CoQ10 databases. Midpoint ~0.5 mg/100g. For 60g: 0.5 × 0.6 = 0.30 mg. TRACE. Math-heavy.</t>
      </text>
    </comment>
    <comment ref="CK12" authorId="0" shapeId="0">
      <text>
        <t>Creatine muscle-only.</t>
      </text>
    </comment>
    <comment ref="CL12" authorId="0" shapeId="0">
      <text>
        <t>Kale lithium not in USDA/fetched sources. Unknown.</t>
      </text>
    </comment>
    <comment ref="CM12" authorId="0" shapeId="0">
      <text>
        <t>Not a probiotic food.</t>
      </text>
    </comment>
    <comment ref="CN12" authorId="0" shapeId="0">
      <text>
        <t>No caffeine.</t>
      </text>
    </comment>
    <comment ref="CO12" authorId="0" shapeId="0">
      <text>
        <t>Curcumin turmeric-specific.</t>
      </text>
    </comment>
    <comment ref="CP12" authorId="0" shapeId="0">
      <text>
        <t>No green tea catechins.</t>
      </text>
    </comment>
    <comment ref="CQ12" authorId="0" shapeId="0">
      <text>
        <t>USDA SR Legacy CSV: FDC 168421 Kale raw: "Tocopherol, gamma: 0.14 mg per 100g". 0.14 × 0.6 = 0.084 mg. TRACE.</t>
      </text>
    </comment>
    <comment ref="CR12" authorId="0" shapeId="0">
      <text>
        <t>Single ingredient (no blend).</t>
      </text>
    </comment>
    <comment ref="CS12" authorId="0" shapeId="0">
      <text>
        <t>FDA TDS 2018-2020: frozen kale (60g) — 68% of all food samples had no detectable HMs. Frozen kale is in the low-risk category for Lead. No brand-specific COA found after checking Lead Safe Mama + ConsumerLab. Writing 0 based on FDA TDS category-level data.</t>
      </text>
    </comment>
    <comment ref="CT12" authorId="0" shapeId="0">
      <text>
        <t>FDA TDS 2018-2020: frozen kale (60g) — 68% of all food samples had no detectable HMs. Frozen kale is in the low-risk category for Cadmium. No brand-specific COA found after checking Lead Safe Mama + ConsumerLab. Writing 0 based on FDA TDS category-level data.</t>
      </text>
    </comment>
    <comment ref="CU12" authorId="0" shapeId="0">
      <text>
        <t>FDA TDS 2018-2020: frozen kale (60g) — 68% of all food samples had no detectable HMs. Frozen kale is in the low-risk category for Arsenic. No brand-specific COA found after checking Lead Safe Mama + ConsumerLab. Writing 0 based on FDA TDS category-level data.</t>
      </text>
    </comment>
    <comment ref="CV12" authorId="0" shapeId="0">
      <text>
        <t>FDA TDS 2018-2020: frozen kale (60g) — 68% of all food samples had no detectable HMs. Frozen kale is in the low-risk category for Mercury. No brand-specific COA found after checking Lead Safe Mama + ConsumerLab. Writing 0 based on FDA TDS category-level data.</t>
      </text>
    </comment>
    <comment ref="O13" authorId="0" shapeId="0">
      <text>
        <t>Super Sprout Broccoli Sprout Powder (near-equivalent freeze-dried powder brand): "Calories 50 per 15g (1 tbsp)". 50 × (5/15) = 16.7 → 17 kcal for 5g.
Micro Ingredients own label not accessible this session; using same-product-type brand.</t>
      </text>
    </comment>
    <comment ref="P13" authorId="0" shapeId="0">
      <text>
        <t>Super Sprout: "Protein 5g per 15g". 5 × (5/15) = 1.67 → 1.7 g for 5g.</t>
      </text>
    </comment>
    <comment ref="Q13" authorId="0" shapeId="0">
      <text>
        <t>Whey not in plant foods. Categorical.</t>
      </text>
    </comment>
    <comment ref="R13" authorId="0" shapeId="0">
      <text>
        <t>Casein not in plant foods. Categorical.</t>
      </text>
    </comment>
    <comment ref="S13" authorId="0" shapeId="0">
      <text>
        <t>Egg not in plant foods. Categorical.</t>
      </text>
    </comment>
    <comment ref="T13" authorId="0" shapeId="0">
      <text>
        <t>Collagen not in plant foods. Categorical.</t>
      </text>
    </comment>
    <comment ref="U13" authorId="0" shapeId="0">
      <text>
        <t>100% plant protein from broccoli sprouts.</t>
      </text>
    </comment>
    <comment ref="W13" authorId="0" shapeId="0">
      <text>
        <t>Super Sprout: "Fat 2g per 15g". 2 × (5/15) = 0.67 g for 5g.</t>
      </text>
    </comment>
    <comment ref="X13" authorId="0" shapeId="0">
      <text>
        <t>Broccoli raw: sat fat ~0.039 g/100g. 0.039 × 11 × 0.05 = 0.021 → 0.02 g. TRACE. Derived from USDA broccoli raw × ~11 freeze-dried concentration × 0.05. Math-heavy.</t>
      </text>
    </comment>
    <comment ref="Y13" authorId="0" shapeId="0">
      <text>
        <t>Broccoli raw: MUFA ~0.031 g/100g. 0.031 × 11 × 0.05 = 0.017 g. TRACE. Derived from USDA broccoli raw × ~11 freeze-dried concentration × 0.05. Math-heavy.</t>
      </text>
    </comment>
    <comment ref="Z13" authorId="0" shapeId="0">
      <text>
        <t>Broccoli raw: PUFA ~0.038 g/100g. 0.038 × 11 × 0.05 = 0.021 g. TRACE. Derived from USDA broccoli raw × ~11 freeze-dried concentration × 0.05. Math-heavy.</t>
      </text>
    </comment>
    <comment ref="AA13" authorId="0" shapeId="0">
      <text>
        <t>Broccoli raw: ALA ~0.063 g/100g. 0.063 × 11 × 0.05 = 0.035 g. TRACE. Derived from USDA broccoli raw × ~11 freeze-dried concentration × 0.05. Math-heavy.</t>
      </text>
    </comment>
    <comment ref="AB13" authorId="0" shapeId="0">
      <text>
        <t>Broccoli raw: linoleic ~0.05 g/100g. 0.05 × 11 × 0.05 = 0.028 g. TRACE. Derived from USDA broccoli raw × ~11 freeze-dried concentration × 0.05. Math-heavy.</t>
      </text>
    </comment>
    <comment ref="AC13" authorId="0" shapeId="0">
      <text>
        <t>Trans fats not in plants.</t>
      </text>
    </comment>
    <comment ref="AD13" authorId="0" shapeId="0">
      <text>
        <t>Super Sprout: "Total carbs 7g per 15g". 7 × (5/15) = 2.33 → 2.3 g for 5g.</t>
      </text>
    </comment>
    <comment ref="AE13" authorId="0" shapeId="0">
      <text>
        <t>Super Sprout: "Sugar 1g per 15g". 1 × (5/15) = 0.33 → 0.3 g. TRACE (natural).</t>
      </text>
    </comment>
    <comment ref="AF13" authorId="0" shapeId="0">
      <text>
        <t>No sugar alcohols in single-ingredient sprout powder.</t>
      </text>
    </comment>
    <comment ref="AG13" authorId="0" shapeId="0">
      <text>
        <t>Formula: Total - Sugars - SugarAlc - Fiber.</t>
      </text>
    </comment>
    <comment ref="AH13" authorId="0" shapeId="0">
      <text>
        <t>Super Sprout: "Dietary Fiber 4g per 15g". 4 × (5/15) = 1.33 → 1.3 g for 5g.</t>
      </text>
    </comment>
    <comment ref="AI13" authorId="0" shapeId="0">
      <text>
        <t>Formula: Total - Fiber - SugarAlc.</t>
      </text>
    </comment>
    <comment ref="AJ13" authorId="0" shapeId="0">
      <text>
        <t>USDA Choline DB: "Broccoli, raw: 19.0 mg choline per 100g". Sprout powder concentration ~11× (freeze-dried). 19 × 11 × 0.05 = 10.45 → 10 mg for 5g powder.
Math-heavy (raw broccoli → sprout powder extrapolation).</t>
      </text>
    </comment>
    <comment ref="AK13" authorId="0" shapeId="0">
      <text>
        <t>Super Sprout: "Calcium 100 mg per 15g" (10% DV). 100 × (5/15) = 33.3 → 33 mg.</t>
      </text>
    </comment>
    <comment ref="AL13" authorId="0" shapeId="0">
      <text>
        <t>Broccoli raw: Mg 21 mg/100g. 21 × 11 × 0.05 = 11.6 → 12 mg. Derived from USDA broccoli raw (FDC 170379) × ~11 freeze-dried concentration factor × 0.05 for 5g. Math-heavy extrapolation (mature broccoli → sprout powder); sprout stage may differ. YELLOW tier.</t>
      </text>
    </comment>
    <comment ref="AM13" authorId="0" shapeId="0">
      <text>
        <t>Broccoli raw: K 316 mg/100g. 316 × 11 × 0.05 = 174 mg. Derived from USDA broccoli raw (FDC 170379) × ~11 freeze-dried concentration factor × 0.05 for 5g. Math-heavy extrapolation (mature broccoli → sprout powder); sprout stage may differ. YELLOW tier.</t>
      </text>
    </comment>
    <comment ref="AN13" authorId="0" shapeId="0">
      <text>
        <t>Broccoli raw: P 66 mg/100g. 66 × 11 × 0.05 = 36 mg. Derived from USDA broccoli raw (FDC 170379) × ~11 freeze-dried concentration factor × 0.05 for 5g. Math-heavy extrapolation (mature broccoli → sprout powder); sprout stage may differ. YELLOW tier.</t>
      </text>
    </comment>
    <comment ref="AO13" authorId="0" shapeId="0">
      <text>
        <t>Super Sprout: "Sodium 15 mg per 15g". 15 × (5/15) = 5 mg. TRACE.</t>
      </text>
    </comment>
    <comment ref="AP13" authorId="0" shapeId="0">
      <text>
        <t>Molybdenum not in fetched sources for broccoli sprout powder. Unknown.</t>
      </text>
    </comment>
    <comment ref="AQ13" authorId="0" shapeId="0">
      <text>
        <t>Broccoli raw: Fe 0.73 mg/100g. 0.73 × 11 × 0.05 = 0.40 mg. Derived from USDA broccoli raw (FDC 170379) × ~11 freeze-dried concentration factor × 0.05 for 5g. Math-heavy extrapolation (mature broccoli → sprout powder); sprout stage may differ. YELLOW tier.</t>
      </text>
    </comment>
    <comment ref="AR13" authorId="0" shapeId="0">
      <text>
        <t>Broccoli raw: Zn 0.41 mg/100g. 0.41 × 11 × 0.05 = 0.23 mg. Derived from USDA broccoli raw (FDC 170379) × ~11 freeze-dried concentration factor × 0.05 for 5g. Math-heavy extrapolation (mature broccoli → sprout powder); sprout stage may differ. YELLOW tier.</t>
      </text>
    </comment>
    <comment ref="AS13" authorId="0" shapeId="0">
      <text>
        <t>Broccoli raw: Se 2.5 µg/100g. 2.5 × 11 × 0.05 = 1.38 → 1.4 µg. TRACE. Derived from USDA broccoli raw (FDC 170379) × ~11 freeze-dried concentration factor × 0.05 for 5g. Math-heavy extrapolation (mature broccoli → sprout powder); sprout stage may differ. YELLOW tier.</t>
      </text>
    </comment>
    <comment ref="AT13" authorId="0" shapeId="0">
      <text>
        <t>Broccoli raw: Cu 0.049 mg = 49 µg/100g. 49 × 11 × 0.05 = 27 µg. Derived from USDA broccoli raw (FDC 170379) × ~11 freeze-dried concentration factor × 0.05 for 5g. Math-heavy extrapolation (mature broccoli → sprout powder); sprout stage may differ. YELLOW tier.</t>
      </text>
    </comment>
    <comment ref="AU13" authorId="0" shapeId="0">
      <text>
        <t>Broccoli raw: Mn 0.21 mg/100g. 0.21 × 11 × 0.05 = 0.116 → 0.12 mg. TRACE. Derived from USDA broccoli raw (FDC 170379) × ~11 freeze-dried concentration factor × 0.05 for 5g. Math-heavy extrapolation (mature broccoli → sprout powder); sprout stage may differ. YELLOW tier.</t>
      </text>
    </comment>
    <comment ref="AV13" authorId="0" shapeId="0">
      <text>
        <t>Chromium not in fetched sources. Unknown.</t>
      </text>
    </comment>
    <comment ref="AW13" authorId="0" shapeId="0">
      <text>
        <t>USDA Iodine DB: NDB 11742 "Broccoli, fresh/frozen, boiled: 0.5 µg/100g" (n=20, range 0-2.7). Sprout powder 5g ≈ 43g fresh equiv. 0.5 × 0.43 = 0.22 µg. TRACE.
Math-heavy (mature broccoli → sprout powder extrapolation).</t>
      </text>
    </comment>
    <comment ref="AX13" authorId="0" shapeId="0">
      <text>
        <t>Boron not in ATSDR table for broccoli. Unknown.</t>
      </text>
    </comment>
    <comment ref="AY13" authorId="0" shapeId="0">
      <text>
        <t>Broccoli raw: Vit A (RAE) 31 µg/100g. 31 × 11 × 0.05 = 17 µg. Derived from USDA broccoli raw (FDC 170379) × ~11 freeze-dried concentration factor × 0.05 for 5g. Math-heavy extrapolation (mature broccoli → sprout powder); sprout stage may differ. YELLOW tier.</t>
      </text>
    </comment>
    <comment ref="AZ13" authorId="0" shapeId="0">
      <text>
        <t>Super Sprout: "Vitamin C 45 mg per 15g" (50% DV). 45 × (5/15) = 15 mg for 5g. Broccoli sprouts are concentrated Vit C sources.</t>
      </text>
    </comment>
    <comment ref="BA13" authorId="0" shapeId="0">
      <text>
        <t>Vit D not in plants.</t>
      </text>
    </comment>
    <comment ref="BB13" authorId="0" shapeId="0">
      <text>
        <t>Broccoli raw: Vit E 0.78 mg/100g. 0.78 × 11 × 0.05 = 0.43 mg. Derived from USDA broccoli raw (FDC 170379) × ~11 freeze-dried concentration factor × 0.05 for 5g. Math-heavy extrapolation (mature broccoli → sprout powder); sprout stage may differ. YELLOW tier.</t>
      </text>
    </comment>
    <comment ref="BC13" authorId="0" shapeId="0">
      <text>
        <t>Broccoli raw: K1 101.6 µg/100g. 101.6 × 11 × 0.05 = 55.9 → 56 µg. Significant K1 source! Derived from USDA broccoli raw (FDC 170379) × ~11 freeze-dried concentration factor × 0.05 for 5g. Math-heavy extrapolation (mature broccoli → sprout powder); sprout stage may differ. YELLOW tier.</t>
      </text>
    </comment>
    <comment ref="BD13" authorId="0" shapeId="0">
      <text>
        <t>K2 MK-4 is animal/bacterial. Not in plants.</t>
      </text>
    </comment>
    <comment ref="BE13" authorId="0" shapeId="0">
      <text>
        <t>K2 MK-7 is fermentation-origin. Not in raw sprout powder.</t>
      </text>
    </comment>
    <comment ref="BF13" authorId="0" shapeId="0">
      <text>
        <t>Broccoli raw: B1 0.071 mg/100g. 0.071 × 11 × 0.05 = 0.039 mg. TRACE. Derived from USDA broccoli raw (FDC 170379) × ~11 freeze-dried concentration factor × 0.05 for 5g. Math-heavy extrapolation (mature broccoli → sprout powder); sprout stage may differ. YELLOW tier.</t>
      </text>
    </comment>
    <comment ref="BG13" authorId="0" shapeId="0">
      <text>
        <t>Broccoli raw: B2 0.117 mg/100g. 0.117 × 11 × 0.05 = 0.064 mg. TRACE. Derived from USDA broccoli raw (FDC 170379) × ~11 freeze-dried concentration factor × 0.05 for 5g. Math-heavy extrapolation (mature broccoli → sprout powder); sprout stage may differ. YELLOW tier.</t>
      </text>
    </comment>
    <comment ref="BH13" authorId="0" shapeId="0">
      <text>
        <t>Broccoli raw: B3 0.639 mg/100g. 0.639 × 11 × 0.05 = 0.35 mg. Derived from USDA broccoli raw (FDC 170379) × ~11 freeze-dried concentration factor × 0.05 for 5g. Math-heavy extrapolation (mature broccoli → sprout powder); sprout stage may differ. YELLOW tier.</t>
      </text>
    </comment>
    <comment ref="BI13" authorId="0" shapeId="0">
      <text>
        <t>Broccoli raw: B6 0.175 mg/100g. 0.175 × 11 × 0.05 = 0.096 → 0.097 mg. TRACE. Derived from USDA broccoli raw (FDC 170379) × ~11 freeze-dried concentration factor × 0.05 for 5g. Math-heavy extrapolation (mature broccoli → sprout powder); sprout stage may differ. YELLOW tier.</t>
      </text>
    </comment>
    <comment ref="BJ13" authorId="0" shapeId="0">
      <text>
        <t>Broccoli raw: Folate 63 µg/100g. 63 × 11 × 0.05 = 34.7 → 35 µg. Derived from USDA broccoli raw (FDC 170379) × ~11 freeze-dried concentration factor × 0.05 for 5g. Math-heavy extrapolation (mature broccoli → sprout powder); sprout stage may differ. YELLOW tier.</t>
      </text>
    </comment>
    <comment ref="BK13" authorId="0" shapeId="0">
      <text>
        <t>B12 is not in plants.</t>
      </text>
    </comment>
    <comment ref="BL13" authorId="0" shapeId="0">
      <text>
        <t>Biotin not in fetched sources for broccoli sprouts. Unknown.</t>
      </text>
    </comment>
    <comment ref="BM13" authorId="0" shapeId="0">
      <text>
        <t>Broccoli raw: B5 0.573 mg/100g. 0.573 × 11 × 0.05 = 0.315 → 0.32 mg. Derived from USDA broccoli raw (FDC 170379) × ~11 freeze-dried concentration factor × 0.05 for 5g. Math-heavy extrapolation (mature broccoli → sprout powder); sprout stage may differ. YELLOW tier.</t>
      </text>
    </comment>
    <comment ref="BN13" authorId="0" shapeId="0">
      <text>
        <t>EPA marine-only.</t>
      </text>
    </comment>
    <comment ref="BO13" authorId="0" shapeId="0">
      <text>
        <t>DHA marine-only.</t>
      </text>
    </comment>
    <comment ref="BP13" authorId="0" shapeId="0">
      <text>
        <t>USDA Flavonoid DB 3.3 (live-parsed) NDB 11090 Broccoli raw: all six anthocyanidins = 0 (cyanidin/delphinidin/malvidin/pelargonidin/peonidin/petunidin all 0 mg/100g). Green broccoli sprouts same pattern.</t>
      </text>
    </comment>
    <comment ref="BQ13" authorId="0" shapeId="0">
      <text>
        <t>USDA Flav3.3 NDB 11090: all Flavan-3-ols (epicatechin, catechin etc.) = 0. No EGCG in broccoli.</t>
      </text>
    </comment>
    <comment ref="BR13" authorId="0" shapeId="0">
      <text>
        <t>Cocoa-specific.</t>
      </text>
    </comment>
    <comment ref="BS13" authorId="0" shapeId="0">
      <text>
        <t>Ellagic acid berry-specific.</t>
      </text>
    </comment>
    <comment ref="BT13" authorId="0" shapeId="0">
      <text>
        <t>USDA Proanthocyanidin DB 2.1 NDB 11090 Broccoli raw: all PA categories = 0 (Dimers/Trimers/4-6mers/7-10mers/Polymers). Broccoli is not a PA source.</t>
      </text>
    </comment>
    <comment ref="BU13" authorId="0" shapeId="0">
      <text>
        <t>Hydroxytyrosol olive-specific.</t>
      </text>
    </comment>
    <comment ref="BV13" authorId="0" shapeId="0">
      <text>
        <t>USDA Flav3.3 NDB 11090 Broccoli raw: "Quercetin 3.26 mg per 100g". Freeze-dried powder concentration factor ~11x (fresh ~89% water, powder ~5%). 3.26 × 11 × 0.05 = 1.79 → 1.8 mg for 5g powder. Math-heavy extrapolation (raw broccoli → sprout powder). Flav3.3 has no specific sprout entry.</t>
      </text>
    </comment>
    <comment ref="BW13" authorId="0" shapeId="0">
      <text>
        <t>Dutch Lignan DB: "Broccoli (cv. botyris): 87 + 972 + 315 + 38 + 0 = 1325 µg/100g". Powder concentration ~11×. 1325 × 11 × 0.05 / 1000 = 0.73 mg for 5g powder. Math-heavy.</t>
      </text>
    </comment>
    <comment ref="BX13" authorId="0" shapeId="0">
      <text>
        <t>Lutein for broccoli sprouts specifically not in fetched sources. Mature broccoli has lutein but sprout-stage carotenoid content differs. Unknown.</t>
      </text>
    </comment>
    <comment ref="BY13" authorId="0" shapeId="0">
      <text>
        <t>Zeaxanthin for broccoli sprouts not quantified in fetched sources. Unknown.</t>
      </text>
    </comment>
    <comment ref="BZ13" authorId="0" shapeId="0">
      <text>
        <t>Lycopene tomato-specific.</t>
      </text>
    </comment>
    <comment ref="CA13" authorId="0" shapeId="0">
      <text>
        <t>Astaxanthin algal/crustacean.</t>
      </text>
    </comment>
    <comment ref="CB13" authorId="0" shapeId="0">
      <text>
        <t>VALUE IS MIDPOINT OF RANGE 10-40. Original range preserved for reference.
KOYAH Organic Broccoli Sprout Powder (near-equivalent freeze-dried brand) third-party tested: "glucoraphanin 2050 mg/100g" = 102 mg glucoraphanin per 5g serving.
Sulforaphane conversion (via myrosinase): molecular weight ratio 177/436 = 41% maximum. 102 × 0.41 = 42 mg theoretical sulforaphane maximum. Actual yield 20-50% depending on myrosinase activation → 10-40 mg range.
Written as range per audit convention when actual depends on enzyme activation state.</t>
      </text>
    </comment>
    <comment ref="CC13" authorId="0" shapeId="0">
      <text>
        <t>Broccoli sprout phytosterols not in fetched sources. Unknown.</t>
      </text>
    </comment>
    <comment ref="CD13" authorId="0" shapeId="0">
      <text>
        <t>Broccoli sprout nitrate not in fetched USDA sources. Unknown.</t>
      </text>
    </comment>
    <comment ref="CE13" authorId="0" shapeId="0">
      <text>
        <t>PMC6637774 "Polyamines in Food" (live-fetched): "Broccoli spermidine 6.9-398 nmol/g". Wide range reflects cultivar/processing variation. Midpoint ~200 nmol/g = 29 mg/kg = 2.9 mg/100g. For 5g powder (≈43g fresh): 2.9 × 0.43 = 1.25 → 1.3 mg. Math-heavy (range midpoint × scaling).</t>
      </text>
    </comment>
    <comment ref="CF13" authorId="0" shapeId="0">
      <text>
        <t>USDA FDC broccoli raw: "Leucine 0.129 g per 100g". Freeze-dried powder concentration ~11x. 0.129 × 11 × 0.05 = 0.071 → 0.07 g for 5g. Math-heavy extrapolation.</t>
      </text>
    </comment>
    <comment ref="CG13" authorId="0" shapeId="0">
      <text>
        <t>Collagen animal-only.</t>
      </text>
    </comment>
    <comment ref="CH13" authorId="0" shapeId="0">
      <text>
        <t>Broccoli fiber is ~50% soluble/fermentable (pectin, inulin-type). Label fiber 1.33g × 0.5 = 0.67 → 0.7 g prebiotic for 5g. Math-heavy estimate.</t>
      </text>
    </comment>
    <comment ref="CI13" authorId="0" shapeId="0">
      <text>
        <t>Taurine animal-only.</t>
      </text>
    </comment>
    <comment ref="CJ13" authorId="0" shapeId="0">
      <text>
        <t>Superfoodly CoQ10 table (live-fetched): "Broccoli: 0.59 mg CoQ10 per 100g". Sprout powder ~11× concentration. 0.59 × 11 × 0.05 = 0.32 mg for 5g powder. TRACE. Math-heavy.</t>
      </text>
    </comment>
    <comment ref="CK13" authorId="0" shapeId="0">
      <text>
        <t>Creatine muscle-only.</t>
      </text>
    </comment>
    <comment ref="CL13" authorId="0" shapeId="0">
      <text>
        <t>Lithium not in fetched sources. Unknown.</t>
      </text>
    </comment>
    <comment ref="CM13" authorId="0" shapeId="0">
      <text>
        <t>Not probiotic; raw powder.</t>
      </text>
    </comment>
    <comment ref="CN13" authorId="0" shapeId="0">
      <text>
        <t>No caffeine.</t>
      </text>
    </comment>
    <comment ref="CO13" authorId="0" shapeId="0">
      <text>
        <t>Curcumin turmeric-specific.</t>
      </text>
    </comment>
    <comment ref="CP13" authorId="0" shapeId="0">
      <text>
        <t>No green tea catechins.</t>
      </text>
    </comment>
    <comment ref="CQ13" authorId="0" shapeId="0">
      <text>
        <t>USDA SR Legacy CSV: FDC 170379 Broccoli raw: "Tocopherol, gamma: 0.17 mg per 100g". Sprout powder: 0.17 × 11 × 0.05 = 0.094 mg. TRACE. Math-heavy (broccoli→sprout).</t>
      </text>
    </comment>
    <comment ref="CR13" authorId="0" shapeId="0">
      <text>
        <t>Single-ingredient sprout powder.</t>
      </text>
    </comment>
    <comment ref="CS13" authorId="0" shapeId="0">
      <text>
        <t>Micro Ingredients heavy metals: Environmental Research Center filed Prop 65 Notice of Violation September 2025 against 4 Micro Ingredients products alleging heavy metal contamination (erc501c3.org cases list). Micro Ingredients' own organic broccoli product page includes Prop 65 warning "contains chemicals known to California to cause cancer and birth defects or other reproductive harm". Customer service claims COA available by email request (info@microingredients.com) — not publicly posted. No publicly fetched quantified values for this specific SKU. Marking Unknown with documented concern.</t>
      </text>
    </comment>
    <comment ref="CT13" authorId="0" shapeId="0">
      <text>
        <t>Micro Ingredients heavy metals: Environmental Research Center filed Prop 65 Notice of Violation September 2025 against 4 Micro Ingredients products alleging heavy metal contamination (erc501c3.org cases list). Micro Ingredients' own organic broccoli product page includes Prop 65 warning "contains chemicals known to California to cause cancer and birth defects or other reproductive harm". Customer service claims COA available by email request (info@microingredients.com) — not publicly posted. No publicly fetched quantified values for this specific SKU. Marking Unknown with documented concern.</t>
      </text>
    </comment>
    <comment ref="CU13" authorId="0" shapeId="0">
      <text>
        <t>FDA TDS 2018-2020: broccoli sprout powder (5g) — negligible HM contribution at this serving size. No Micro Ingredients As/Hg data in Prop 65 filing (which focused on Pb/Cd). Writing 0.</t>
      </text>
    </comment>
    <comment ref="CV13" authorId="0" shapeId="0">
      <text>
        <t>FDA TDS 2018-2020: broccoli sprout powder (5g) — negligible HM contribution at this serving size. No Micro Ingredients As/Hg data in Prop 65 filing (which focused on Pb/Cd). Writing 0.</t>
      </text>
    </comment>
    <comment ref="O14" authorId="0" shapeId="0">
      <text>
        <t>USDA FDC 167765 Watermelon raw (live-fetched): "Energy 30 kcal per 100g". 30 × 2.2 = 66 kcal for 220g.</t>
      </text>
    </comment>
    <comment ref="P14" authorId="0" shapeId="0">
      <text>
        <t>USDA FDC 167765: "Protein 0.61 g per 100g". 0.61 × 2.2 = 1.34 g.</t>
      </text>
    </comment>
    <comment ref="Q14" authorId="0" shapeId="0">
      <text>
        <t>Whey not in plant foods.</t>
      </text>
    </comment>
    <comment ref="R14" authorId="0" shapeId="0">
      <text>
        <t>Casein not in plant foods.</t>
      </text>
    </comment>
    <comment ref="S14" authorId="0" shapeId="0">
      <text>
        <t>Egg not in plant foods.</t>
      </text>
    </comment>
    <comment ref="T14" authorId="0" shapeId="0">
      <text>
        <t>Collagen not in plant foods.</t>
      </text>
    </comment>
    <comment ref="U14" authorId="0" shapeId="0">
      <text>
        <t>All 1.34 g plant protein.</t>
      </text>
    </comment>
    <comment ref="W14" authorId="0" shapeId="0">
      <text>
        <t>USDA FDC 167765: "Total Fat 0.15 g per 100g". 0.15 × 2.2 = 0.33 g. Watermelon is very low fat.</t>
      </text>
    </comment>
    <comment ref="X14" authorId="0" shapeId="0">
      <text>
        <t>USDA FDC 167765: "Saturated Fat 0.016 g per 100g". 0.016 × 2.2 = 0.035 g. TRACE.</t>
      </text>
    </comment>
    <comment ref="Y14" authorId="0" shapeId="0">
      <text>
        <t>USDA FDC 167765: "MUFA 0.037 g per 100g". 0.037 × 2.2 = 0.081 g. TRACE.</t>
      </text>
    </comment>
    <comment ref="Z14" authorId="0" shapeId="0">
      <text>
        <t>USDA FDC 167765: "PUFA 0.05 g per 100g". 0.05 × 2.2 = 0.11 g. TRACE.</t>
      </text>
    </comment>
    <comment ref="AA14" authorId="0" shapeId="0">
      <text>
        <t>ALA specifically not separately listed in USDA FDC 167765 output. Unknown.</t>
      </text>
    </comment>
    <comment ref="AB14" authorId="0" shapeId="0">
      <text>
        <t>Linoleic (omega-6) not separately listed in USDA FDC 167765. Unknown.</t>
      </text>
    </comment>
    <comment ref="AC14" authorId="0" shapeId="0">
      <text>
        <t>Trans fats not in plants.</t>
      </text>
    </comment>
    <comment ref="AD14" authorId="0" shapeId="0">
      <text>
        <t>USDA FDC 167765: "Carbohydrates 7.55 g per 100g". 7.55 × 2.2 = 16.61 → 16.6 g.</t>
      </text>
    </comment>
    <comment ref="AE14" authorId="0" shapeId="0">
      <text>
        <t>USDA FDC 167765: "Total Sugars 6.2 g per 100g". 6.2 × 2.2 = 13.64 → 13.6 g. Breakdown: fructose 3.36, glucose 1.58, sucrose 1.21 g/100g.</t>
      </text>
    </comment>
    <comment ref="AF14" authorId="0" shapeId="0">
      <text>
        <t>No sugar alcohols.</t>
      </text>
    </comment>
    <comment ref="AG14" authorId="0" shapeId="0">
      <text>
        <t>Formula: Total - Sugars - SugarAlc - Fiber.</t>
      </text>
    </comment>
    <comment ref="AH14" authorId="0" shapeId="0">
      <text>
        <t>USDA FDC 167765: "Dietary Fiber 0.4 g per 100g". 0.4 × 2.2 = 0.88 g. Watermelon is low-fiber.</t>
      </text>
    </comment>
    <comment ref="AI14" authorId="0" shapeId="0">
      <text>
        <t>Formula: Total - Fiber - SugarAlc.</t>
      </text>
    </comment>
    <comment ref="AJ14" authorId="0" shapeId="0">
      <text>
        <t>USDA FDC 167765: "Choline 4.1 mg per 100g". 4.1 × 2.2 = 9.0 mg.</t>
      </text>
    </comment>
    <comment ref="AK14" authorId="0" shapeId="0">
      <text>
        <t>USDA FDC 167765: "Calcium 7 mg per 100g". 7 × 2.2 = 15.4 → 15 mg.</t>
      </text>
    </comment>
    <comment ref="AL14" authorId="0" shapeId="0">
      <text>
        <t>USDA FDC 167765: "Magnesium 10 mg per 100g". 10 × 2.2 = 22 mg.</t>
      </text>
    </comment>
    <comment ref="AM14" authorId="0" shapeId="0">
      <text>
        <t>USDA FDC 167765: "Potassium 112 mg per 100g". 112 × 2.2 = 246 mg.</t>
      </text>
    </comment>
    <comment ref="AN14" authorId="0" shapeId="0">
      <text>
        <t>USDA FDC 167765: "Phosphorus 11 mg per 100g". 11 × 2.2 = 24 mg.</t>
      </text>
    </comment>
    <comment ref="AO14" authorId="0" shapeId="0">
      <text>
        <t>USDA FDC 167765: "Sodium 1 mg per 100g". 1 × 2.2 = 2 mg. TRACE.</t>
      </text>
    </comment>
    <comment ref="AP14" authorId="0" shapeId="0">
      <text>
        <t>Molybdenum not in USDA FDC 167765. Unknown.</t>
      </text>
    </comment>
    <comment ref="AQ14" authorId="0" shapeId="0">
      <text>
        <t>USDA FDC 167765: "Iron 0.24 mg per 100g". 0.24 × 2.2 = 0.53 mg.</t>
      </text>
    </comment>
    <comment ref="AR14" authorId="0" shapeId="0">
      <text>
        <t>USDA FDC 167765: "Zinc 0.1 mg per 100g". 0.1 × 2.2 = 0.22 mg.</t>
      </text>
    </comment>
    <comment ref="AS14" authorId="0" shapeId="0">
      <text>
        <t>USDA FDC 167765: "Selenium 0.4 mcg per 100g". 0.4 × 2.2 = 0.88 µg. TRACE.</t>
      </text>
    </comment>
    <comment ref="AT14" authorId="0" shapeId="0">
      <text>
        <t>USDA FDC 167765: "Copper 0.042 mg per 100g" = 42 µg. 42 × 2.2 = 92 µg.</t>
      </text>
    </comment>
    <comment ref="AU14" authorId="0" shapeId="0">
      <text>
        <t>USDA FDC 167765: "Manganese 0.038 mg per 100g". 0.038 × 2.2 = 0.084 mg.</t>
      </text>
    </comment>
    <comment ref="AV14" authorId="0" shapeId="0">
      <text>
        <t>Chromium not in USDA FDC 167765. Unknown.</t>
      </text>
    </comment>
    <comment ref="AW14" authorId="0" shapeId="0">
      <text>
        <t>USDA Iodine DB: "Watermelon, raw/frozen 0.2 mcg/100g" (n=20). 0.2 × 2.2 = 0.44 µg. TRACE. Iodine DB live-parsed this session from sources/iodine_db.pdf.</t>
      </text>
    </comment>
    <comment ref="AX14" authorId="0" shapeId="0">
      <text>
        <t>Watermelon boron not in ATSDR Table 6-3 (other fruits listed but not watermelon). Unknown.</t>
      </text>
    </comment>
    <comment ref="AY14" authorId="0" shapeId="0">
      <text>
        <t>USDA FDC 167765: "Vitamin A (RAE) 28 mcg per 100g". 28 × 2.2 = 62 µg RAE. Breakdown: beta-carotene 303 µg/100g, beta-cryptoxanthin 78 µg.</t>
      </text>
    </comment>
    <comment ref="AZ14" authorId="0" shapeId="0">
      <text>
        <t>USDA FDC 167765: "Vitamin C 8.1 mg per 100g". 8.1 × 2.2 = 17.8 → 18 mg.</t>
      </text>
    </comment>
    <comment ref="BA14" authorId="0" shapeId="0">
      <text>
        <t>Vit D not in plants.</t>
      </text>
    </comment>
    <comment ref="BB14" authorId="0" shapeId="0">
      <text>
        <t>USDA FDC 167765: "Vitamin E 0.05 mg per 100g". 0.05 × 2.2 = 0.11 mg. TRACE.</t>
      </text>
    </comment>
    <comment ref="BC14" authorId="0" shapeId="0">
      <text>
        <t>USDA FDC 167765: "Vitamin K1 0.1 mcg per 100g". 0.1 × 2.2 = 0.22 µg. TRACE.</t>
      </text>
    </comment>
    <comment ref="BD14" authorId="0" shapeId="0">
      <text>
        <t>K2 MK-4 animal/bacterial.</t>
      </text>
    </comment>
    <comment ref="BE14" authorId="0" shapeId="0">
      <text>
        <t>K2 MK-7 fermentation-origin.</t>
      </text>
    </comment>
    <comment ref="BF14" authorId="0" shapeId="0">
      <text>
        <t>USDA FDC 167765: "Thiamin 0.033 mg per 100g". 0.033 × 2.2 = 0.073 mg. TRACE.</t>
      </text>
    </comment>
    <comment ref="BG14" authorId="0" shapeId="0">
      <text>
        <t>USDA FDC 167765: "Riboflavin 0.021 mg per 100g". 0.021 × 2.2 = 0.046 mg. TRACE.</t>
      </text>
    </comment>
    <comment ref="BH14" authorId="0" shapeId="0">
      <text>
        <t>USDA FDC 167765: "Niacin 0.178 mg per 100g". 0.178 × 2.2 = 0.39 mg.</t>
      </text>
    </comment>
    <comment ref="BI14" authorId="0" shapeId="0">
      <text>
        <t>USDA FDC 167765: "Vitamin B6 0.045 mg per 100g". 0.045 × 2.2 = 0.099 mg. TRACE.</t>
      </text>
    </comment>
    <comment ref="BJ14" authorId="0" shapeId="0">
      <text>
        <t>USDA FDC 167765: "Folate (DFE) 3 mcg per 100g". 3 × 2.2 = 7 µg. Low.</t>
      </text>
    </comment>
    <comment ref="BK14" authorId="0" shapeId="0">
      <text>
        <t>B12 not in plants.</t>
      </text>
    </comment>
    <comment ref="BL14" authorId="0" shapeId="0">
      <text>
        <t>Biotin not in USDA FDC 167765. Unknown.</t>
      </text>
    </comment>
    <comment ref="BM14" authorId="0" shapeId="0">
      <text>
        <t>USDA FDC 167765: "Pantothenic acid 0.221 mg per 100g". 0.221 × 2.2 = 0.49 mg.</t>
      </text>
    </comment>
    <comment ref="BN14" authorId="0" shapeId="0">
      <text>
        <t>EPA marine-only.</t>
      </text>
    </comment>
    <comment ref="BO14" authorId="0" shapeId="0">
      <text>
        <t>DHA marine-only.</t>
      </text>
    </comment>
    <comment ref="BP14" authorId="0" shapeId="0">
      <text>
        <t>USDA Flavonoid DB 3.3 (live-parsed) NDB 09326 Watermelon raw: all six anthocyanidins = 0 mg/100g.</t>
      </text>
    </comment>
    <comment ref="BQ14" authorId="0" shapeId="0">
      <text>
        <t>USDA Flav3.3 NDB 09326: all Flavan-3-ols (including EGCG-related compounds) = 0 mg/100g.</t>
      </text>
    </comment>
    <comment ref="BR14" authorId="0" shapeId="0">
      <text>
        <t>Cocoa-specific.</t>
      </text>
    </comment>
    <comment ref="BS14" authorId="0" shapeId="0">
      <text>
        <t>Ellagic berry-specific.</t>
      </text>
    </comment>
    <comment ref="BT14" authorId="0" shapeId="0">
      <text>
        <t>USDA Proanthocyanidin DB 2.1 NDB 09326: all PA categories = 0 mg/100g. Watermelon is not a PA source.</t>
      </text>
    </comment>
    <comment ref="BU14" authorId="0" shapeId="0">
      <text>
        <t>Hydroxytyrosol olive-specific.</t>
      </text>
    </comment>
    <comment ref="BV14" authorId="0" shapeId="0">
      <text>
        <t>USDA Flav3.3 NDB 09326: watermelon Flavonols (including Quercetin) not listed separately in extracted data (expected 0 - watermelon is a flavonoid-poor fruit per multiple analyses).</t>
      </text>
    </comment>
    <comment ref="BW14" authorId="0" shapeId="0">
      <text>
        <t>Watermelon lignans not in fetched sources. Unknown (present trace).</t>
      </text>
    </comment>
    <comment ref="BX14" authorId="0" shapeId="0">
      <text>
        <t>USDA FDC 167765: "Lutein + Zeaxanthin 8 mcg per 100g" (combined). 8 × 2.2 = 17.6 µg total. Watermelon L:Z ratio typical ~50:50 (both low). 17.6 × 0.5 = 8.8 → 9 µg lutein. TRACE. Math-split.</t>
      </text>
    </comment>
    <comment ref="BY14" authorId="0" shapeId="0">
      <text>
        <t>Zeaxanthin ~50% of combined L+Z for watermelon. 8 × 0.5 × 2.2 = 8.8 → 9 µg. TRACE.</t>
      </text>
    </comment>
    <comment ref="BZ14" authorId="0" shapeId="0">
      <text>
        <t>USDA FDC 167765: "Lycopene 4532 mcg per 100g" = 4.532 mg/100g. 4.532 × 2.2 = 9.97 mg for 220g.
Watermelon is one of the top dietary lycopene sources alongside cooked tomatoes.</t>
      </text>
    </comment>
    <comment ref="CA14" authorId="0" shapeId="0">
      <text>
        <t>Astaxanthin algal/crustacean.</t>
      </text>
    </comment>
    <comment ref="CB14" authorId="0" shapeId="0">
      <text>
        <t>Sulforaphane cruciferous.</t>
      </text>
    </comment>
    <comment ref="CC14" authorId="0" shapeId="0">
      <text>
        <t>USDA FDC 167765: "Phytosterols 2 mg per 100g". 2 × 2.2 = 4.4 mg. Low phytosterol content.</t>
      </text>
    </comment>
    <comment ref="CD14" authorId="0" shapeId="0">
      <text>
        <t>Watermelon nitrate not in USDA FDC or fetched sources. Generally low (&lt;10 mg/100g). Unknown.</t>
      </text>
    </comment>
    <comment ref="CE14" authorId="0" shapeId="0">
      <text>
        <t>PMC6637774: "Fruit spermidine 6.9-98 nmol/g" (category includes watermelon). Watermelon is likely at lower end ~20 nmol/g = 2.9 mg/kg = 0.29 mg/100g. For 220g: 0.29 × 2.2 = 0.64 → 0.7 mg. Math-heavy (category range applied to specific fruit).</t>
      </text>
    </comment>
    <comment ref="CF14" authorId="0" shapeId="0">
      <text>
        <t>USDA FDC 167765: "Leucine 0.018 g per 100g". 0.018 × 2.2 = 0.04 g for 220g. Watermelon is very low protein. TRACE. Note: watermelon IS a top source of L-citrulline (~170-250 mg/100g) but citrulline is not a column in this sheet.</t>
      </text>
    </comment>
    <comment ref="CG14" authorId="0" shapeId="0">
      <text>
        <t>Collagen animal-only.</t>
      </text>
    </comment>
    <comment ref="CH14" authorId="0" shapeId="0">
      <text>
        <t>Watermelon fiber is ~50% pectin/soluble. 0.88 × 0.5 = 0.44 g for 220g. Low absolute fiber (watermelon is mostly water). Math-heavy split.</t>
      </text>
    </comment>
    <comment ref="CI14" authorId="0" shapeId="0">
      <text>
        <t>Taurine animal-only.</t>
      </text>
    </comment>
    <comment ref="CJ14" authorId="0" shapeId="0">
      <text>
        <t>CoQ10 in watermelon not in fetched sources. Fruits generally low. Unknown.</t>
      </text>
    </comment>
    <comment ref="CK14" authorId="0" shapeId="0">
      <text>
        <t>Creatine muscle-only.</t>
      </text>
    </comment>
    <comment ref="CL14" authorId="0" shapeId="0">
      <text>
        <t>Lithium in watermelon not in fetched sources. Unknown.</t>
      </text>
    </comment>
    <comment ref="CM14" authorId="0" shapeId="0">
      <text>
        <t>Not a probiotic food.</t>
      </text>
    </comment>
    <comment ref="CN14" authorId="0" shapeId="0">
      <text>
        <t>No caffeine.</t>
      </text>
    </comment>
    <comment ref="CO14" authorId="0" shapeId="0">
      <text>
        <t>Curcumin turmeric-specific.</t>
      </text>
    </comment>
    <comment ref="CP14" authorId="0" shapeId="0">
      <text>
        <t>No green tea catechins.</t>
      </text>
    </comment>
    <comment ref="CQ14" authorId="0" shapeId="0">
      <text>
        <t>Watermelon γ-tocopherol not in USDA FDC 167765 (only α-toc listed). Unknown.</t>
      </text>
    </comment>
    <comment ref="CR14" authorId="0" shapeId="0">
      <text>
        <t>Single-ingredient whole watermelon.</t>
      </text>
    </comment>
    <comment ref="CS14" authorId="0" shapeId="0">
      <text>
        <t>FDA TDS 2018-2020: watermelon (220g) in low-risk category. 68% of all foods had no detectable HMs; fruits/spices at small servings contribute negligible HM exposure. Writing 0.</t>
      </text>
    </comment>
    <comment ref="CT14" authorId="0" shapeId="0">
      <text>
        <t>FDA TDS 2018-2020: watermelon (220g) in low-risk category. 68% of all foods had no detectable HMs; fruits/spices at small servings contribute negligible HM exposure. Writing 0.</t>
      </text>
    </comment>
    <comment ref="CU14" authorId="0" shapeId="0">
      <text>
        <t>FDA TDS 2018-2020: watermelon (220g) in low-risk category. 68% of all foods had no detectable HMs; fruits/spices at small servings contribute negligible HM exposure. Writing 0.</t>
      </text>
    </comment>
    <comment ref="CV14" authorId="0" shapeId="0">
      <text>
        <t>FDA TDS 2018-2020: watermelon (220g) in low-risk category. 68% of all foods had no detectable HMs; fruits/spices at small servings contribute negligible HM exposure. Writing 0.</t>
      </text>
    </comment>
    <comment ref="O15" authorId="0" shapeId="0">
      <text>
        <t>Navitas label (live-fetched): "Calories 110 per 30g (3 tbsp)". 110/2 = 55 kcal for 15g (1½ tbsp).</t>
      </text>
    </comment>
    <comment ref="P15" authorId="0" shapeId="0">
      <text>
        <t>Navitas label: "Protein 4g per 30g". 4/2 = 2 g for 15g.</t>
      </text>
    </comment>
    <comment ref="Q15" authorId="0" shapeId="0">
      <text>
        <t>Whey not in plant foods.</t>
      </text>
    </comment>
    <comment ref="R15" authorId="0" shapeId="0">
      <text>
        <t>Casein not in plant foods.</t>
      </text>
    </comment>
    <comment ref="S15" authorId="0" shapeId="0">
      <text>
        <t>Egg not in plant foods.</t>
      </text>
    </comment>
    <comment ref="T15" authorId="0" shapeId="0">
      <text>
        <t>Collagen not in plant foods.</t>
      </text>
    </comment>
    <comment ref="U15" authorId="0" shapeId="0">
      <text>
        <t>All 2 g plant protein.</t>
      </text>
    </comment>
    <comment ref="W15" authorId="0" shapeId="0">
      <text>
        <t>Navitas label: "Total Fat 0 g per 30g". Label rounds; USDA 0.39 g/100g × 0.15 = 0.06 g (below label threshold).</t>
      </text>
    </comment>
    <comment ref="X15" authorId="0" shapeId="0">
      <text>
        <t>Navitas label: "Saturated Fat 0 g".</t>
      </text>
    </comment>
    <comment ref="Y15" authorId="0" shapeId="0">
      <text>
        <t>MUFA not on Navitas label or USDA FDC 173032. Unknown.</t>
      </text>
    </comment>
    <comment ref="Z15" authorId="0" shapeId="0">
      <text>
        <t>PUFA not on Navitas label or USDA FDC 173032. Unknown.</t>
      </text>
    </comment>
    <comment ref="AA15" authorId="0" shapeId="0">
      <text>
        <t>ALA not separately listed in USDA FDC 173032 for goji. Unknown.</t>
      </text>
    </comment>
    <comment ref="AB15" authorId="0" shapeId="0">
      <text>
        <t>Linoleic (omega-6) not separately listed in USDA FDC 173032. Unknown.</t>
      </text>
    </comment>
    <comment ref="AC15" authorId="0" shapeId="0">
      <text>
        <t>Navitas label: "Trans Fat 0 g".</t>
      </text>
    </comment>
    <comment ref="AD15" authorId="0" shapeId="0">
      <text>
        <t>Navitas label: "Total Carbs 23g per 30g". 23/2 = 11.5 g for 15g.</t>
      </text>
    </comment>
    <comment ref="AE15" authorId="0" shapeId="0">
      <text>
        <t>Navitas label: "Total Sugars 13g per 30g, Added Sugars 0g". 13/2 = 6.5 g natural sugars.</t>
      </text>
    </comment>
    <comment ref="AF15" authorId="0" shapeId="0">
      <text>
        <t>No sugar alcohols in single-ingredient dried fruit.</t>
      </text>
    </comment>
    <comment ref="AG15" authorId="0" shapeId="0">
      <text>
        <t>Formula: Total - Sugars - SugarAlc - Fiber.</t>
      </text>
    </comment>
    <comment ref="AH15" authorId="0" shapeId="0">
      <text>
        <t>Navitas label: "Dietary Fiber 4g per 30g". 4/2 = 2 g for 15g.</t>
      </text>
    </comment>
    <comment ref="AI15" authorId="0" shapeId="0">
      <text>
        <t>Formula: Total - Fiber - SugarAlc.</t>
      </text>
    </comment>
    <comment ref="AJ15" authorId="0" shapeId="0">
      <text>
        <t>Choline not on Navitas label or USDA FDC 173032 for goji. Unknown.</t>
      </text>
    </comment>
    <comment ref="AK15" authorId="0" shapeId="0">
      <text>
        <t>Navitas label: "Calcium 23 mg per 30g" (2% DV). 23/2 = 11.5 mg for 15g.</t>
      </text>
    </comment>
    <comment ref="AL15" authorId="0" shapeId="0">
      <text>
        <t>Donno et al. 2015: "magnesium (90 mg/100 g)". 90 × 0.15 = 13.5 → 14 mg for 15g.
Note: paper appears to have typo "90 g/100 g" but context clearly means mg/100g.</t>
      </text>
    </comment>
    <comment ref="AM15" authorId="0" shapeId="0">
      <text>
        <t>Navitas label: "Potassium 417 mg per 30g" (8% DV). 417/2 = 208.5 → 208 mg for 15g.</t>
      </text>
    </comment>
    <comment ref="AN15" authorId="0" shapeId="0">
      <text>
        <t>Donno et al. 2015 (cited in pan.olsztyn.pl goji review, live-parsed PDF): "phosphorus (184 mg/100 g)". 184 × 0.15 = 27.6 → 28 mg for 15g dried goji.
Replaces prior midpoint estimate of 40 mg.</t>
      </text>
    </comment>
    <comment ref="AO15" authorId="0" shapeId="0">
      <text>
        <t>Navitas label: "Sodium 160 mg per 30g" (7% DV). 160/2 = 80 mg for 15g.
Note: dried goji berries are notably high in sodium despite being a fruit.</t>
      </text>
    </comment>
    <comment ref="AP15" authorId="0" shapeId="0">
      <text>
        <t>Mo not in USDA FDC or label. Unknown.</t>
      </text>
    </comment>
    <comment ref="AQ15" authorId="0" shapeId="0">
      <text>
        <t>Navitas label: "Iron 3 mg per 30g" (15% DV). 3/2 = 1.5 mg for 15g.</t>
      </text>
    </comment>
    <comment ref="AR15" authorId="0" shapeId="0">
      <text>
        <t>Zn not on Navitas label or USDA FDC 173032. Unknown.</t>
      </text>
    </comment>
    <comment ref="AS15" authorId="0" shapeId="0">
      <text>
        <t>Se not on Navitas label or USDA FDC 173032. Unknown.</t>
      </text>
    </comment>
    <comment ref="AT15" authorId="0" shapeId="0">
      <text>
        <t>Cu not on Navitas label or USDA FDC 173032. Unknown.</t>
      </text>
    </comment>
    <comment ref="AU15" authorId="0" shapeId="0">
      <text>
        <t>Mn not on Navitas label or USDA FDC 173032. Unknown.</t>
      </text>
    </comment>
    <comment ref="AV15" authorId="0" shapeId="0">
      <text>
        <t>Cr not in fetched sources. Unknown.</t>
      </text>
    </comment>
    <comment ref="AW15" authorId="0" shapeId="0">
      <text>
        <t>I not in USDA FDC or Iodine DB for goji. Unknown.</t>
      </text>
    </comment>
    <comment ref="AX15" authorId="0" shapeId="0">
      <text>
        <t>Boron not in ATSDR Table 6-3 for goji. Unknown.</t>
      </text>
    </comment>
    <comment ref="AY15" authorId="0" shapeId="0">
      <text>
        <t>Navitas label: "Vitamin A 1282 mcg per 30g" (140% DV). 1282/2 = 641 µg RAE for 15g. Goji is one of the highest dietary Vit A / beta-carotene sources.</t>
      </text>
    </comment>
    <comment ref="AZ15" authorId="0" shapeId="0">
      <text>
        <t>USDA FDC 173032 (live-fetched dried goji near-equivalent): "Vitamin C 48.4 mg per 100g". 48.4 × 0.15 = 7.26 → 7 mg for 15g. Note: some of Vit C is destroyed in drying process — label does not show Vit C.</t>
      </text>
    </comment>
    <comment ref="BA15" authorId="0" shapeId="0">
      <text>
        <t>Navitas label: "Vitamin D 0 mcg". Not in plants.</t>
      </text>
    </comment>
    <comment ref="BB15" authorId="0" shapeId="0">
      <text>
        <t>Vit E not on Navitas label or USDA FDC 173032. Unknown.</t>
      </text>
    </comment>
    <comment ref="BC15" authorId="0" shapeId="0">
      <text>
        <t>K1 not on Navitas label or USDA FDC 173032. Unknown.</t>
      </text>
    </comment>
    <comment ref="BD15" authorId="0" shapeId="0">
      <text>
        <t>K2 MK-4 animal/bacterial.</t>
      </text>
    </comment>
    <comment ref="BE15" authorId="0" shapeId="0">
      <text>
        <t>K2 MK-7 fermentation-origin.</t>
      </text>
    </comment>
    <comment ref="BF15" authorId="0" shapeId="0">
      <text>
        <t>Thiamin not on label or USDA FDC 173032. Unknown.</t>
      </text>
    </comment>
    <comment ref="BG15" authorId="0" shapeId="0">
      <text>
        <t>Riboflavin not on label or USDA FDC 173032. Unknown.</t>
      </text>
    </comment>
    <comment ref="BH15" authorId="0" shapeId="0">
      <text>
        <t>Niacin not on label or USDA FDC 173032. Unknown.</t>
      </text>
    </comment>
    <comment ref="BI15" authorId="0" shapeId="0">
      <text>
        <t>B6 not on label or USDA FDC 173032. Unknown.</t>
      </text>
    </comment>
    <comment ref="BJ15" authorId="0" shapeId="0">
      <text>
        <t>Folate not on label or USDA FDC 173032. Unknown.</t>
      </text>
    </comment>
    <comment ref="BK15" authorId="0" shapeId="0">
      <text>
        <t>B12 not in plants.</t>
      </text>
    </comment>
    <comment ref="BL15" authorId="0" shapeId="0">
      <text>
        <t>Biotin not on label or USDA FDC 173032. Unknown.</t>
      </text>
    </comment>
    <comment ref="BM15" authorId="0" shapeId="0">
      <text>
        <t>Pantothenic acid not on label or USDA FDC 173032. Unknown.</t>
      </text>
    </comment>
    <comment ref="BN15" authorId="0" shapeId="0">
      <text>
        <t>EPA marine-only.</t>
      </text>
    </comment>
    <comment ref="BO15" authorId="0" shapeId="0">
      <text>
        <t>DHA marine-only.</t>
      </text>
    </comment>
    <comment ref="BP15" authorId="0" shapeId="0">
      <text>
        <t>Goji anthocyanins not in USDA Flav3.3 NDB 99618 (only Kaempferol listed; DC grade D single-source). Red color of goji comes from carotenoids (lycopene, zeaxanthin) not anthocyanins. Unknown.</t>
      </text>
    </comment>
    <comment ref="BQ15" authorId="0" shapeId="0">
      <text>
        <t>EGCG tea-specific.</t>
      </text>
    </comment>
    <comment ref="BR15" authorId="0" shapeId="0">
      <text>
        <t>Cocoa-specific.</t>
      </text>
    </comment>
    <comment ref="BS15" authorId="0" shapeId="0">
      <text>
        <t>Goji ellagic acid/ellagitannins not in fetched ellagic voltammetry paper or USDA DBs. Unknown.</t>
      </text>
    </comment>
    <comment ref="BT15" authorId="0" shapeId="0">
      <text>
        <t>Goji proanthocyanidins not in USDA PA DB 2.1 (NDB 99618 not listed). Unknown.</t>
      </text>
    </comment>
    <comment ref="BU15" authorId="0" shapeId="0">
      <text>
        <t>Hydroxytyrosol olive-specific.</t>
      </text>
    </comment>
    <comment ref="BV15" authorId="0" shapeId="0">
      <text>
        <t>Goji quercetin: USDA Flav3.3 NDB 99618 only lists Kaempferol (6.20 mg/100g), not quercetin. Other flavonols not measured. Unknown.</t>
      </text>
    </comment>
    <comment ref="BW15" authorId="0" shapeId="0">
      <text>
        <t>Goji lignans not in Dutch Lignan DB (fetched) or USDA. Unknown.</t>
      </text>
    </comment>
    <comment ref="BX15" authorId="0" shapeId="0">
      <text>
        <t>Goji lutein specifically not quantified in fetched sources (Italian zeaxanthin study focused on zeaxanthin only; USDA FDC 173032 for goji lacks carotenoid breakdown). Goji has some lutein but total L+Z is dominated by zeaxanthin. Unknown.</t>
      </text>
    </comment>
    <comment ref="BY15" authorId="0" shapeId="0">
      <text>
        <t>USDA Iodine/Zeaxanthin studies (live-fetched): dried goji zeaxanthin 114-345 mg/100g. Midpoint 230 mg/100g. For 15g: 230 x 0.15 = 34.5 MG = 34,500 mcg. UNIT CORRECTION: was stored as 34.5 (mg value) in a mcg column. Goji is the #1 dietary zeaxanthin source by a massive margin.</t>
      </text>
    </comment>
    <comment ref="BZ15" authorId="0" shapeId="0">
      <text>
        <t>Goji lycopene: highly variable across studies (trace to ~4 mg/100g). Not in USDA FDC 173032. Unknown.</t>
      </text>
    </comment>
    <comment ref="CA15" authorId="0" shapeId="0">
      <text>
        <t>Astaxanthin algal/crustacean.</t>
      </text>
    </comment>
    <comment ref="CB15" authorId="0" shapeId="0">
      <text>
        <t>Sulforaphane cruciferous.</t>
      </text>
    </comment>
    <comment ref="CC15" authorId="0" shapeId="0">
      <text>
        <t>Goji phytosterols not in USDA FDC 173032 or fetched phytosterol sources. Unknown.</t>
      </text>
    </comment>
    <comment ref="CD15" authorId="0" shapeId="0">
      <text>
        <t>Goji nitrate not in fetched sources. Unknown.</t>
      </text>
    </comment>
    <comment ref="CE15" authorId="0" shapeId="0">
      <text>
        <t>Goji spermidine: not in PMC3022763 polyamine DB (goji not listed). Unknown.</t>
      </text>
    </comment>
    <comment ref="CF15" authorId="0" shapeId="0">
      <text>
        <t>USDA FDC 173032 (live-fetched): "Leucine 0.456 g per 100g dried goji". 0.456 × 0.15 = 0.068 g for 15g. TRACE (goji is not a high-leucine food despite 14g protein/100g).</t>
      </text>
    </comment>
    <comment ref="CG15" authorId="0" shapeId="0">
      <text>
        <t>Collagen animal-only.</t>
      </text>
    </comment>
    <comment ref="CH15" authorId="0" shapeId="0">
      <text>
        <t>Goji fiber ~40% soluble (pectin, polysaccharides including bioactive LBP). 2g × 0.4 = 0.8 g prebiotic fiber for 15g. Math-heavy estimate.</t>
      </text>
    </comment>
    <comment ref="CI15" authorId="0" shapeId="0">
      <text>
        <t>Taurine animal-only.</t>
      </text>
    </comment>
    <comment ref="CJ15" authorId="0" shapeId="0">
      <text>
        <t>CoQ10 in goji not quantified in fetched sources. Dried fruits generally &lt;0.1 mg/100g. Unknown.</t>
      </text>
    </comment>
    <comment ref="CK15" authorId="0" shapeId="0">
      <text>
        <t>Creatine muscle-only.</t>
      </text>
    </comment>
    <comment ref="CL15" authorId="0" shapeId="0">
      <text>
        <t>Lithium not in fetched goji sources. Unknown.</t>
      </text>
    </comment>
    <comment ref="CM15" authorId="0" shapeId="0">
      <text>
        <t>Not a probiotic food.</t>
      </text>
    </comment>
    <comment ref="CN15" authorId="0" shapeId="0">
      <text>
        <t>No caffeine.</t>
      </text>
    </comment>
    <comment ref="CO15" authorId="0" shapeId="0">
      <text>
        <t>Curcumin turmeric-specific.</t>
      </text>
    </comment>
    <comment ref="CP15" authorId="0" shapeId="0">
      <text>
        <t>No green tea catechins.</t>
      </text>
    </comment>
    <comment ref="CQ15" authorId="0" shapeId="0">
      <text>
        <t>Goji γ-tocopherol not in USDA FDC 173032 or fetched sources. Unknown.</t>
      </text>
    </comment>
    <comment ref="CR15" authorId="0" shapeId="0">
      <text>
        <t>Single-ingredient dried goji berry.</t>
      </text>
    </comment>
    <comment ref="CS15" authorId="0" shapeId="0">
      <text>
        <t>Navitas Organics goji product page carries California Prop 65 WARNING: "trace amounts of heavy metals that are naturally occurring in the organic soils" where superfoods grow. Company states Prop 65 is a right-to-know law, not a determination of product safety. No quantified COA publicly available for this SKU. COA search: Lead Safe Mama has not tested Navitas goji. Marking Unknown with documented Prop 65 context.</t>
      </text>
    </comment>
    <comment ref="CT15" authorId="0" shapeId="0">
      <text>
        <t>Navitas Organics goji product page carries California Prop 65 WARNING: "trace amounts of heavy metals that are naturally occurring in the organic soils" where superfoods grow. Company states Prop 65 is a right-to-know law, not a determination of product safety. No quantified COA publicly available for this SKU. COA search: Lead Safe Mama has not tested Navitas goji. Marking Unknown with documented Prop 65 context.</t>
      </text>
    </comment>
    <comment ref="CU15" authorId="0" shapeId="0">
      <text>
        <t>Navitas Organics goji product page carries California Prop 65 WARNING: "trace amounts of heavy metals that are naturally occurring in the organic soils" where superfoods grow. Company states Prop 65 is a right-to-know law, not a determination of product safety. No quantified COA publicly available for this SKU. COA search: Lead Safe Mama has not tested Navitas goji. Marking Unknown with documented Prop 65 context.</t>
      </text>
    </comment>
    <comment ref="CV15" authorId="0" shapeId="0">
      <text>
        <t>Navitas Organics goji product page carries California Prop 65 WARNING: "trace amounts of heavy metals that are naturally occurring in the organic soils" where superfoods grow. Company states Prop 65 is a right-to-know law, not a determination of product safety. No quantified COA publicly available for this SKU. COA search: Lead Safe Mama has not tested Navitas goji. Marking Unknown with documented Prop 65 context.</t>
      </text>
    </comment>
    <comment ref="O16" authorId="0" shapeId="0">
      <text>
        <t>USDA FDC 170178 raw macadamia nuts (live-fetched): "Energy 718 kcal per 100g". 718 × 0.75 = 538.5 → 539 kcal for 75g.</t>
      </text>
    </comment>
    <comment ref="P16" authorId="0" shapeId="0">
      <text>
        <t>USDA FDC 170178: "Protein 7.91 g per 100g". 7.91 × 0.75 = 5.93 g for 75g.</t>
      </text>
    </comment>
    <comment ref="Q16" authorId="0" shapeId="0">
      <text>
        <t>Whey not in plant foods.</t>
      </text>
    </comment>
    <comment ref="R16" authorId="0" shapeId="0">
      <text>
        <t>Casein not in plant foods.</t>
      </text>
    </comment>
    <comment ref="S16" authorId="0" shapeId="0">
      <text>
        <t>Egg not in plant foods.</t>
      </text>
    </comment>
    <comment ref="T16" authorId="0" shapeId="0">
      <text>
        <t>Collagen not in plant foods.</t>
      </text>
    </comment>
    <comment ref="U16" authorId="0" shapeId="0">
      <text>
        <t>All 5.93 g plant protein.</t>
      </text>
    </comment>
    <comment ref="W16" authorId="0" shapeId="0">
      <text>
        <t>USDA FDC 170178: "Total Fat 75.77 g per 100g". 75.77 × 0.75 = 56.83 → 56.8 g for 75g. Very high-fat nut.</t>
      </text>
    </comment>
    <comment ref="X16" authorId="0" shapeId="0">
      <text>
        <t>USDA FDC 170178: "Saturated Fat 12.061 g per 100g". 12.061 × 0.75 = 9.05 g.</t>
      </text>
    </comment>
    <comment ref="Y16" authorId="0" shapeId="0">
      <text>
        <t>USDA FDC 170178: "MUFA 58.877 g per 100g" (oleic 43.755 + palmitoleic 12.981 + gadoleic 1.89). 58.877 × 0.75 = 44.16 g for 75g. Macadamia is a MUFA champion among nuts.</t>
      </text>
    </comment>
    <comment ref="Z16" authorId="0" shapeId="0">
      <text>
        <t>USDA FDC 170178: "PUFA 1.502 g per 100g". 1.502 × 0.75 = 1.13 g. Low PUFA (desirable ratio).</t>
      </text>
    </comment>
    <comment ref="AA16" authorId="0" shapeId="0">
      <text>
        <t>USDA FDC 170178: "ALA (18:3) 0.206 g per 100g". 0.206 × 0.75 = 0.155 g.</t>
      </text>
    </comment>
    <comment ref="AB16" authorId="0" shapeId="0">
      <text>
        <t>USDA FDC 170178: "Linoleic (18:2 omega-6) 1.296 g per 100g". 1.296 × 0.75 = 0.972 g.</t>
      </text>
    </comment>
    <comment ref="AC16" authorId="0" shapeId="0">
      <text>
        <t>Trans fats not in raw nuts.</t>
      </text>
    </comment>
    <comment ref="AD16" authorId="0" shapeId="0">
      <text>
        <t>USDA FDC 170178: "Carbohydrates 13.82 g per 100g". 13.82 × 0.75 = 10.37 → 10.4 g.</t>
      </text>
    </comment>
    <comment ref="AE16" authorId="0" shapeId="0">
      <text>
        <t>USDA FDC 170178: "Total Sugars 4.57 g per 100g" (mostly sucrose 4.43). 4.57 × 0.75 = 3.43 g.</t>
      </text>
    </comment>
    <comment ref="AF16" authorId="0" shapeId="0">
      <text>
        <t>No sugar alcohols in raw nuts.</t>
      </text>
    </comment>
    <comment ref="AG16" authorId="0" shapeId="0">
      <text>
        <t>Formula: Total - Sugars - SugarAlc - Fiber.</t>
      </text>
    </comment>
    <comment ref="AH16" authorId="0" shapeId="0">
      <text>
        <t>USDA FDC 170178: "Dietary Fiber 8.6 g per 100g". 8.6 × 0.75 = 6.45 g.</t>
      </text>
    </comment>
    <comment ref="AI16" authorId="0" shapeId="0">
      <text>
        <t>Formula: Total - Fiber - SugarAlc.</t>
      </text>
    </comment>
    <comment ref="AJ16" authorId="0" shapeId="0">
      <text>
        <t>USDA Choline DB (choln02.pdf, live-parsed): "Nuts, macadamia nuts, dry roasted, with salt: 45.0 mg total choline per 100g". 45 × 0.75 = 33.75 → 34 mg for 75g.
NOTE: DB entry is for dry-roasted salted, applied to raw as near-equiv (YELLOW). Choline is water-soluble; roasting minimally affects it.</t>
      </text>
    </comment>
    <comment ref="AK16" authorId="0" shapeId="0">
      <text>
        <t>USDA FDC 170178: "Calcium 85 mg per 100g". 85 × 0.75 = 63.75 → 64 mg.</t>
      </text>
    </comment>
    <comment ref="AL16" authorId="0" shapeId="0">
      <text>
        <t>USDA FDC 170178: "Magnesium 130 mg per 100g". 130 × 0.75 = 97.5 → 98 mg.</t>
      </text>
    </comment>
    <comment ref="AM16" authorId="0" shapeId="0">
      <text>
        <t>USDA FDC 170178: "Potassium 368 mg per 100g". 368 × 0.75 = 276 mg.</t>
      </text>
    </comment>
    <comment ref="AN16" authorId="0" shapeId="0">
      <text>
        <t>USDA FDC 170178: "Phosphorus 188 mg per 100g". 188 × 0.75 = 141 mg.</t>
      </text>
    </comment>
    <comment ref="AO16" authorId="0" shapeId="0">
      <text>
        <t>USDA FDC 170178: "Sodium 5 mg per 100g". 5 × 0.75 = 3.75 → 4 mg. TRACE.</t>
      </text>
    </comment>
    <comment ref="AP16" authorId="0" shapeId="0">
      <text>
        <t>NIH ODS: "Peanuts, dry roasted: 11 mcg per oz (28g)". Macadamia as tree nut near-equiv. 11 × (75/28) = 29 mcg for 75g. Math-heavy (peanut → macadamia extrapolation).</t>
      </text>
    </comment>
    <comment ref="AQ16" authorId="0" shapeId="0">
      <text>
        <t>USDA FDC 170178: "Iron 3.69 mg per 100g". 3.69 × 0.75 = 2.77 mg.</t>
      </text>
    </comment>
    <comment ref="AR16" authorId="0" shapeId="0">
      <text>
        <t>USDA FDC 170178: "Zinc 1.3 mg per 100g". 1.3 × 0.75 = 0.975 → 0.98 mg.</t>
      </text>
    </comment>
    <comment ref="AS16" authorId="0" shapeId="0">
      <text>
        <t>USDA FDC 170178: "Selenium 3.6 mcg per 100g". 3.6 × 0.75 = 2.7 µg.</t>
      </text>
    </comment>
    <comment ref="AT16" authorId="0" shapeId="0">
      <text>
        <t>USDA FDC 170178: "Copper 0.756 mg per 100g" = 756 µg. 756 × 0.75 = 567 µg for 75g.</t>
      </text>
    </comment>
    <comment ref="AU16" authorId="0" shapeId="0">
      <text>
        <t>USDA FDC 170178: "Manganese 4.131 mg per 100g". 4.131 × 0.75 = 3.10 mg. Macadamia is exceptionally high in Mn (&gt;100% DV per serving).</t>
      </text>
    </comment>
    <comment ref="AV16" authorId="0" shapeId="0">
      <text>
        <t>Chromium not in USDA FDC 170178. Unknown.</t>
      </text>
    </comment>
    <comment ref="AW16" authorId="0" shapeId="0">
      <text>
        <t>Iodine not in USDA FDC or Iodine DB for macadamia. Unknown.</t>
      </text>
    </comment>
    <comment ref="AX16" authorId="0" shapeId="0">
      <text>
        <t>Macadamia boron not in ATSDR Table 6-3. Unknown.</t>
      </text>
    </comment>
    <comment ref="AY16" authorId="0" shapeId="0">
      <text>
        <t>USDA FDC 170178: "Vitamin A (RAE) 0 µg per 100g". Macadamia has no Vit A.</t>
      </text>
    </comment>
    <comment ref="AZ16" authorId="0" shapeId="0">
      <text>
        <t>USDA FDC 170178: "Vitamin C 1.2 mg per 100g". 1.2 × 0.75 = 0.9 mg. TRACE.</t>
      </text>
    </comment>
    <comment ref="BA16" authorId="0" shapeId="0">
      <text>
        <t>Vit D not in plants.</t>
      </text>
    </comment>
    <comment ref="BB16" authorId="0" shapeId="0">
      <text>
        <t>USDA FDC 170178: "Vitamin E (α-tocopherol) 0.54 mg per 100g". 0.54 × 0.75 = 0.405 → 0.41 mg. Low for a nut (macadamia has minimal α-tocopherol; more γ-toc).</t>
      </text>
    </comment>
    <comment ref="BC16" authorId="0" shapeId="0">
      <text>
        <t>Vitamin K1 not in USDA FDC 170178 extraction. Unknown.</t>
      </text>
    </comment>
    <comment ref="BD16" authorId="0" shapeId="0">
      <text>
        <t>K2 MK-4 animal/bacterial.</t>
      </text>
    </comment>
    <comment ref="BE16" authorId="0" shapeId="0">
      <text>
        <t>K2 MK-7 fermentation-origin.</t>
      </text>
    </comment>
    <comment ref="BF16" authorId="0" shapeId="0">
      <text>
        <t>USDA FDC 170178: "Thiamin (B1) 1.195 mg per 100g". 1.195 × 0.75 = 0.896 mg. Macadamia is notably high in B1 (~75% DV per 75g serving).</t>
      </text>
    </comment>
    <comment ref="BG16" authorId="0" shapeId="0">
      <text>
        <t>USDA FDC 170178: "Riboflavin 0.162 mg per 100g". 0.162 × 0.75 = 0.122 mg.</t>
      </text>
    </comment>
    <comment ref="BH16" authorId="0" shapeId="0">
      <text>
        <t>USDA FDC 170178: "Niacin 2.473 mg per 100g". 2.473 × 0.75 = 1.85 mg.</t>
      </text>
    </comment>
    <comment ref="BI16" authorId="0" shapeId="0">
      <text>
        <t>USDA FDC 170178: "Vitamin B6 0.275 mg per 100g". 0.275 × 0.75 = 0.206 mg.</t>
      </text>
    </comment>
    <comment ref="BJ16" authorId="0" shapeId="0">
      <text>
        <t>USDA FDC 170178: "Folate (DFE) 11 µg per 100g". 11 × 0.75 = 8.25 → 8 µg. TRACE.</t>
      </text>
    </comment>
    <comment ref="BK16" authorId="0" shapeId="0">
      <text>
        <t>B12 not in plants.</t>
      </text>
    </comment>
    <comment ref="BL16" authorId="0" shapeId="0">
      <text>
        <t>Biotin not in USDA FDC 170178. Unknown.</t>
      </text>
    </comment>
    <comment ref="BM16" authorId="0" shapeId="0">
      <text>
        <t>USDA FDC 170178: "Pantothenic acid 0.758 mg per 100g". 0.758 × 0.75 = 0.569 mg.</t>
      </text>
    </comment>
    <comment ref="BN16" authorId="0" shapeId="0">
      <text>
        <t>EPA marine-only.</t>
      </text>
    </comment>
    <comment ref="BO16" authorId="0" shapeId="0">
      <text>
        <t>DHA marine-only.</t>
      </text>
    </comment>
    <comment ref="BP16" authorId="0" shapeId="0">
      <text>
        <t>USDA Flavonoid DB 3.3 NDB 12131 raw macadamia: all anthocyanidins = 0. Nuts are anthocyanin-free.</t>
      </text>
    </comment>
    <comment ref="BQ16" authorId="0" shapeId="0">
      <text>
        <t>USDA Flav3.3 NDB 12131: Flavan-3-ols (including EGCG) all 0 for macadamia raw.</t>
      </text>
    </comment>
    <comment ref="BR16" authorId="0" shapeId="0">
      <text>
        <t>Cocoa-specific.</t>
      </text>
    </comment>
    <comment ref="BS16" authorId="0" shapeId="0">
      <text>
        <t>Ellagic berry-specific.</t>
      </text>
    </comment>
    <comment ref="BT16" authorId="0" shapeId="0">
      <text>
        <t>USDA PA DB 2.1 NDB 12132 macadamia (dry roasted): Dimers = 0. Nuts other than peanuts/pistachios generally PA-free.</t>
      </text>
    </comment>
    <comment ref="BU16" authorId="0" shapeId="0">
      <text>
        <t>Hydroxytyrosol olive-specific.</t>
      </text>
    </comment>
    <comment ref="BV16" authorId="0" shapeId="0">
      <text>
        <t>Macadamia quercetin not separately measured in USDA Flav3.3 NDB 12131 (only anthocyanidins listed = 0). Unknown.</t>
      </text>
    </comment>
    <comment ref="BW16" authorId="0" shapeId="0">
      <text>
        <t>Macadamia lignans not in fetched sources. Unknown.</t>
      </text>
    </comment>
    <comment ref="BX16" authorId="0" shapeId="0">
      <text>
        <t>Lutein for raw macadamia not in USDA FDC 170178 extraction. Low in nuts generally. Unknown.</t>
      </text>
    </comment>
    <comment ref="BY16" authorId="0" shapeId="0">
      <text>
        <t>Zeaxanthin for raw macadamia not in USDA FDC 170178 extraction. Unknown.</t>
      </text>
    </comment>
    <comment ref="BZ16" authorId="0" shapeId="0">
      <text>
        <t>Lycopene tomato/watermelon-specific.</t>
      </text>
    </comment>
    <comment ref="CA16" authorId="0" shapeId="0">
      <text>
        <t>Astaxanthin algal/crustacean.</t>
      </text>
    </comment>
    <comment ref="CB16" authorId="0" shapeId="0">
      <text>
        <t>Sulforaphane cruciferous-specific.</t>
      </text>
    </comment>
    <comment ref="CC16" authorId="0" shapeId="0">
      <text>
        <t>USDA FDC 170178: "Phytosterols 116 mg per 100g" (β-sitosterol 108, campesterol 8). 116 × 0.75 = 87 mg for 75g. Macadamia is a notable phytosterol source.</t>
      </text>
    </comment>
    <comment ref="CD16" authorId="0" shapeId="0">
      <text>
        <t>Macadamia nitrate not in fetched sources. Nuts generally low-nitrate. Unknown.</t>
      </text>
    </comment>
    <comment ref="CE16" authorId="0" shapeId="0">
      <text>
        <t>Macadamia spermidine not in PMC3022763 polyamine DB. Unknown.</t>
      </text>
    </comment>
    <comment ref="CF16" authorId="0" shapeId="0">
      <text>
        <t>USDA FDC 170178: "Leucine 0.602 g per 100g". 0.602 × 0.75 = 0.452 g for 75g.</t>
      </text>
    </comment>
    <comment ref="CG16" authorId="0" shapeId="0">
      <text>
        <t>Collagen animal-only.</t>
      </text>
    </comment>
    <comment ref="CH16" authorId="0" shapeId="0">
      <text>
        <t>Macadamia fiber is ~30% soluble. Label fiber 6.45g × 0.3 = 1.94 → 1.9 g prebiotic. Math-heavy.</t>
      </text>
    </comment>
    <comment ref="CI16" authorId="0" shapeId="0">
      <text>
        <t>Taurine animal-only.</t>
      </text>
    </comment>
    <comment ref="CJ16" authorId="0" shapeId="0">
      <text>
        <t>Nuts contain 0.5-2 mg CoQ10/100g per published databases (pistachios 2.0, peanuts 2.67, walnuts 1.9 from Superfoodly table live-fetched). Macadamia not specifically listed; tree nuts avg ~1.0 mg/100g. For 75g: 1.0 × 0.75 = 0.75 → 0.8 mg. Math-heavy (nut category).</t>
      </text>
    </comment>
    <comment ref="CK16" authorId="0" shapeId="0">
      <text>
        <t>Creatine muscle-only.</t>
      </text>
    </comment>
    <comment ref="CL16" authorId="0" shapeId="0">
      <text>
        <t>Macadamia lithium not in fetched sources. Unknown.</t>
      </text>
    </comment>
    <comment ref="CM16" authorId="0" shapeId="0">
      <text>
        <t>Not a probiotic food.</t>
      </text>
    </comment>
    <comment ref="CN16" authorId="0" shapeId="0">
      <text>
        <t>No caffeine.</t>
      </text>
    </comment>
    <comment ref="CO16" authorId="0" shapeId="0">
      <text>
        <t>Curcumin turmeric-specific.</t>
      </text>
    </comment>
    <comment ref="CP16" authorId="0" shapeId="0">
      <text>
        <t>No green tea catechins.</t>
      </text>
    </comment>
    <comment ref="CQ16" authorId="0" shapeId="0">
      <text>
        <t>Literature search (PubMed 15223592, search-verified): "macadamia is not a good source of tocopherols, tocotrienols, and carotenoids." γ-tocopherol negligible. Writing 0.</t>
      </text>
    </comment>
    <comment ref="CR16" authorId="0" shapeId="0">
      <text>
        <t>Single-ingredient raw nuts.</t>
      </text>
    </comment>
    <comment ref="CS16" authorId="0" shapeId="0">
      <text>
        <t>FDA TDS 2018-2020: macadamia nuts (75g) — 68% of all food samples had no detectable HMs. Macadamia nuts is in the low-risk category for Lead. No brand-specific COA found after checking Lead Safe Mama + ConsumerLab. Writing 0 based on FDA TDS category-level data.</t>
      </text>
    </comment>
    <comment ref="CT16" authorId="0" shapeId="0">
      <text>
        <t>FDA TDS 2018-2020: macadamia nuts (75g) — 68% of all food samples had no detectable HMs. Macadamia nuts is in the low-risk category for Cadmium. No brand-specific COA found after checking Lead Safe Mama + ConsumerLab. Writing 0 based on FDA TDS category-level data.</t>
      </text>
    </comment>
    <comment ref="CU16" authorId="0" shapeId="0">
      <text>
        <t>FDA TDS 2018-2020: macadamia nuts (75g) — 68% of all food samples had no detectable HMs. Macadamia nuts is in the low-risk category for Arsenic. No brand-specific COA found after checking Lead Safe Mama + ConsumerLab. Writing 0 based on FDA TDS category-level data.</t>
      </text>
    </comment>
    <comment ref="CV16" authorId="0" shapeId="0">
      <text>
        <t>FDA TDS 2018-2020: macadamia nuts (75g) — 68% of all food samples had no detectable HMs. Macadamia nuts is in the low-risk category for Mercury. No brand-specific COA found after checking Lead Safe Mama + ConsumerLab. Writing 0 based on FDA TDS category-level data.</t>
      </text>
    </comment>
    <comment ref="C17" authorId="1" shapeId="0">
      <text>
        <t>HEAVY METALS: USDA Organic = hens fed certified organic non-GMO feed. No batch COA publicly posted. Verify.</t>
      </text>
    </comment>
    <comment ref="O17" authorId="0" shapeId="0">
      <text>
        <t>USDA FDC 173427 dried egg white powder (live-fetched): "Calories 376 kcal per 100g". 376 × 1.05 = 394.8 → 395 kcal for 105g.
Label cross-check (Judee's): 19 kcal per 1 tbsp (~4g). 19/4 × 105 = 499 kcal — label estimate rounds higher; USDA value (395) is more precise. Using USDA.</t>
      </text>
    </comment>
    <comment ref="P17" authorId="0" shapeId="0">
      <text>
        <t>USDA FDC 173427: "Protein 82.4 g per 100g". 82.4 × 1.05 = 86.5 g for 105g. Egg white powder is nearly pure protein (~82%).</t>
      </text>
    </comment>
    <comment ref="Q17" authorId="0" shapeId="0">
      <text>
        <t>Whey is a dairy protein, not egg.</t>
      </text>
    </comment>
    <comment ref="R17" authorId="0" shapeId="0">
      <text>
        <t>Casein is a dairy protein, not egg.</t>
      </text>
    </comment>
    <comment ref="S17" authorId="0" shapeId="0">
      <text>
        <t>All 86.5g protein is egg white protein (ovalbumin, conalbumin, ovomucoid, lysozyme).</t>
      </text>
    </comment>
    <comment ref="T17" authorId="0" shapeId="0">
      <text>
        <t>Collagen animal connective-tissue protein, not egg white.</t>
      </text>
    </comment>
    <comment ref="U17" authorId="0" shapeId="0">
      <text>
        <t>Plant protein not in egg whites.</t>
      </text>
    </comment>
    <comment ref="W17" authorId="0" shapeId="0">
      <text>
        <t>USDA FDC 173427: "Total Fat 0.04 g per 100g". 0.04 × 1.05 = 0.042 → 0.04 g. Egg whites are essentially fat-free (fat is in yolk). TRACE.</t>
      </text>
    </comment>
    <comment ref="X17" authorId="0" shapeId="0">
      <text>
        <t>Egg whites have no meaningful saturated fat (essentially zero fat total).</t>
      </text>
    </comment>
    <comment ref="Y17" authorId="0" shapeId="0">
      <text>
        <t>Egg whites have no meaningful MUFA (fat essentially zero).</t>
      </text>
    </comment>
    <comment ref="Z17" authorId="0" shapeId="0">
      <text>
        <t>Egg whites have no meaningful PUFA (fat essentially zero).</t>
      </text>
    </comment>
    <comment ref="AA17" authorId="0" shapeId="0">
      <text>
        <t>No ALA in egg whites (fat-free).</t>
      </text>
    </comment>
    <comment ref="AB17" authorId="0" shapeId="0">
      <text>
        <t>No linoleic in egg whites (fat-free).</t>
      </text>
    </comment>
    <comment ref="AC17" authorId="0" shapeId="0">
      <text>
        <t>No trans fat in egg whites.</t>
      </text>
    </comment>
    <comment ref="AD17" authorId="0" shapeId="0">
      <text>
        <t>USDA FDC 173427: "Carbohydrate 4.47 g per 100g". 4.47 × 1.05 = 4.69 g.</t>
      </text>
    </comment>
    <comment ref="AE17" authorId="0" shapeId="0">
      <text>
        <t>USDA FDC 173427: "Total Sugars 0 g per 100g" (glucose-reduced stabilized powder).</t>
      </text>
    </comment>
    <comment ref="AF17" authorId="0" shapeId="0">
      <text>
        <t>No sugar alcohols in single-ingredient egg white powder.</t>
      </text>
    </comment>
    <comment ref="AG17" authorId="0" shapeId="0">
      <text>
        <t>Formula: Total - Sugars - SugarAlc - Fiber.</t>
      </text>
    </comment>
    <comment ref="AH17" authorId="0" shapeId="0">
      <text>
        <t>USDA FDC 173427: "Dietary Fiber 0 g per 100g". Egg whites contain no fiber.</t>
      </text>
    </comment>
    <comment ref="AI17" authorId="0" shapeId="0">
      <text>
        <t>Formula: Total - Fiber - SugarAlc.</t>
      </text>
    </comment>
    <comment ref="AJ17" authorId="0" shapeId="0">
      <text>
        <t>USDA FDC 173427: "Choline 8.4 mg per 100g". 8.4 × 1.05 = 8.82 → 8.8 mg. Note: most egg choline is in the yolk; whites have ~5% of whole egg choline.</t>
      </text>
    </comment>
    <comment ref="AK17" authorId="0" shapeId="0">
      <text>
        <t>USDA FDC 173427: "Calcium 89 mg per 100g". 89 × 1.05 = 93 mg.</t>
      </text>
    </comment>
    <comment ref="AL17" authorId="0" shapeId="0">
      <text>
        <t>USDA FDC 173427: "Magnesium 72 mg per 100g". 72 × 1.05 = 75.6 → 76 mg.</t>
      </text>
    </comment>
    <comment ref="AM17" authorId="0" shapeId="0">
      <text>
        <t>USDA FDC 173427: "Potassium 1116 mg per 100g". 1116 × 1.05 = 1172 mg. Egg white powder is K-dense (&gt;33% DV per 105g).</t>
      </text>
    </comment>
    <comment ref="AN17" authorId="0" shapeId="0">
      <text>
        <t>USDA FDC 173427: "Phosphorus 89 mg per 100g". 89 × 1.05 = 93 mg.</t>
      </text>
    </comment>
    <comment ref="AO17" authorId="0" shapeId="0">
      <text>
        <t>USDA FDC 173427: "Sodium 1238 mg per 100g". 1238 × 1.05 = 1300 mg for 105g. Very high Na — egg whites are naturally sodium-rich; 105g supplies ~57% DV.</t>
      </text>
    </comment>
    <comment ref="AP17" authorId="0" shapeId="0">
      <text>
        <t>NIH ODS: "Egg: 9 mcg per large egg". Dried egg whites 105g ≈ ~3.2 large eggs equivalent. 9 × 3.2 = 28.6 → 29 mcg. Math-heavy estimate (Mo partition to white uncertain).</t>
      </text>
    </comment>
    <comment ref="AQ17" authorId="0" shapeId="0">
      <text>
        <t>USDA FDC 173427: "Iron 0.24 mg per 100g". 0.24 × 1.05 = 0.25 mg. TRACE (iron is in yolk).</t>
      </text>
    </comment>
    <comment ref="AR17" authorId="0" shapeId="0">
      <text>
        <t>USDA FDC 173427: "Zinc 0.16 mg per 100g". 0.16 × 1.05 = 0.17 mg. TRACE.</t>
      </text>
    </comment>
    <comment ref="AS17" authorId="0" shapeId="0">
      <text>
        <t>USDA FDC 173427: "Selenium 125.1 mcg per 100g". 125.1 × 1.05 = 131 µg. Egg whites are an excellent selenium source (&gt;200% DV per 105g).</t>
      </text>
    </comment>
    <comment ref="AT17" authorId="0" shapeId="0">
      <text>
        <t>USDA FDC 173427: "Copper 0.17 mg per 100g" = 170 µg. 170 × 1.05 = 179 µg.</t>
      </text>
    </comment>
    <comment ref="AU17" authorId="0" shapeId="0">
      <text>
        <t>USDA FDC 173427: "Manganese 0.05 mg per 100g". 0.05 × 1.05 = 0.053 mg. TRACE.</t>
      </text>
    </comment>
    <comment ref="AV17" authorId="0" shapeId="0">
      <text>
        <t>Chromium not in USDA FDC 173427. Unknown.</t>
      </text>
    </comment>
    <comment ref="AW17" authorId="0" shapeId="0">
      <text>
        <t>USDA Iodine DB (live-parsed): NDB 01258 "Egg, white, dried, stabilized, glucose reduced: 34 µg/100g" (n=15, range 22.1-59). 34 × 1.05 = 35.7 → 36 µg for 105g.
Direct match for dried egg white powder.</t>
      </text>
    </comment>
    <comment ref="AX17" authorId="0" shapeId="0">
      <text>
        <t>Boron not in ATSDR Table 6-3 for egg whites. Unknown.</t>
      </text>
    </comment>
    <comment ref="AY17" authorId="0" shapeId="0">
      <text>
        <t>USDA FDC 173427: "Vitamin A 0 µg per 100g". Vit A is in egg yolk not white.</t>
      </text>
    </comment>
    <comment ref="AZ17" authorId="0" shapeId="0">
      <text>
        <t>USDA FDC 173427: "Vitamin C 0 mg per 100g". Egg whites have no Vit C.</t>
      </text>
    </comment>
    <comment ref="BA17" authorId="0" shapeId="0">
      <text>
        <t>USDA FDC 173427: "Vitamin D 0 µg per 100g". Vit D is in egg yolk not white.</t>
      </text>
    </comment>
    <comment ref="BB17" authorId="0" shapeId="0">
      <text>
        <t>USDA FDC 173427: "Vitamin E 0 mg per 100g". No Vit E in egg whites.</t>
      </text>
    </comment>
    <comment ref="BC17" authorId="0" shapeId="0">
      <text>
        <t>USDA FDC 173427: "Vitamin K 0 µg per 100g". No K1 in egg whites.</t>
      </text>
    </comment>
    <comment ref="BD17" authorId="0" shapeId="0">
      <text>
        <t>K2 MK-4 is mostly in egg yolk (if any), not whites. USDA FDC 173427 shows K total = 0 for whites.</t>
      </text>
    </comment>
    <comment ref="BE17" authorId="0" shapeId="0">
      <text>
        <t>K2 MK-7 from fermentation, not in egg whites.</t>
      </text>
    </comment>
    <comment ref="BF17" authorId="0" shapeId="0">
      <text>
        <t>USDA FDC 173427: "Thiamin 0.037 mg per 100g". 0.037 × 1.05 = 0.039 mg. TRACE.</t>
      </text>
    </comment>
    <comment ref="BG17" authorId="0" shapeId="0">
      <text>
        <t>USDA FDC 173427: "Riboflavin 2.316 mg per 100g". 2.316 × 1.05 = 2.43 mg. Egg whites are one of the best dietary B2 sources (&gt;180% DV per 105g).</t>
      </text>
    </comment>
    <comment ref="BH17" authorId="0" shapeId="0">
      <text>
        <t>USDA FDC 173427: "Niacin 0.723 mg per 100g". 0.723 × 1.05 = 0.76 mg.</t>
      </text>
    </comment>
    <comment ref="BI17" authorId="0" shapeId="0">
      <text>
        <t>USDA FDC 173427: "B6 0.024 mg per 100g". 0.024 × 1.05 = 0.025 mg. TRACE.</t>
      </text>
    </comment>
    <comment ref="BJ17" authorId="0" shapeId="0">
      <text>
        <t>USDA FDC 173427: "Folate (DFE) 96 µg per 100g". 96 × 1.05 = 101 µg.</t>
      </text>
    </comment>
    <comment ref="BK17" authorId="0" shapeId="0">
      <text>
        <t>USDA FDC 173427: "Vitamin B12 0.53 µg per 100g". 0.53 × 1.05 = 0.56 µg.</t>
      </text>
    </comment>
    <comment ref="BL17" authorId="0" shapeId="0">
      <text>
        <t>Biotin not in USDA FDC 173427 for dried egg white powder. NOTE: raw egg whites contain avidin which binds biotin, but pasteurization (as Judee's product is) denatures avidin, freeing biotin. Exact value for pasteurized dried egg white not fetched. Unknown.</t>
      </text>
    </comment>
    <comment ref="BM17" authorId="0" shapeId="0">
      <text>
        <t>USDA FDC 173427: "Pantothenic acid 1.958 mg per 100g". 1.958 × 1.05 = 2.06 mg.</t>
      </text>
    </comment>
    <comment ref="BN17" authorId="0" shapeId="0">
      <text>
        <t>EPA is in fish/marine. Trace amounts in whole egg yolk (not whites). Egg whites have 0.</t>
      </text>
    </comment>
    <comment ref="BO17" authorId="0" shapeId="0">
      <text>
        <t>DHA is in fish/marine. Trace in yolk, 0 in egg whites.</t>
      </text>
    </comment>
    <comment ref="BP17" authorId="0" shapeId="0">
      <text>
        <t>Anthocyanidins is a plant-source compound. Not present in egg whites (animal food). Categorical.</t>
      </text>
    </comment>
    <comment ref="BQ17" authorId="0" shapeId="0">
      <text>
        <t>EGCG is a plant-source compound. Not present in egg whites (animal food). Categorical.</t>
      </text>
    </comment>
    <comment ref="BR17" authorId="0" shapeId="0">
      <text>
        <t>Cocoa flavanols is a plant-source compound. Not present in egg whites (animal food). Categorical.</t>
      </text>
    </comment>
    <comment ref="BS17" authorId="0" shapeId="0">
      <text>
        <t>Ellagic acid is a plant-source compound. Not present in egg whites (animal food). Categorical.</t>
      </text>
    </comment>
    <comment ref="BT17" authorId="0" shapeId="0">
      <text>
        <t>Proanthocyanidins is a plant-source compound. Not present in egg whites (animal food). Categorical.</t>
      </text>
    </comment>
    <comment ref="BU17" authorId="0" shapeId="0">
      <text>
        <t>Hydroxytyrosol is a plant-source compound. Not present in egg whites (animal food). Categorical.</t>
      </text>
    </comment>
    <comment ref="BV17" authorId="0" shapeId="0">
      <text>
        <t>Quercetin is a plant-source compound. Not present in egg whites (animal food). Categorical.</t>
      </text>
    </comment>
    <comment ref="BW17" authorId="0" shapeId="0">
      <text>
        <t>Lignans is a plant-source compound. Not present in egg whites (animal food). Categorical.</t>
      </text>
    </comment>
    <comment ref="BX17" authorId="0" shapeId="0">
      <text>
        <t>Lutein is a plant-source compound. Not present in egg whites (animal food). Categorical.</t>
      </text>
    </comment>
    <comment ref="BY17" authorId="0" shapeId="0">
      <text>
        <t>Zeaxanthin is a plant-source compound. Not present in egg whites (animal food). Categorical.</t>
      </text>
    </comment>
    <comment ref="BZ17" authorId="0" shapeId="0">
      <text>
        <t>Lycopene is a plant-source compound. Not present in egg whites (animal food). Categorical.</t>
      </text>
    </comment>
    <comment ref="CA17" authorId="0" shapeId="0">
      <text>
        <t>Astaxanthin is a plant-source compound. Not present in egg whites (animal food). Categorical.</t>
      </text>
    </comment>
    <comment ref="CB17" authorId="0" shapeId="0">
      <text>
        <t>Sulforaphane is a plant-source compound. Not present in egg whites (animal food). Categorical.</t>
      </text>
    </comment>
    <comment ref="CC17" authorId="0" shapeId="0">
      <text>
        <t>Phytosterols is a plant-source compound. Not present in egg whites (animal food). Categorical.</t>
      </text>
    </comment>
    <comment ref="CD17" authorId="0" shapeId="0">
      <text>
        <t>Nitrate is a plant-source compound. Not present in egg whites (animal food). Categorical.</t>
      </text>
    </comment>
    <comment ref="CE17" authorId="0" shapeId="0">
      <text>
        <t>PMC6637774: "Egg spermidine 1-4 nmol/g". Midpoint 2.5 nmol/g = 0.36 mg/kg = 0.036 mg/100g. For 105g egg white powder: 0.036 × 1.05 = 0.038 → 0.03 mg. TRACE (very low in egg whites).</t>
      </text>
    </comment>
    <comment ref="CF17" authorId="0" shapeId="0">
      <text>
        <t>USDA FDC 173427 (live-fetched): "Leucine 7.172 g per 100g" dried egg white powder. 7.172 × 1.05 = 7.53 g for 105g. Egg white is one of the highest dietary leucine sources (~8.7% of protein is leucine) — key for MPS/muscle protein synthesis.</t>
      </text>
    </comment>
    <comment ref="CG17" authorId="0" shapeId="0">
      <text>
        <t>Collagen is connective-tissue protein (bone/skin/tendon), not egg white.</t>
      </text>
    </comment>
    <comment ref="CH17" authorId="0" shapeId="0">
      <text>
        <t>No fiber in egg whites (animal food, fiber-free).</t>
      </text>
    </comment>
    <comment ref="CI17" authorId="0" shapeId="0">
      <text>
        <t>Egg white taurine: whole eggs contain 5-10 mg/100g taurine; egg whites are ~10% of this (~1 mg/100g). For 105g: ~0.3-0.5 mg. TRACE. Math-heavy estimate.</t>
      </text>
    </comment>
    <comment ref="CJ17" authorId="0" shapeId="0">
      <text>
        <t>Egg white CoQ10: CoQ10 in eggs is concentrated in yolk. Egg whites have minimal CoQ10 not in USDA FDC 173427. Unknown.</t>
      </text>
    </comment>
    <comment ref="CK17" authorId="0" shapeId="0">
      <text>
        <t>Creatine is stored in muscle tissue. Not in eggs.</t>
      </text>
    </comment>
    <comment ref="CL17" authorId="0" shapeId="0">
      <text>
        <t>Lithium in egg whites not in fetched sources. Unknown.</t>
      </text>
    </comment>
    <comment ref="CM17" authorId="0" shapeId="0">
      <text>
        <t>Not a probiotic; spray-dried pasteurized powder has no live cultures.</t>
      </text>
    </comment>
    <comment ref="CN17" authorId="0" shapeId="0">
      <text>
        <t>No caffeine in eggs.</t>
      </text>
    </comment>
    <comment ref="CO17" authorId="0" shapeId="0">
      <text>
        <t>Curcumin turmeric-specific.</t>
      </text>
    </comment>
    <comment ref="CP17" authorId="0" shapeId="0">
      <text>
        <t>No green tea catechins.</t>
      </text>
    </comment>
    <comment ref="CQ17" authorId="0" shapeId="0">
      <text>
        <t>USDA FDC 173427: Vitamin E (α-tocopherol) = 0. γ-tocopherol also = 0 (egg whites have no meaningful tocopherols; they're in yolk fat).</t>
      </text>
    </comment>
    <comment ref="CR17" authorId="0" shapeId="0">
      <text>
        <t>Single-ingredient product (pasteurized spray-dried egg whites). Not a proprietary blend.</t>
      </text>
    </comment>
    <comment ref="CS17" authorId="0" shapeId="0">
      <text>
        <t>FDA TDS 2018-2020: eggs/egg products have very low HM contamination rates. 68% of all foods had no detectable HMs; eggs fall in low-risk category. USDA egg inspection + pasteurization further ensures safety for 105g. Writing 0 (category-level FDA data, not brand-specific).</t>
      </text>
    </comment>
    <comment ref="CT17" authorId="0" shapeId="0">
      <text>
        <t>FDA TDS 2018-2020: eggs/egg products have very low HM contamination rates. 68% of all foods had no detectable HMs; eggs fall in low-risk category. USDA egg inspection + pasteurization further ensures safety for 105g. Writing 0 (category-level FDA data, not brand-specific).</t>
      </text>
    </comment>
    <comment ref="CU17" authorId="0" shapeId="0">
      <text>
        <t>FDA TDS 2018-2020: eggs/egg products have very low HM contamination rates. 68% of all foods had no detectable HMs; eggs fall in low-risk category. USDA egg inspection + pasteurization further ensures safety for 105g. Writing 0 (category-level FDA data, not brand-specific).</t>
      </text>
    </comment>
    <comment ref="CV17" authorId="0" shapeId="0">
      <text>
        <t>FDA TDS 2018-2020: eggs/egg products have very low HM contamination rates. 68% of all foods had no detectable HMs; eggs fall in low-risk category. USDA egg inspection + pasteurization further ensures safety for 105g. Writing 0 (category-level FDA data, not brand-specific).</t>
      </text>
    </comment>
    <comment ref="O18" authorId="0" shapeId="0">
      <text>
        <t>Love Beets label (search-verified): "Calories 30 per serving (1 beet ~100g)".</t>
      </text>
    </comment>
    <comment ref="P18" authorId="0" shapeId="0">
      <text>
        <t>Love Beets label: "Protein 1 g per serving".</t>
      </text>
    </comment>
    <comment ref="Q18" authorId="0" shapeId="0">
      <text>
        <t>Whey not in plant foods.</t>
      </text>
    </comment>
    <comment ref="R18" authorId="0" shapeId="0">
      <text>
        <t>Casein not in plant foods.</t>
      </text>
    </comment>
    <comment ref="S18" authorId="0" shapeId="0">
      <text>
        <t>Egg not in plant foods.</t>
      </text>
    </comment>
    <comment ref="T18" authorId="0" shapeId="0">
      <text>
        <t>Collagen not in plant foods.</t>
      </text>
    </comment>
    <comment ref="U18" authorId="0" shapeId="0">
      <text>
        <t>All 1g plant protein.</t>
      </text>
    </comment>
    <comment ref="W18" authorId="0" shapeId="0">
      <text>
        <t>Love Beets label: "Total Fat 0g".</t>
      </text>
    </comment>
    <comment ref="X18" authorId="0" shapeId="0">
      <text>
        <t>Sat Fat 0g (label).</t>
      </text>
    </comment>
    <comment ref="Y18" authorId="0" shapeId="0">
      <text>
        <t>Beet total fat is 0.17g per 100g — MUFA component is negligible (&lt;0.05g). Writing 0 rather than Unknown per trace/negligible convention.</t>
      </text>
    </comment>
    <comment ref="Z18" authorId="0" shapeId="0">
      <text>
        <t>Beet total fat is 0.17g per 100g — PUFA component is negligible (&lt;0.05g). Writing 0 rather than Unknown per trace/negligible convention.</t>
      </text>
    </comment>
    <comment ref="AA18" authorId="0" shapeId="0">
      <text>
        <t>Beet total fat is 0.17g per 100g — ALA component is negligible (&lt;0.05g). Writing 0 rather than Unknown per trace/negligible convention.</t>
      </text>
    </comment>
    <comment ref="AB18" authorId="0" shapeId="0">
      <text>
        <t>Beet total fat is 0.17g per 100g — Omega-6 component is negligible (&lt;0.05g). Writing 0 rather than Unknown per trace/negligible convention.</t>
      </text>
    </comment>
    <comment ref="AC18" authorId="0" shapeId="0">
      <text>
        <t>Trans fats not in beets.</t>
      </text>
    </comment>
    <comment ref="AD18" authorId="0" shapeId="0">
      <text>
        <t>Love Beets label: "Total Carbohydrate 10g".</t>
      </text>
    </comment>
    <comment ref="AE18" authorId="0" shapeId="0">
      <text>
        <t>Love Beets label: "Sugars 6g". Natural beet sugars (sucrose dominant).</t>
      </text>
    </comment>
    <comment ref="AF18" authorId="0" shapeId="0">
      <text>
        <t>No sugar alcohols.</t>
      </text>
    </comment>
    <comment ref="AG18" authorId="0" shapeId="0">
      <text>
        <t>Formula: Total - Sugars - SugarAlc - Fiber.</t>
      </text>
    </comment>
    <comment ref="AH18" authorId="0" shapeId="0">
      <text>
        <t>Love Beets label: "Dietary Fiber 2g".</t>
      </text>
    </comment>
    <comment ref="AI18" authorId="0" shapeId="0">
      <text>
        <t>Formula: Total - Fiber - SugarAlc.</t>
      </text>
    </comment>
    <comment ref="AJ18" authorId="0" shapeId="0">
      <text>
        <t>USDA FDC 169145 raw beets (near-equiv): "Choline 6 mg per 100g". Scaling 1:1 for 100g serving.</t>
      </text>
    </comment>
    <comment ref="AK18" authorId="0" shapeId="0">
      <text>
        <t>USDA FDC 169145: "Calcium 16 mg per 100g".</t>
      </text>
    </comment>
    <comment ref="AL18" authorId="0" shapeId="0">
      <text>
        <t>USDA FDC 169145: "Magnesium 23 mg per 100g".</t>
      </text>
    </comment>
    <comment ref="AM18" authorId="0" shapeId="0">
      <text>
        <t>USDA FDC 169145: "Potassium 325 mg per 100g". Beets are K-rich.</t>
      </text>
    </comment>
    <comment ref="AN18" authorId="0" shapeId="0">
      <text>
        <t>USDA FDC 169145: "Phosphorus 40 mg per 100g".</t>
      </text>
    </comment>
    <comment ref="AO18" authorId="0" shapeId="0">
      <text>
        <t>Love Beets label: "Sodium 85 mg per serving". Natural beet sodium (no added salt per ingredient).</t>
      </text>
    </comment>
    <comment ref="AP18" authorId="0" shapeId="0">
      <text>
        <t>Mo not in USDA FDC 169145. Unknown.</t>
      </text>
    </comment>
    <comment ref="AQ18" authorId="0" shapeId="0">
      <text>
        <t>USDA FDC 169145: "Iron 0.8 mg per 100g".</t>
      </text>
    </comment>
    <comment ref="AR18" authorId="0" shapeId="0">
      <text>
        <t>USDA FDC 169145: "Zinc 0.35 mg per 100g".</t>
      </text>
    </comment>
    <comment ref="AS18" authorId="0" shapeId="0">
      <text>
        <t>USDA FDC 169145: "Selenium 0.7 mcg per 100g". TRACE.</t>
      </text>
    </comment>
    <comment ref="AT18" authorId="0" shapeId="0">
      <text>
        <t>USDA FDC 169145: "Copper 0.075 mg per 100g" = 75 µg.</t>
      </text>
    </comment>
    <comment ref="AU18" authorId="0" shapeId="0">
      <text>
        <t>USDA FDC 169145: "Manganese 0.329 mg per 100g".</t>
      </text>
    </comment>
    <comment ref="AV18" authorId="0" shapeId="0">
      <text>
        <t>Cr not in USDA FDC. Unknown.</t>
      </text>
    </comment>
    <comment ref="AW18" authorId="0" shapeId="0">
      <text>
        <t>USDA Iodine DB: "Beets, canned 0.4 mcg/100g" (n=7). Near-equiv for cooked beet. TRACE. Iodine DB live-parsed this session from sources/iodine_db.pdf.</t>
      </text>
    </comment>
    <comment ref="AX18" authorId="0" shapeId="0">
      <text>
        <t>Beet boron not in ATSDR Table 6-3 specifically. Unknown.</t>
      </text>
    </comment>
    <comment ref="AY18" authorId="0" shapeId="0">
      <text>
        <t>USDA FDC 169145: "Vitamin A (RAE) 2 µg per 100g". TRACE.</t>
      </text>
    </comment>
    <comment ref="AZ18" authorId="0" shapeId="0">
      <text>
        <t>USDA FDC 169145: "Vitamin C 4.9 mg per 100g". Note: cooking reduces Vit C; pre-cooked beets may be slightly lower.</t>
      </text>
    </comment>
    <comment ref="BA18" authorId="0" shapeId="0">
      <text>
        <t>Vit D not in plants.</t>
      </text>
    </comment>
    <comment ref="BB18" authorId="0" shapeId="0">
      <text>
        <t>USDA FDC 169145: "Vitamin E 0.04 mg per 100g". TRACE.</t>
      </text>
    </comment>
    <comment ref="BC18" authorId="0" shapeId="0">
      <text>
        <t>USDA FDC 169145: "Vitamin K 0.2 µg per 100g". TRACE.</t>
      </text>
    </comment>
    <comment ref="BD18" authorId="0" shapeId="0">
      <text>
        <t>K2 MK-4 animal/bacterial.</t>
      </text>
    </comment>
    <comment ref="BE18" authorId="0" shapeId="0">
      <text>
        <t>K2 MK-7 fermentation-origin.</t>
      </text>
    </comment>
    <comment ref="BF18" authorId="0" shapeId="0">
      <text>
        <t>USDA FDC 169145: "Thiamin 0.031 mg per 100g". TRACE.</t>
      </text>
    </comment>
    <comment ref="BG18" authorId="0" shapeId="0">
      <text>
        <t>USDA FDC 169145: "Riboflavin 0.04 mg per 100g". TRACE.</t>
      </text>
    </comment>
    <comment ref="BH18" authorId="0" shapeId="0">
      <text>
        <t>USDA FDC 169145: "Niacin 0.334 mg per 100g".</t>
      </text>
    </comment>
    <comment ref="BI18" authorId="0" shapeId="0">
      <text>
        <t>USDA FDC 169145: "Vitamin B6 0.067 mg per 100g". TRACE.</t>
      </text>
    </comment>
    <comment ref="BJ18" authorId="0" shapeId="0">
      <text>
        <t>USDA FDC 169145: "Folate (DFE) 109 µg per 100g". Beets are an excellent folate source (~27% DV per 100g). NOTE: cooking may reduce folate ~20-40%.</t>
      </text>
    </comment>
    <comment ref="BK18" authorId="0" shapeId="0">
      <text>
        <t>B12 not in plants.</t>
      </text>
    </comment>
    <comment ref="BL18" authorId="0" shapeId="0">
      <text>
        <t>Biotin not in USDA FDC 169145. Unknown.</t>
      </text>
    </comment>
    <comment ref="BM18" authorId="0" shapeId="0">
      <text>
        <t>USDA FDC 169145: "Pantothenic acid 0.155 mg per 100g".</t>
      </text>
    </comment>
    <comment ref="BN18" authorId="0" shapeId="0">
      <text>
        <t>EPA marine-only.</t>
      </text>
    </comment>
    <comment ref="BO18" authorId="0" shapeId="0">
      <text>
        <t>DHA marine-only.</t>
      </text>
    </comment>
    <comment ref="BP18" authorId="0" shapeId="0">
      <text>
        <t>Beet red color is from BETALAINS (betanin, betacyanin, betaxanthin) — a separate pigment class from anthocyanins. USDA FDC 169145 lists Lutein+Zeax = 0 µg confirming beets have no anthocyanins or carotenoid pigments. Betalains are not tracked in USDA Flavonoid DB. Anthocyanins = 0.</t>
      </text>
    </comment>
    <comment ref="BQ18" authorId="0" shapeId="0">
      <text>
        <t>EGCG not significant in beets (root vegetable).</t>
      </text>
    </comment>
    <comment ref="BR18" authorId="0" shapeId="0">
      <text>
        <t>Cocoa flav not significant in beets (root vegetable).</t>
      </text>
    </comment>
    <comment ref="BS18" authorId="0" shapeId="0">
      <text>
        <t>Ellagic not significant in beets (root vegetable).</t>
      </text>
    </comment>
    <comment ref="BT18" authorId="0" shapeId="0">
      <text>
        <t>Proanthocyanidins not significant in beets (root vegetable).</t>
      </text>
    </comment>
    <comment ref="BU18" authorId="0" shapeId="0">
      <text>
        <t>Hydroxytyrosol not significant in beets (root vegetable).</t>
      </text>
    </comment>
    <comment ref="BV18" authorId="0" shapeId="0">
      <text>
        <t>Quercetin not significant in beets (root vegetable).</t>
      </text>
    </comment>
    <comment ref="BW18" authorId="0" shapeId="0">
      <text>
        <t>Dutch Lignan DB: "Beetroot (Beta vulgaris, boiled): 3 + 0 + 1 + 0 = 3 µg/100g". Negligible — effectively 0.</t>
      </text>
    </comment>
    <comment ref="BX18" authorId="0" shapeId="0">
      <text>
        <t>USDA FDC 169145: "Lutein + zeaxanthin 0 µg per 100g". Beets have no carotenoid pigments.</t>
      </text>
    </comment>
    <comment ref="BY18" authorId="0" shapeId="0">
      <text>
        <t>Zeaxanthin 0 per FDC (beet color = betalains, not carotenoids).</t>
      </text>
    </comment>
    <comment ref="BZ18" authorId="0" shapeId="0">
      <text>
        <t>No lycopene in beets.</t>
      </text>
    </comment>
    <comment ref="CA18" authorId="0" shapeId="0">
      <text>
        <t>No astaxanthin.</t>
      </text>
    </comment>
    <comment ref="CB18" authorId="0" shapeId="0">
      <text>
        <t>Sulforaphane cruciferous-specific.</t>
      </text>
    </comment>
    <comment ref="CC18" authorId="0" shapeId="0">
      <text>
        <t>USDA SR Legacy CSV: FDC 169145 Beets raw: "Phytosterols: 25 mg per 100g". For 100g serving: 25 mg.</t>
      </text>
    </comment>
    <comment ref="CD18" authorId="0" shapeId="0">
      <text>
        <t>VALUE IS MIDPOINT OF RANGE 200-400. Original range preserved for reference.
Beet nitrate (KEY performance compound): literature reports raw beets ~1500-2500 mg/kg (150-250 mg/100g raw). PMC10000616 (antioxidant/nitrate in beetroot) confirms beets are among highest dietary nitrate foods. Pre-cooked vacuum-packed beets (Love Beets style) retain 80-95% of raw nitrate (no boiling water leaching). Estimated 200-400 mg per 100g serving. Written as range text.
This nitrate is the ergogenic basis for beet supplementation in endurance sports (NO → vasodilation → O₂ efficiency).</t>
      </text>
    </comment>
    <comment ref="CE18" authorId="0" shapeId="0">
      <text>
        <t>PMC6637774: vegetables category 6.9-398 nmol/g. Root vegetables (beet) typically lower end. Est ~20 nmol/g = 0.29 mg/100g. For 100g: 0.29 × 1.0 = 0.29 → 0.2 mg. TRACE. Math-heavy.</t>
      </text>
    </comment>
    <comment ref="CF18" authorId="0" shapeId="0">
      <text>
        <t>USDA FDC 169145: "Leucine 0.068 g per 100g". TRACE (beets are low protein).</t>
      </text>
    </comment>
    <comment ref="CG18" authorId="0" shapeId="0">
      <text>
        <t>Collagen animal-only.</t>
      </text>
    </comment>
    <comment ref="CH18" authorId="0" shapeId="0">
      <text>
        <t>Beet fiber ~35% soluble (pectin). 2g × 0.35 = 0.7 g prebiotic fiber. Math-heavy estimate.</t>
      </text>
    </comment>
    <comment ref="CI18" authorId="0" shapeId="0">
      <text>
        <t>Taurine animal-only.</t>
      </text>
    </comment>
    <comment ref="CJ18" authorId="0" shapeId="0">
      <text>
        <t>Beet CoQ10 not in fetched sources. Unknown.</t>
      </text>
    </comment>
    <comment ref="CK18" authorId="0" shapeId="0">
      <text>
        <t>Creatine muscle-only.</t>
      </text>
    </comment>
    <comment ref="CL18" authorId="0" shapeId="0">
      <text>
        <t>Lithium in beets not in fetched sources. Unknown.</t>
      </text>
    </comment>
    <comment ref="CM18" authorId="0" shapeId="0">
      <text>
        <t>Not a probiotic food.</t>
      </text>
    </comment>
    <comment ref="CN18" authorId="0" shapeId="0">
      <text>
        <t>No caffeine.</t>
      </text>
    </comment>
    <comment ref="CO18" authorId="0" shapeId="0">
      <text>
        <t>Curcumin turmeric-specific.</t>
      </text>
    </comment>
    <comment ref="CP18" authorId="0" shapeId="0">
      <text>
        <t>No green tea catechins.</t>
      </text>
    </comment>
    <comment ref="CQ18" authorId="0" shapeId="0">
      <text>
        <t>Beet γ-tocopherol not in USDA FDC 169145. Unknown.</t>
      </text>
    </comment>
    <comment ref="CR18" authorId="0" shapeId="0">
      <text>
        <t>Single-ingredient (organic cooked beets, no additives).</t>
      </text>
    </comment>
    <comment ref="CS18" authorId="0" shapeId="0">
      <text>
        <t>FDA TDS 2018-2020: cooked beet (100g) — 68% of all food samples had no detectable HMs. No brand-specific COA found. Writing 0 based on category-level FDA data.</t>
      </text>
    </comment>
    <comment ref="CT18" authorId="0" shapeId="0">
      <text>
        <t>FDA TDS 2018-2020: cooked beet (100g) — 68% of all food samples had no detectable HMs. No brand-specific COA found. Writing 0 based on category-level FDA data.</t>
      </text>
    </comment>
    <comment ref="CU18" authorId="0" shapeId="0">
      <text>
        <t>FDA TDS 2018-2020: cooked beet (100g) — 68% of all food samples had no detectable HMs. No brand-specific COA found. Writing 0 based on category-level FDA data.</t>
      </text>
    </comment>
    <comment ref="CV18" authorId="0" shapeId="0">
      <text>
        <t>FDA TDS 2018-2020: cooked beet (100g) — 68% of all food samples had no detectable HMs. No brand-specific COA found. Writing 0 based on category-level FDA data.</t>
      </text>
    </comment>
    <comment ref="C19" authorId="1" shapeId="0">
      <text>
        <t>HEAVY METALS CRITICAL: ALL cacao contains lead+cadmium. Pacha Mana publishes lowest-in-industry COA. Verify each purchase.</t>
      </text>
    </comment>
    <comment ref="O19" authorId="0" shapeId="0">
      <text>
        <t>USDA FDC 169593 cocoa powder unsweetened (live-fetched, near-equiv for raw cacao): "Energy 228 kcal per 100g". 228 × 0.25 = 57 kcal for 25g.</t>
      </text>
    </comment>
    <comment ref="P19" authorId="0" shapeId="0">
      <text>
        <t>USDA FDC 169593: "Protein 19.6 g per 100g". 19.6 × 0.25 = 4.9 g.</t>
      </text>
    </comment>
    <comment ref="Q19" authorId="0" shapeId="0">
      <text>
        <t>Whey not in plant foods.</t>
      </text>
    </comment>
    <comment ref="R19" authorId="0" shapeId="0">
      <text>
        <t>Casein not in plant foods.</t>
      </text>
    </comment>
    <comment ref="S19" authorId="0" shapeId="0">
      <text>
        <t>Egg not in plant foods.</t>
      </text>
    </comment>
    <comment ref="T19" authorId="0" shapeId="0">
      <text>
        <t>Collagen not in plant foods.</t>
      </text>
    </comment>
    <comment ref="U19" authorId="0" shapeId="0">
      <text>
        <t>All 4.9g plant protein.</t>
      </text>
    </comment>
    <comment ref="W19" authorId="0" shapeId="0">
      <text>
        <t>USDA FDC 169593: "Total Fat 13.7 g per 100g". 13.7 × 0.25 = 3.43 g.</t>
      </text>
    </comment>
    <comment ref="X19" authorId="0" shapeId="0">
      <text>
        <t>USDA FDC 169593: "Sat Fat 8.07 g per 100g". 8.07 × 0.25 = 2.02 g. Mostly stearic acid.</t>
      </text>
    </comment>
    <comment ref="Y19" authorId="0" shapeId="0">
      <text>
        <t>USDA FDC 169593: "MUFA 4.57 g per 100g" (oleic). 4.57 × 0.25 = 1.14 g.</t>
      </text>
    </comment>
    <comment ref="Z19" authorId="0" shapeId="0">
      <text>
        <t>USDA FDC 169593: "PUFA 0.44 g per 100g". 0.44 × 0.25 = 0.11 g. TRACE.</t>
      </text>
    </comment>
    <comment ref="AA19" authorId="0" shapeId="0">
      <text>
        <t>ALA not separately listed in USDA FDC 169593 for cocoa. Cacao has minimal ALA. Unknown.</t>
      </text>
    </comment>
    <comment ref="AB19" authorId="0" shapeId="0">
      <text>
        <t>Linoleic not separately listed for cocoa. Unknown.</t>
      </text>
    </comment>
    <comment ref="AC19" authorId="0" shapeId="0">
      <text>
        <t>Trans fat not in cacao.</t>
      </text>
    </comment>
    <comment ref="AD19" authorId="0" shapeId="0">
      <text>
        <t>USDA FDC 169593: "Carbohydrate 57.9 g per 100g". 57.9 × 0.25 = 14.48 → 14.5 g.</t>
      </text>
    </comment>
    <comment ref="AE19" authorId="0" shapeId="0">
      <text>
        <t>USDA FDC 169593: "Sugars 1.75 g per 100g". 1.75 × 0.25 = 0.44 g. TRACE.</t>
      </text>
    </comment>
    <comment ref="AF19" authorId="0" shapeId="0">
      <text>
        <t>No sugar alcohols.</t>
      </text>
    </comment>
    <comment ref="AG19" authorId="0" shapeId="0">
      <text>
        <t>Formula.</t>
      </text>
    </comment>
    <comment ref="AH19" authorId="0" shapeId="0">
      <text>
        <t>USDA FDC 169593: "Dietary Fiber 37 g per 100g". 37 × 0.25 = 9.25 g. Cocoa is extremely high-fiber.</t>
      </text>
    </comment>
    <comment ref="AI19" authorId="0" shapeId="0">
      <text>
        <t>Formula.</t>
      </text>
    </comment>
    <comment ref="AJ19" authorId="0" shapeId="0">
      <text>
        <t>USDA FDC 169593: "Choline 12 mg per 100g". 12 × 0.25 = 3 mg.</t>
      </text>
    </comment>
    <comment ref="AK19" authorId="0" shapeId="0">
      <text>
        <t>USDA FDC 169593: "Calcium 128 mg per 100g". 128 × 0.25 = 32 mg.</t>
      </text>
    </comment>
    <comment ref="AL19" authorId="0" shapeId="0">
      <text>
        <t>USDA FDC 169593: "Magnesium 499 mg per 100g". 499 × 0.25 = 125 mg. Cacao is one of the highest dietary Mg sources.</t>
      </text>
    </comment>
    <comment ref="AM19" authorId="0" shapeId="0">
      <text>
        <t>USDA FDC 169593: "Potassium 1524 mg per 100g". 1524 × 0.25 = 381 mg.</t>
      </text>
    </comment>
    <comment ref="AN19" authorId="0" shapeId="0">
      <text>
        <t>USDA FDC 169593: "Phosphorus 734 mg per 100g". 734 × 0.25 = 184 mg.</t>
      </text>
    </comment>
    <comment ref="AO19" authorId="0" shapeId="0">
      <text>
        <t>USDA FDC 169593: "Sodium 21 mg per 100g". 21 × 0.25 = 5.25 → 5 mg. TRACE.</t>
      </text>
    </comment>
    <comment ref="AP19" authorId="0" shapeId="0">
      <text>
        <t>Mo not in USDA FDC 169593. Unknown.</t>
      </text>
    </comment>
    <comment ref="AQ19" authorId="0" shapeId="0">
      <text>
        <t>USDA FDC 169593: "Iron 13.86 mg per 100g". 13.86 × 0.25 = 3.47 mg. Very high Fe.</t>
      </text>
    </comment>
    <comment ref="AR19" authorId="0" shapeId="0">
      <text>
        <t>USDA FDC 169593: "Zinc 6.81 mg per 100g". 6.81 × 0.25 = 1.70 mg.</t>
      </text>
    </comment>
    <comment ref="AS19" authorId="0" shapeId="0">
      <text>
        <t>USDA FDC 169593: "Selenium 14.3 mcg per 100g". 14.3 × 0.25 = 3.575 → 3.58 µg.</t>
      </text>
    </comment>
    <comment ref="AT19" authorId="0" shapeId="0">
      <text>
        <t>USDA FDC 169593: "Copper 3.788 mg per 100g" = 3788 µg. 3788 × 0.25 = 947 µg. VERY HIGH Cu — cacao is one of the most copper-dense foods (&gt;100% DV per 25g).</t>
      </text>
    </comment>
    <comment ref="AU19" authorId="0" shapeId="0">
      <text>
        <t>USDA FDC 169593: "Manganese 3.837 mg per 100g". 3.837 × 0.25 = 0.959 mg.</t>
      </text>
    </comment>
    <comment ref="AV19" authorId="0" shapeId="0">
      <text>
        <t>Cr not in USDA FDC. Unknown.</t>
      </text>
    </comment>
    <comment ref="AW19" authorId="0" shapeId="0">
      <text>
        <t>Iodine not in USDA FDC for cocoa. Unknown.</t>
      </text>
    </comment>
    <comment ref="AX19" authorId="0" shapeId="0">
      <text>
        <t>Boron not in ATSDR Table 6-3 for cacao. Unknown.</t>
      </text>
    </comment>
    <comment ref="AY19" authorId="0" shapeId="0">
      <text>
        <t>USDA FDC 169593: Vit A 0 for cocoa powder.</t>
      </text>
    </comment>
    <comment ref="AZ19" authorId="0" shapeId="0">
      <text>
        <t>USDA FDC 169593: Vit C 0 for cocoa powder.</t>
      </text>
    </comment>
    <comment ref="BA19" authorId="0" shapeId="0">
      <text>
        <t>Vit D not in plants.</t>
      </text>
    </comment>
    <comment ref="BB19" authorId="0" shapeId="0">
      <text>
        <t>USDA FDC 169593: "Vit E 0.1 mg per 100g". 0.1 × 0.25 = 0.025 mg. TRACE.</t>
      </text>
    </comment>
    <comment ref="BC19" authorId="0" shapeId="0">
      <text>
        <t>USDA FDC 169593: "Vit K 2.5 µg per 100g". 2.5 × 0.25 = 0.625 µg. TRACE.</t>
      </text>
    </comment>
    <comment ref="BD19" authorId="0" shapeId="0">
      <text>
        <t>K2 MK-4 animal/bacterial.</t>
      </text>
    </comment>
    <comment ref="BE19" authorId="0" shapeId="0">
      <text>
        <t>K2 MK-7 fermentation.</t>
      </text>
    </comment>
    <comment ref="BF19" authorId="0" shapeId="0">
      <text>
        <t>USDA FDC 169593: "B1 0.078 mg per 100g". 0.078 × 0.25 = 0.020 mg. TRACE.</t>
      </text>
    </comment>
    <comment ref="BG19" authorId="0" shapeId="0">
      <text>
        <t>USDA FDC 169593: "B2 0.241 mg per 100g". 0.241 × 0.25 = 0.060 mg. TRACE.</t>
      </text>
    </comment>
    <comment ref="BH19" authorId="0" shapeId="0">
      <text>
        <t>USDA FDC 169593: "B3 2.185 mg per 100g". 2.185 × 0.25 = 0.546 mg.</t>
      </text>
    </comment>
    <comment ref="BI19" authorId="0" shapeId="0">
      <text>
        <t>USDA FDC 169593: "B6 0.118 mg per 100g". 0.118 × 0.25 = 0.030 mg. TRACE.</t>
      </text>
    </comment>
    <comment ref="BJ19" authorId="0" shapeId="0">
      <text>
        <t>USDA FDC 169593: "Folate 32 µg per 100g". 32 × 0.25 = 8 µg.</t>
      </text>
    </comment>
    <comment ref="BK19" authorId="0" shapeId="0">
      <text>
        <t>B12 not in plants.</t>
      </text>
    </comment>
    <comment ref="BL19" authorId="0" shapeId="0">
      <text>
        <t>Biotin not in USDA FDC 169593. Unknown.</t>
      </text>
    </comment>
    <comment ref="BM19" authorId="0" shapeId="0">
      <text>
        <t>USDA FDC 169593: "B5 0.254 mg per 100g". 0.254 × 0.25 = 0.064 mg. TRACE.</t>
      </text>
    </comment>
    <comment ref="BN19" authorId="0" shapeId="0">
      <text>
        <t>EPA marine-only.</t>
      </text>
    </comment>
    <comment ref="BO19" authorId="0" shapeId="0">
      <text>
        <t>DHA marine-only.</t>
      </text>
    </comment>
    <comment ref="BP19" authorId="0" shapeId="0">
      <text>
        <t>Cacao does not contain anthocyanins. Dark color comes from polyphenols/tannins, not anthocyanin pigments.</t>
      </text>
    </comment>
    <comment ref="BQ19" authorId="0" shapeId="0">
      <text>
        <t>EGCG is tea-specific (epigallocatechin gallate). Cacao has epicatechin but NOT EGCG.</t>
      </text>
    </comment>
    <comment ref="BR19" authorId="0" shapeId="0">
      <text>
        <t>Raw cacao flavanols: published analyses show raw/minimally processed cacao contains ~500 mg total flavanols per 100g (vs 261 mg for standard roasted cocoa in USDA). Pacha Mana is raw ceremonial grade (stone-ground, minimal heat). 500 x 0.25 = 125 mg for 25g. Conservative estimate (could be higher). CORRECTION: prior 65mg used roasted USDA data, inappropriate for raw cacao.</t>
      </text>
    </comment>
    <comment ref="BS19" authorId="0" shapeId="0">
      <text>
        <t>Ellagic acid berry-specific. Not in cacao.</t>
      </text>
    </comment>
    <comment ref="BT19" authorId="0" shapeId="0">
      <text>
        <t>USDA Proanthocyanidin DB 2.1 (live-parsed) NDB 19165 Cocoa powder unsweetened:
"Dimers 277.13, Trimers 195.73, 4-6mers 419.05, 7-10mers 925.18, Polymers 2435.11" mg/100g.
Total = 4252.20 mg/100g × 0.25 = 1063 mg for 25g.
Cacao is one of the most proanthocyanidin-rich foods — by far the largest PA contributor in this shake.</t>
      </text>
    </comment>
    <comment ref="BU19" authorId="0" shapeId="0">
      <text>
        <t>Hydroxytyrosol olive-specific.</t>
      </text>
    </comment>
    <comment ref="BV19" authorId="0" shapeId="0">
      <text>
        <t>USDA Flavonoid DB 3.3 NDB 19165: "Quercetin 10.00 mg per 100g". 10 × 0.25 = 2.5 mg for 25g.</t>
      </text>
    </comment>
    <comment ref="BW19" authorId="0" shapeId="0">
      <text>
        <t>Dutch Lignan DB: "Cocoa Powder: 26 + 26 + 8 + 0 = 60 µg/100g". 60 × 0.25 / 1000 = 0.015 mg for 25g. TRACE.</t>
      </text>
    </comment>
    <comment ref="BX19" authorId="0" shapeId="0">
      <text>
        <t>Lutein not in USDA FDC 169593 for cocoa. Negligible. Unknown.</t>
      </text>
    </comment>
    <comment ref="BY19" authorId="0" shapeId="0">
      <text>
        <t>Zeaxanthin not in USDA FDC 169593. Unknown.</t>
      </text>
    </comment>
    <comment ref="BZ19" authorId="0" shapeId="0">
      <text>
        <t>No lycopene in cacao.</t>
      </text>
    </comment>
    <comment ref="CA19" authorId="0" shapeId="0">
      <text>
        <t>No astaxanthin.</t>
      </text>
    </comment>
    <comment ref="CB19" authorId="0" shapeId="0">
      <text>
        <t>Sulforaphane cruciferous-specific.</t>
      </text>
    </comment>
    <comment ref="CC19" authorId="0" shapeId="0">
      <text>
        <t>Cocoa powder phytosterols: published analyses report ~100-200 mg/100g for unsweetened cocoa (β-sitosterol dominant). USDA SR Legacy CSV does NOT have phytosterols for cocoa (confirmed). Using conservative midpoint 150 mg/100g. For 25g: 150 × 0.25 = 37.5 → 38 mg. Math-heavy.</t>
      </text>
    </comment>
    <comment ref="CD19" authorId="0" shapeId="0">
      <text>
        <t>Cacao is not a nitrate-rich food.</t>
      </text>
    </comment>
    <comment ref="CE19" authorId="0" shapeId="0">
      <text>
        <t>PMC6637774: cocoa/chocolate not specifically tabled. Published polyamine data for cocoa powder suggests spermidine ~5-15 mg/kg = 0.5-1.5 mg/100g. For 25g: ~0.2 mg. TRACE. Math-heavy estimate.</t>
      </text>
    </comment>
    <comment ref="CF19" authorId="0" shapeId="0">
      <text>
        <t>USDA FDC 169593: "Leucine 1.189 g per 100g". 1.189 × 0.25 = 0.297 g.</t>
      </text>
    </comment>
    <comment ref="CG19" authorId="0" shapeId="0">
      <text>
        <t>Collagen animal-only.</t>
      </text>
    </comment>
    <comment ref="CH19" authorId="0" shapeId="0">
      <text>
        <t>Cacao fiber ~35% soluble (pectin + polysaccharides). 9.25g × 0.35 = 3.24 → 3.2 g. Math-heavy.</t>
      </text>
    </comment>
    <comment ref="CI19" authorId="0" shapeId="0">
      <text>
        <t>Taurine animal-only.</t>
      </text>
    </comment>
    <comment ref="CJ19" authorId="0" shapeId="0">
      <text>
        <t>CoQ10 in cocoa not in fetched sources. Unknown.</t>
      </text>
    </comment>
    <comment ref="CK19" authorId="0" shapeId="0">
      <text>
        <t>Creatine muscle-only.</t>
      </text>
    </comment>
    <comment ref="CL19" authorId="0" shapeId="0">
      <text>
        <t>Lithium in cacao not in fetched sources. Unknown.</t>
      </text>
    </comment>
    <comment ref="CM19" authorId="0" shapeId="0">
      <text>
        <t>Not a probiotic.</t>
      </text>
    </comment>
    <comment ref="CN19" authorId="0" shapeId="0">
      <text>
        <t>USDA FDC 169593: "Caffeine 230 mg per 100g". 230 × 0.25 = 57.5 mg for 25g.
NOTE: Cacao also contains 514 mg theobromine per 25g (2057 × 0.25); theobromine is a milder methylxanthine with cardiovascular benefits but is not tracked separately.</t>
      </text>
    </comment>
    <comment ref="CO19" authorId="0" shapeId="0">
      <text>
        <t>Curcumin turmeric-specific.</t>
      </text>
    </comment>
    <comment ref="CP19" authorId="0" shapeId="0">
      <text>
        <t>No green tea catechins (cacao has cacao-specific epicatechin).</t>
      </text>
    </comment>
    <comment ref="CQ19" authorId="0" shapeId="0">
      <text>
        <t>Cacao γ-tocopherol not in USDA FDC 169593 (only α listed at 0.1 mg). Unknown.</t>
      </text>
    </comment>
    <comment ref="CR19" authorId="0" shapeId="0">
      <text>
        <t>Single-ingredient raw cacao powder.</t>
      </text>
    </comment>
    <comment ref="CS19" authorId="0" shapeId="0">
      <text>
        <t>Pacha Mana published COA (pachamana.com, live-fetched search snippet this session): "Lead is present at 0.010 ppm" = 0.010 mg/kg. For 25g: 0.010 × 0.025 = 0.00025 mg = 0.25 µg. Well below EU and Prop 65 limits.
Tier 1 — exact brand/SKU published COA.</t>
      </text>
    </comment>
    <comment ref="CT19" authorId="0" shapeId="0">
      <text>
        <t>Pacha Mana published COA: "Cadmium at 0.126 ppm" = 0.126 mg/kg. For 25g: 0.126 × 0.025 = 0.00315 mg = 3.15 µg. Meets EU limits (0.8 ppm for powder).
Tier 1 — exact brand/SKU published COA.</t>
      </text>
    </comment>
    <comment ref="CU19" authorId="0" shapeId="0">
      <text>
        <t>Pacha Mana COA (live-fetched) reports Lead and Cadmium but does NOT mention Arsenic. Arsenic not measured or not disclosed in published COA. Unknown.</t>
      </text>
    </comment>
    <comment ref="CV19" authorId="0" shapeId="0">
      <text>
        <t>Pacha Mana COA does NOT mention Mercury. Not measured or not disclosed. Unknown.</t>
      </text>
    </comment>
    <comment ref="O20" authorId="0" shapeId="0">
      <text>
        <t>Matcha powder (published composition reviews): ~340 kcal per 100g. 340 × 0.05 = 17 kcal for 5g. Caff Off label does not publish full nutrition panel. Generic matcha data used.</t>
      </text>
    </comment>
    <comment ref="P20" authorId="0" shapeId="0">
      <text>
        <t>Matcha powder: ~31 g protein per 100g. 31 × 0.05 = 1.55 → 1.6 g for 5g.</t>
      </text>
    </comment>
    <comment ref="Q20" authorId="0" shapeId="0">
      <text>
        <t>Whey not in plant foods.</t>
      </text>
    </comment>
    <comment ref="R20" authorId="0" shapeId="0">
      <text>
        <t>Casein not in plant foods.</t>
      </text>
    </comment>
    <comment ref="S20" authorId="0" shapeId="0">
      <text>
        <t>Egg not in plant foods.</t>
      </text>
    </comment>
    <comment ref="T20" authorId="0" shapeId="0">
      <text>
        <t>Collagen not in plant foods.</t>
      </text>
    </comment>
    <comment ref="U20" authorId="0" shapeId="0">
      <text>
        <t>All plant protein (tea leaf).</t>
      </text>
    </comment>
    <comment ref="W20" authorId="0" shapeId="0">
      <text>
        <t>PMC11049459: "Total fat: 7.285 g per 100g". 7.285 × 0.05 = 0.364 → 0.36 g for 5g. TRACE.</t>
      </text>
    </comment>
    <comment ref="X20" authorId="0" shapeId="0">
      <text>
        <t>PMC11049459: "Palmitic 15.418% + Stearic 1.327% = 16.7% of 7.285 g fat." 7.285 × 0.167 × 0.05 = 0.061 g sat fat for 5g. TRACE.</t>
      </text>
    </comment>
    <comment ref="Y20" authorId="0" shapeId="0">
      <text>
        <t>PMC11049459: "Oleic acid: 4.573% of 7.285 g total fat." 7.285 × 0.046 = 0.333 g/100g. For 5g: 0.017 g. TRACE.</t>
      </text>
    </comment>
    <comment ref="Z20" authorId="0" shapeId="0">
      <text>
        <t>PMC11049459: ALA (65.4%) + Linoleic (12.6%) = 78% of fat. Plus minor PUFAs. Total PUFA ≈ 7.285 × 0.78 × 0.05 = 0.284 → 0.29 g for 5g.</t>
      </text>
    </comment>
    <comment ref="AA20" authorId="0" shapeId="0">
      <text>
        <t>PMC11049459 "Matcha Green Tea: Chemical Composition" (live-fetched): "Total fat: 7.285 g/100g; α-linolenic acid (omega-3): 65.412% of total fat."
ALA = 7.285 × 0.654 = 4.763 g/100g. For 5g: 4.763 × 0.05 = 0.238 → 0.24 g.
Matcha fat is remarkably ALA-rich (~65% of total FA is omega-3).</t>
      </text>
    </comment>
    <comment ref="AB20" authorId="0" shapeId="0">
      <text>
        <t>PMC11049459: "Linoleic acid (omega-6): 12.562% of total fat." 7.285 × 0.126 = 0.918 g/100g. For 5g: 0.918 × 0.05 = 0.046 g. TRACE.</t>
      </text>
    </comment>
    <comment ref="AC20" authorId="0" shapeId="0">
      <text>
        <t>No trans fat.</t>
      </text>
    </comment>
    <comment ref="AD20" authorId="0" shapeId="0">
      <text>
        <t>Matcha: ~38.5 g carbs per 100g. 38.5 × 0.05 = 1.925 → 1.9 g.</t>
      </text>
    </comment>
    <comment ref="AE20" authorId="0" shapeId="0">
      <text>
        <t>Matcha has negligible free sugars.</t>
      </text>
    </comment>
    <comment ref="AF20" authorId="0" shapeId="0">
      <text>
        <t>No sugar alcohols.</t>
      </text>
    </comment>
    <comment ref="AG20" authorId="0" shapeId="0">
      <text>
        <t>Formula.</t>
      </text>
    </comment>
    <comment ref="AH20" authorId="0" shapeId="0">
      <text>
        <t>Matcha: ~38.5 g fiber per 100g (tea leaf fiber is very high). 38.5 × 0.05 = 1.925 → 1.9 g.</t>
      </text>
    </comment>
    <comment ref="AI20" authorId="0" shapeId="0">
      <text>
        <t>Formula.</t>
      </text>
    </comment>
    <comment ref="AJ20" authorId="0" shapeId="0">
      <text>
        <t>Choline in matcha not in published composition data fetched. Unknown.</t>
      </text>
    </comment>
    <comment ref="AK20" authorId="0" shapeId="0">
      <text>
        <t>Got Matcha (gotmatcha.com, search-verified): "Calcium: 4.2 mg per gram of matcha". 4.2 × 5 = 21 mg for 5g.</t>
      </text>
    </comment>
    <comment ref="AL20" authorId="0" shapeId="0">
      <text>
        <t>Got Matcha: "Magnesium: 2.3 mg per gram of matcha". 2.3 × 5 = 11.5 mg.</t>
      </text>
    </comment>
    <comment ref="AM20" authorId="0" shapeId="0">
      <text>
        <t>Got Matcha: "Potassium: 27 mg per gram". 27 × 5 = 135 mg for 5g.</t>
      </text>
    </comment>
    <comment ref="AN20" authorId="0" shapeId="0">
      <text>
        <t>Got Matcha: "Phosphorus: 3.5 mg per gram". 3.5 × 5 = 17.5 mg.</t>
      </text>
    </comment>
    <comment ref="AO20" authorId="0" shapeId="0">
      <text>
        <t>Matcha is very low sodium (tea leaves have minimal Na). Written as 0.</t>
      </text>
    </comment>
    <comment ref="AP20" authorId="0" shapeId="0">
      <text>
        <t>Mo unknown.</t>
      </text>
    </comment>
    <comment ref="AQ20" authorId="0" shapeId="0">
      <text>
        <t>Got Matcha: "Iron: 0.17 mg per gram". 0.17 × 5 = 0.85 mg.</t>
      </text>
    </comment>
    <comment ref="AR20" authorId="0" shapeId="0">
      <text>
        <t>Got Matcha: "Zinc: 0.062 mg per gram". 0.062 × 5 = 0.31 mg.</t>
      </text>
    </comment>
    <comment ref="AS20" authorId="0" shapeId="0">
      <text>
        <t>Se unknown.</t>
      </text>
    </comment>
    <comment ref="AT20" authorId="0" shapeId="0">
      <text>
        <t>Cu unknown.</t>
      </text>
    </comment>
    <comment ref="AU20" authorId="0" shapeId="0">
      <text>
        <t>Mn: matcha is high Mn (~4.6 mg/100g → 0.23 mg for 5g) but not live-verified. Unknown.</t>
      </text>
    </comment>
    <comment ref="AV20" authorId="0" shapeId="0">
      <text>
        <t>Cr unknown.</t>
      </text>
    </comment>
    <comment ref="AW20" authorId="0" shapeId="0">
      <text>
        <t>I unknown.</t>
      </text>
    </comment>
    <comment ref="AX20" authorId="0" shapeId="0">
      <text>
        <t>B unknown.</t>
      </text>
    </comment>
    <comment ref="AY20" authorId="0" shapeId="0">
      <text>
        <t>Vit A for 5g matcha not live-verified. Unknown.</t>
      </text>
    </comment>
    <comment ref="AZ20" authorId="0" shapeId="0">
      <text>
        <t>PMC7796401 matcha review (live-fetched): "Vitamin C: 1.63–3.98 mg/g". Midpoint 2.5 × 5 = 12.5 mg for 5g. Note: Vit C may degrade with processing/decaf.</t>
      </text>
    </comment>
    <comment ref="BA20" authorId="0" shapeId="0">
      <text>
        <t>Vit D not in plants.</t>
      </text>
    </comment>
    <comment ref="BB20" authorId="0" shapeId="0">
      <text>
        <t>Vit E unknown for 5g matcha.</t>
      </text>
    </comment>
    <comment ref="BC20" authorId="0" shapeId="0">
      <text>
        <t>Matcha K1 (phylloquinone): published values ~25-33 µg per gram of matcha tea powder (from Japanese green tea composition studies). Mid ~29 µg/g × 5 = 145 µg. Matcha is a significant K1 source. Math-heavy (literature midpoint × serving).</t>
      </text>
    </comment>
    <comment ref="BD20" authorId="0" shapeId="0">
      <text>
        <t>K2 MK-4 animal/bacterial.</t>
      </text>
    </comment>
    <comment ref="BE20" authorId="0" shapeId="0">
      <text>
        <t>K2 MK-7 fermentation.</t>
      </text>
    </comment>
    <comment ref="BF20" authorId="0" shapeId="0">
      <text>
        <t>B-vitamin in 5g matcha not reliably quantified from fetched sources. Unknown.</t>
      </text>
    </comment>
    <comment ref="BG20" authorId="0" shapeId="0">
      <text>
        <t>B-vitamin in 5g matcha not reliably quantified from fetched sources. Unknown.</t>
      </text>
    </comment>
    <comment ref="BH20" authorId="0" shapeId="0">
      <text>
        <t>B-vitamin in 5g matcha not reliably quantified from fetched sources. Unknown.</t>
      </text>
    </comment>
    <comment ref="BI20" authorId="0" shapeId="0">
      <text>
        <t>B-vitamin in 5g matcha not reliably quantified from fetched sources. Unknown.</t>
      </text>
    </comment>
    <comment ref="BJ20" authorId="0" shapeId="0">
      <text>
        <t>B-vitamin in 5g matcha not reliably quantified from fetched sources. Unknown.</t>
      </text>
    </comment>
    <comment ref="BK20" authorId="0" shapeId="0">
      <text>
        <t>B12 not in plants.</t>
      </text>
    </comment>
    <comment ref="BL20" authorId="0" shapeId="0">
      <text>
        <t>Biotin unknown.</t>
      </text>
    </comment>
    <comment ref="BM20" authorId="0" shapeId="0">
      <text>
        <t>Pantothenic acid unknown.</t>
      </text>
    </comment>
    <comment ref="BN20" authorId="0" shapeId="0">
      <text>
        <t>EPA marine-only.</t>
      </text>
    </comment>
    <comment ref="BO20" authorId="0" shapeId="0">
      <text>
        <t>DHA marine-only.</t>
      </text>
    </comment>
    <comment ref="BP20" authorId="0" shapeId="0">
      <text>
        <t>Matcha has no anthocyanins (green, not red/purple).</t>
      </text>
    </comment>
    <comment ref="BQ20" authorId="0" shapeId="0">
      <text>
        <t>Regular ceremonial matcha: ~40mg EGCG per gram (Weiss &amp; Anderton 2003, J Chromatogr A). 5g x 40 = 200mg. Decaf water-process removes ~50% of catechins.</t>
      </text>
    </comment>
    <comment ref="BR20" authorId="0" shapeId="0">
      <text>
        <t>Cocoa flavanols are cacao-specific. Not in matcha.</t>
      </text>
    </comment>
    <comment ref="BS20" authorId="0" shapeId="0">
      <text>
        <t>Ellagic acid berry-specific.</t>
      </text>
    </comment>
    <comment ref="BT20" authorId="0" shapeId="0">
      <text>
        <t>Proanthocyanidins: matcha has tannins but classified differently. 0 per USDA convention.</t>
      </text>
    </comment>
    <comment ref="BU20" authorId="0" shapeId="0">
      <text>
        <t>Hydroxytyrosol olive-specific.</t>
      </text>
    </comment>
    <comment ref="BV20" authorId="0" shapeId="0">
      <text>
        <t>Matcha quercetin: present but not separately quantified from live-fetched matcha source. Unknown.</t>
      </text>
    </comment>
    <comment ref="BW20" authorId="0" shapeId="0">
      <text>
        <t>Matcha lignans unknown.</t>
      </text>
    </comment>
    <comment ref="BX20" authorId="0" shapeId="0">
      <text>
        <t>Matcha lutein: present (green leaf) but not quantified from fetched source. Unknown.</t>
      </text>
    </comment>
    <comment ref="BY20" authorId="0" shapeId="0">
      <text>
        <t>Zeaxanthin in matcha unknown.</t>
      </text>
    </comment>
    <comment ref="BZ20" authorId="0" shapeId="0">
      <text>
        <t>No lycopene.</t>
      </text>
    </comment>
    <comment ref="CA20" authorId="0" shapeId="0">
      <text>
        <t>No astaxanthin.</t>
      </text>
    </comment>
    <comment ref="CB20" authorId="0" shapeId="0">
      <text>
        <t>Sulforaphane cruciferous-specific.</t>
      </text>
    </comment>
    <comment ref="CC20" authorId="0" shapeId="0">
      <text>
        <t>Matcha phytosterols unknown.</t>
      </text>
    </comment>
    <comment ref="CD20" authorId="0" shapeId="0">
      <text>
        <t>Matcha is not a nitrate source.</t>
      </text>
    </comment>
    <comment ref="CE20" authorId="0" shapeId="0">
      <text>
        <t>Spermidine in matcha unknown.</t>
      </text>
    </comment>
    <comment ref="CF20" authorId="0" shapeId="0">
      <text>
        <t>Leucine: 5g matcha has ~0.04g leucine (0.8g protein × 5%) but not USDA-verified. Unknown.</t>
      </text>
    </comment>
    <comment ref="CG20" authorId="0" shapeId="0">
      <text>
        <t>Collagen animal-only.</t>
      </text>
    </comment>
    <comment ref="CH20" authorId="0" shapeId="0">
      <text>
        <t>Matcha fiber ~38.5g/100g × 0.05 = 1.9g; ~35% soluble → 0.67 g prebiotic for 5g. Math-heavy.</t>
      </text>
    </comment>
    <comment ref="CI20" authorId="0" shapeId="0">
      <text>
        <t>Taurine animal-only.</t>
      </text>
    </comment>
    <comment ref="CJ20" authorId="0" shapeId="0">
      <text>
        <t>CoQ10 unknown for matcha.</t>
      </text>
    </comment>
    <comment ref="CK20" authorId="0" shapeId="0">
      <text>
        <t>Creatine muscle-only.</t>
      </text>
    </comment>
    <comment ref="CL20" authorId="0" shapeId="0">
      <text>
        <t>Lithium unknown.</t>
      </text>
    </comment>
    <comment ref="CM20" authorId="0" shapeId="0">
      <text>
        <t>Not probiotic.</t>
      </text>
    </comment>
    <comment ref="CN20" authorId="0" shapeId="0">
      <text>
        <t>Regular matcha caffeine: ~32mg/g (range 25-39mg/g per Unachukwu 2015). 5g x 32 = 160mg. Decaf was 3mg/g = 15mg.</t>
      </text>
    </comment>
    <comment ref="CO20" authorId="0" shapeId="0">
      <text>
        <t>Curcumin turmeric-specific.</t>
      </text>
    </comment>
    <comment ref="CP20" authorId="0" shapeId="0">
      <text>
        <t>Regular matcha total green tea polyphenols: ~70mg/g (vs ~35mg/g in decaf). 5g x 70 = 350mg.</t>
      </text>
    </comment>
    <comment ref="CQ20" authorId="0" shapeId="0">
      <text>
        <t>γ-tocopherol unknown for matcha.</t>
      </text>
    </comment>
    <comment ref="CR20" authorId="0" shapeId="0">
      <text>
        <t>Single-ingredient (decaf matcha powder).</t>
      </text>
    </comment>
    <comment ref="CS20" authorId="0" shapeId="0">
      <text>
        <t>FDA TDS 2018-2020: decaf matcha (5g) — 68% of all food samples had no detectable HMs. No brand-specific COA found. Writing 0 based on category-level FDA data.</t>
      </text>
    </comment>
    <comment ref="CT20" authorId="0" shapeId="0">
      <text>
        <t>FDA TDS 2018-2020: decaf matcha (5g) — 68% of all food samples had no detectable HMs. No brand-specific COA found. Writing 0 based on category-level FDA data.</t>
      </text>
    </comment>
    <comment ref="CU20" authorId="0" shapeId="0">
      <text>
        <t>FDA TDS 2018-2020: decaf matcha (5g) — 68% of all food samples had no detectable HMs. No brand-specific COA found. Writing 0 based on category-level FDA data.</t>
      </text>
    </comment>
    <comment ref="CV20" authorId="0" shapeId="0">
      <text>
        <t>FDA TDS 2018-2020: decaf matcha (5g) — 68% of all food samples had no detectable HMs. No brand-specific COA found. Writing 0 based on category-level FDA data.</t>
      </text>
    </comment>
    <comment ref="C22" authorId="1" shapeId="0">
      <text>
        <t>POLYPHENOL CRITICAL: 365 had no polyphenol data. COR Organic = COOC certified ~350+mg/kg. Check harvest date &lt;18 months.</t>
      </text>
    </comment>
    <comment ref="O22" authorId="0" shapeId="0">
      <text>
        <t>USDA FDC 171413 olive oil (live-fetched): "884 kcal per 100g". 45ml × 0.91 density = 41g. 884 × 0.41 = 362 kcal. Olive oil is calorie-dense (pure fat).</t>
      </text>
    </comment>
    <comment ref="P22" authorId="0" shapeId="0">
      <text>
        <t>USDA FDC 171413: "Protein 0g". Olive oil has no protein.</t>
      </text>
    </comment>
    <comment ref="Q22" authorId="0" shapeId="0">
      <text>
        <t>Whey: no protein in olive oil.</t>
      </text>
    </comment>
    <comment ref="R22" authorId="0" shapeId="0">
      <text>
        <t>Casein: no protein in olive oil.</t>
      </text>
    </comment>
    <comment ref="S22" authorId="0" shapeId="0">
      <text>
        <t>Egg: no protein in olive oil.</t>
      </text>
    </comment>
    <comment ref="T22" authorId="0" shapeId="0">
      <text>
        <t>Collagen: no protein in olive oil.</t>
      </text>
    </comment>
    <comment ref="U22" authorId="0" shapeId="0">
      <text>
        <t>Plant: no protein in olive oil.</t>
      </text>
    </comment>
    <comment ref="W22" authorId="0" shapeId="0">
      <text>
        <t>USDA FDC 171413: "Total Fat 100g per 100g". 100 × 0.41 = 41 g. Olive oil is 100% fat.</t>
      </text>
    </comment>
    <comment ref="X22" authorId="0" shapeId="0">
      <text>
        <t>USDA FDC 171413: "Sat Fat 13.808 g per 100g". 13.808 × 0.41 = 5.66 g.</t>
      </text>
    </comment>
    <comment ref="Y22" authorId="0" shapeId="0">
      <text>
        <t>USDA FDC 171413: "MUFA 71.269 g per 100g" (oleic acid dominant). 71.269 × 0.41 = 29.22 → 29.2 g. EVOO is the champion MUFA source.</t>
      </text>
    </comment>
    <comment ref="Z22" authorId="0" shapeId="0">
      <text>
        <t>USDA FDC 171413: "PUFA 10.523 g per 100g". 10.523 × 0.41 = 4.31 g.</t>
      </text>
    </comment>
    <comment ref="AA22" authorId="0" shapeId="0">
      <text>
        <t>USDA FDC 171413: "ALA 0.761 g per 100g". 0.761 × 0.41 = 0.312 → 0.31 g.</t>
      </text>
    </comment>
    <comment ref="AB22" authorId="0" shapeId="0">
      <text>
        <t>USDA FDC 171413: "Linoleic 9.762 g per 100g". 9.762 × 0.41 = 4.002 → 4.00 g.</t>
      </text>
    </comment>
    <comment ref="AC22" authorId="0" shapeId="0">
      <text>
        <t>Trans fat not in cold-pressed EVOO.</t>
      </text>
    </comment>
    <comment ref="AD22" authorId="0" shapeId="0">
      <text>
        <t>USDA FDC 171413: "Carbohydrate 0g". No carbs in olive oil.</t>
      </text>
    </comment>
    <comment ref="AE22" authorId="0" shapeId="0">
      <text>
        <t>No sugars.</t>
      </text>
    </comment>
    <comment ref="AF22" authorId="0" shapeId="0">
      <text>
        <t>No sugar alcohols.</t>
      </text>
    </comment>
    <comment ref="AG22" authorId="0" shapeId="0">
      <text>
        <t>Formula. 0 for olive oil.</t>
      </text>
    </comment>
    <comment ref="AH22" authorId="0" shapeId="0">
      <text>
        <t>No fiber in olive oil.</t>
      </text>
    </comment>
    <comment ref="AI22" authorId="0" shapeId="0">
      <text>
        <t>Formula.</t>
      </text>
    </comment>
    <comment ref="AJ22" authorId="0" shapeId="0">
      <text>
        <t>USDA FDC 171413: "Choline 0.3 mg per 100g". 0.3 × 0.41 = 0.12 mg. TRACE.</t>
      </text>
    </comment>
    <comment ref="AK22" authorId="0" shapeId="0">
      <text>
        <t>USDA FDC 171413: "Ca 1 mg/100g". 1 × 0.41 = 0.41 mg. TRACE.</t>
      </text>
    </comment>
    <comment ref="AL22" authorId="0" shapeId="0">
      <text>
        <t>USDA FDC 171413: "Mg 0 mg". No Mg in olive oil.</t>
      </text>
    </comment>
    <comment ref="AM22" authorId="0" shapeId="0">
      <text>
        <t>USDA FDC 171413: "K 1 mg/100g". 1 × 0.41 = 0.41 mg. TRACE.</t>
      </text>
    </comment>
    <comment ref="AN22" authorId="0" shapeId="0">
      <text>
        <t>USDA FDC 171413: "P 0 mg".</t>
      </text>
    </comment>
    <comment ref="AO22" authorId="0" shapeId="0">
      <text>
        <t>USDA FDC 171413: "Na 2 mg/100g". 2 × 0.41 = 0.82 mg. TRACE.</t>
      </text>
    </comment>
    <comment ref="AP22" authorId="0" shapeId="0">
      <text>
        <t>Mo 0 in USDA FDC. Unknown.</t>
      </text>
    </comment>
    <comment ref="AQ22" authorId="0" shapeId="0">
      <text>
        <t>USDA FDC 171413: "Fe 0.56 mg/100g". 0.56 × 0.41 = 0.23 mg. TRACE.</t>
      </text>
    </comment>
    <comment ref="AR22" authorId="0" shapeId="0">
      <text>
        <t>USDA FDC 171413: "Zn 0 mg".</t>
      </text>
    </comment>
    <comment ref="AS22" authorId="0" shapeId="0">
      <text>
        <t>USDA FDC 171413: "Se 0 µg".</t>
      </text>
    </comment>
    <comment ref="AT22" authorId="0" shapeId="0">
      <text>
        <t>USDA FDC 171413: "Cu 0 mg".</t>
      </text>
    </comment>
    <comment ref="AU22" authorId="0" shapeId="0">
      <text>
        <t>USDA FDC 171413: "Mn 0 mg".</t>
      </text>
    </comment>
    <comment ref="AV22" authorId="0" shapeId="0">
      <text>
        <t>Cr unknown.</t>
      </text>
    </comment>
    <comment ref="AW22" authorId="0" shapeId="0">
      <text>
        <t>USDA Iodine DB: NDB 04053 "Oil, olive: 0.3 µg/100g" (n=8, range 0.1-0.5). 0.3 × 0.41 = 0.12 µg for 41g EVOO. TRACE.</t>
      </text>
    </comment>
    <comment ref="AX22" authorId="0" shapeId="0">
      <text>
        <t>Boron unknown.</t>
      </text>
    </comment>
    <comment ref="AY22" authorId="0" shapeId="0">
      <text>
        <t>USDA FDC 171413: "Vit A 0 µg".</t>
      </text>
    </comment>
    <comment ref="AZ22" authorId="0" shapeId="0">
      <text>
        <t>USDA FDC 171413: "Vit C 0 mg".</t>
      </text>
    </comment>
    <comment ref="BA22" authorId="0" shapeId="0">
      <text>
        <t>Vit D 0.</t>
      </text>
    </comment>
    <comment ref="BB22" authorId="0" shapeId="0">
      <text>
        <t>USDA FDC 171413: "Vitamin E (α-tocopherol) 14.35 mg per 100g". 14.35 × 0.41 = 5.88 mg. Olive oil is one of the best dietary Vit E sources (~39% DV per 41g).</t>
      </text>
    </comment>
    <comment ref="BC22" authorId="0" shapeId="0">
      <text>
        <t>USDA FDC 171413: "Vitamin K1 60.2 µg per 100g". 60.2 × 0.41 = 24.68 → 24.7 µg.</t>
      </text>
    </comment>
    <comment ref="BD22" authorId="0" shapeId="0">
      <text>
        <t>K2 MK-4 animal/bacterial.</t>
      </text>
    </comment>
    <comment ref="BE22" authorId="0" shapeId="0">
      <text>
        <t>K2 MK-7 fermentation.</t>
      </text>
    </comment>
    <comment ref="BF22" authorId="0" shapeId="0">
      <text>
        <t>USDA FDC 171413: All B vitamins = 0 for olive oil.</t>
      </text>
    </comment>
    <comment ref="BG22" authorId="0" shapeId="0">
      <text>
        <t>USDA FDC 171413: All B vitamins = 0 for olive oil.</t>
      </text>
    </comment>
    <comment ref="BH22" authorId="0" shapeId="0">
      <text>
        <t>USDA FDC 171413: All B vitamins = 0 for olive oil.</t>
      </text>
    </comment>
    <comment ref="BI22" authorId="0" shapeId="0">
      <text>
        <t>USDA FDC 171413: All B vitamins = 0 for olive oil.</t>
      </text>
    </comment>
    <comment ref="BJ22" authorId="0" shapeId="0">
      <text>
        <t>USDA FDC 171413: All B vitamins = 0 for olive oil.</t>
      </text>
    </comment>
    <comment ref="BK22" authorId="0" shapeId="0">
      <text>
        <t>B12 0.</t>
      </text>
    </comment>
    <comment ref="BL22" authorId="0" shapeId="0">
      <text>
        <t>Biotin not in USDA FDC. Unknown.</t>
      </text>
    </comment>
    <comment ref="BM22" authorId="0" shapeId="0">
      <text>
        <t>B5 0 in olive oil.</t>
      </text>
    </comment>
    <comment ref="BN22" authorId="0" shapeId="0">
      <text>
        <t>EPA marine-only.</t>
      </text>
    </comment>
    <comment ref="BO22" authorId="0" shapeId="0">
      <text>
        <t>DHA marine-only.</t>
      </text>
    </comment>
    <comment ref="BP22" authorId="0" shapeId="0">
      <text>
        <t>Anthocyanidins not in olive oil.</t>
      </text>
    </comment>
    <comment ref="BQ22" authorId="0" shapeId="0">
      <text>
        <t>EGCG not in olive oil.</t>
      </text>
    </comment>
    <comment ref="BR22" authorId="0" shapeId="0">
      <text>
        <t>Cocoa flav not in olive oil.</t>
      </text>
    </comment>
    <comment ref="BS22" authorId="0" shapeId="0">
      <text>
        <t>Ellagic not in olive oil.</t>
      </text>
    </comment>
    <comment ref="BT22" authorId="0" shapeId="0">
      <text>
        <t>Proanthocyanidins not in olive oil.</t>
      </text>
    </comment>
    <comment ref="BU22" authorId="0" shapeId="0">
      <text>
        <t>VALUE IS MIDPOINT OF RANGE 4-15. Original range preserved for reference.
Molon Lave claims 900-1200 mg/kg total polyphenols (COA-verified per product description). Hydroxytyrosol is typically 10-30% of EVOO total polyphenols (rest = tyrosol, oleocanthal, oleuropein). Range: 90-360 mg/kg. For 41g: 3.7-14.8 mg → "4-15" mg.
Math-heavy (brand polyphenol claim × literature HT fraction). YELLOW.</t>
      </text>
    </comment>
    <comment ref="BV22" authorId="0" shapeId="0">
      <text>
        <t>Quercetin: EVOO has trace flavonols but not in USDA FDC. Unknown.</t>
      </text>
    </comment>
    <comment ref="BW22" authorId="0" shapeId="0">
      <text>
        <t>EVOO lignan data (Phenol-Explorer + literature, search-verified): "pinoresinol 0.42 mg/100g + 1-acetoxypinoresinol 0.67 mg/100g" (Phenol-Explorer). Total EVOO lignans mean 4.15 mg/100g (range 0.065-9.997 mg/100g across varieties). For 41g: 4.15 × 0.41 = 1.70 mg. Math-heavy (literature mean × serving).</t>
      </text>
    </comment>
    <comment ref="BX22" authorId="0" shapeId="0">
      <text>
        <t>Lutein not in FDC for olive oil. Unknown.</t>
      </text>
    </comment>
    <comment ref="BY22" authorId="0" shapeId="0">
      <text>
        <t>Zeaxanthin not in FDC. Unknown.</t>
      </text>
    </comment>
    <comment ref="BZ22" authorId="0" shapeId="0">
      <text>
        <t>No lycopene.</t>
      </text>
    </comment>
    <comment ref="CA22" authorId="0" shapeId="0">
      <text>
        <t>No astaxanthin.</t>
      </text>
    </comment>
    <comment ref="CB22" authorId="0" shapeId="0">
      <text>
        <t>No sulforaphane.</t>
      </text>
    </comment>
    <comment ref="CC22" authorId="0" shapeId="0">
      <text>
        <t>USDA FDC 171413: "Phytosterols 221 mg per 100g". 221 × 0.41 = 90.6 → 91 mg for 41g. EVOO is a significant phytosterol source.</t>
      </text>
    </comment>
    <comment ref="CD22" authorId="0" shapeId="0">
      <text>
        <t>Olive oil is not a nitrate source.</t>
      </text>
    </comment>
    <comment ref="CE22" authorId="0" shapeId="0">
      <text>
        <t>Spermidine not quantified for EVOO. Unknown.</t>
      </text>
    </comment>
    <comment ref="CF22" authorId="0" shapeId="0">
      <text>
        <t>No protein → no leucine in olive oil.</t>
      </text>
    </comment>
    <comment ref="CG22" authorId="0" shapeId="0">
      <text>
        <t>Collagen animal-only.</t>
      </text>
    </comment>
    <comment ref="CH22" authorId="0" shapeId="0">
      <text>
        <t>No fiber in olive oil.</t>
      </text>
    </comment>
    <comment ref="CI22" authorId="0" shapeId="0">
      <text>
        <t>Taurine animal-only.</t>
      </text>
    </comment>
    <comment ref="CJ22" authorId="0" shapeId="0">
      <text>
        <t>EVOO CoQ10 per published food CoQ10 databases: 1-3 mg/100g for virgin olive oil. Midpoint 2.9 mg/100g. For 41g: 2.9 × 0.41 = 1.19 → 1.2 mg.
Math-heavy (literature midpoint). Olive oil is a minor but real CoQ10 source.</t>
      </text>
    </comment>
    <comment ref="CK22" authorId="0" shapeId="0">
      <text>
        <t>Creatine muscle-only.</t>
      </text>
    </comment>
    <comment ref="CL22" authorId="0" shapeId="0">
      <text>
        <t>Lithium unknown.</t>
      </text>
    </comment>
    <comment ref="CM22" authorId="0" shapeId="0">
      <text>
        <t>Not probiotic.</t>
      </text>
    </comment>
    <comment ref="CN22" authorId="0" shapeId="0">
      <text>
        <t>No caffeine.</t>
      </text>
    </comment>
    <comment ref="CO22" authorId="0" shapeId="0">
      <text>
        <t>Curcumin turmeric-specific.</t>
      </text>
    </comment>
    <comment ref="CP22" authorId="0" shapeId="0">
      <text>
        <t>No green tea catechins.</t>
      </text>
    </comment>
    <comment ref="CQ22" authorId="0" shapeId="0">
      <text>
        <t>USDA SR Legacy CSV: FDC 171413 Oil, olive: "Tocopherol, gamma: 0.83 mg per 100g". 0.83 × 0.41 = 0.34 mg. TRACE.
CORRECTION: prior value 7mg was wrong — derived from Portuguese study claiming 93-260 mg/kg γ-tocopherol which appears to have been total tocopherol/tocotrienol, not γ-toc alone. USDA measured value is authoritative.</t>
      </text>
    </comment>
    <comment ref="CR22" authorId="0" shapeId="0">
      <text>
        <t>Single ingredient (organic EVOO).</t>
      </text>
    </comment>
    <comment ref="CS22" authorId="0" shapeId="0">
      <text>
        <t>FDA TDS 2018-2020: olive oil (41g) — 68% of all food samples had no detectable HMs. No brand-specific COA found. Writing 0 based on category-level FDA data.</t>
      </text>
    </comment>
    <comment ref="CT22" authorId="0" shapeId="0">
      <text>
        <t>FDA TDS 2018-2020: olive oil (41g) — 68% of all food samples had no detectable HMs. No brand-specific COA found. Writing 0 based on category-level FDA data.</t>
      </text>
    </comment>
    <comment ref="CU22" authorId="0" shapeId="0">
      <text>
        <t>FDA TDS 2018-2020: olive oil (41g) — 68% of all food samples had no detectable HMs. No brand-specific COA found. Writing 0 based on category-level FDA data.</t>
      </text>
    </comment>
    <comment ref="CV22" authorId="0" shapeId="0">
      <text>
        <t>FDA TDS 2018-2020: olive oil (41g) — 68% of all food samples had no detectable HMs. No brand-specific COA found. Writing 0 based on category-level FDA data.</t>
      </text>
    </comment>
    <comment ref="O23" authorId="0" shapeId="0">
      <text>
        <t>Deoiled sunflower lecithin powder: ~375 kcal per 100g (phospholipid calories). 375 × 0.20 = 75 kcal for 20g. Math-heavy (no direct USDA entry for deoiled lecithin powder).</t>
      </text>
    </comment>
    <comment ref="P23" authorId="0" shapeId="0">
      <text>
        <t>Lecithin contains no protein.</t>
      </text>
    </comment>
    <comment ref="Q23" authorId="0" shapeId="0">
      <text>
        <t>No protein in lecithin.</t>
      </text>
    </comment>
    <comment ref="R23" authorId="0" shapeId="0">
      <text>
        <t>No protein in lecithin.</t>
      </text>
    </comment>
    <comment ref="S23" authorId="0" shapeId="0">
      <text>
        <t>No protein in lecithin.</t>
      </text>
    </comment>
    <comment ref="T23" authorId="0" shapeId="0">
      <text>
        <t>No protein in lecithin.</t>
      </text>
    </comment>
    <comment ref="U23" authorId="0" shapeId="0">
      <text>
        <t>No protein in lecithin.</t>
      </text>
    </comment>
    <comment ref="W23" authorId="0" shapeId="0">
      <text>
        <t>Deoiled sunflower lecithin: fat ~10-15g/100g (residual after deoiling). 12 × 0.2 = 2.4 → ~3 g. Includes phospholipid-bound fatty acids. Math-heavy estimate.</t>
      </text>
    </comment>
    <comment ref="X23" authorId="0" shapeId="0">
      <text>
        <t>Sunflower lecithin residual fat (~3g/20g) reflects sunflower oil FA profile: ~11% saturated. 3 × 0.11 = 0.33 g. TRACE. Math-heavy (oil profile applied to lecithin residual).</t>
      </text>
    </comment>
    <comment ref="Y23" authorId="0" shapeId="0">
      <text>
        <t>Sunflower oil ~20% oleic (MUFA). 3 × 0.20 = 0.6 g.</t>
      </text>
    </comment>
    <comment ref="Z23" authorId="0" shapeId="0">
      <text>
        <t>Sunflower oil ~65% linoleic (PUFA). 3 × 0.65 = 1.95 g.</t>
      </text>
    </comment>
    <comment ref="AA23" authorId="0" shapeId="0">
      <text>
        <t>Sunflower oil ~1% ALA. 3 × 0.01 = 0.03 g. TRACE.</t>
      </text>
    </comment>
    <comment ref="AB23" authorId="0" shapeId="0">
      <text>
        <t>Sunflower oil ~65% linoleic = omega-6. 3 × 0.65 = 1.95 g. = PUFA value.</t>
      </text>
    </comment>
    <comment ref="AC23" authorId="0" shapeId="0">
      <text>
        <t>No trans fat.</t>
      </text>
    </comment>
    <comment ref="AD23" authorId="0" shapeId="0">
      <text>
        <t>Deoiled lecithin carbs ~5-10g/100g. 8 × 0.2 = 1.6 → ~2g estimate. Math-heavy.</t>
      </text>
    </comment>
    <comment ref="AE23" authorId="0" shapeId="0">
      <text>
        <t>No sugars in lecithin.</t>
      </text>
    </comment>
    <comment ref="AF23" authorId="0" shapeId="0">
      <text>
        <t>No sugar alcohols.</t>
      </text>
    </comment>
    <comment ref="AG23" authorId="0" shapeId="0">
      <text>
        <t>Formula.</t>
      </text>
    </comment>
    <comment ref="AH23" authorId="0" shapeId="0">
      <text>
        <t>No fiber in lecithin.</t>
      </text>
    </comment>
    <comment ref="AI23" authorId="0" shapeId="0">
      <text>
        <t>Formula.</t>
      </text>
    </comment>
    <comment ref="AJ23" authorId="0" shapeId="0">
      <text>
        <t>Lekithos Organic label (Amazon, search-verified): "1770 mg Phosphatidylcholine per 7g serving" (65 servings per 454g bag = 7g/serving). For 20g: 1770 × (20/7) = 5057 mg PC.
Phosphatidylcholine is ~13% choline by molecular weight (mw 760, choline mw 104). 5057 × 0.137 = 693 mg → conservative at 13%: 657 mg total choline.
Sunflower lecithin is THE major choline source in this shake formulation. Tier 1 brand label.</t>
      </text>
    </comment>
    <comment ref="AK23" authorId="0" shapeId="0">
      <text>
        <t>Deoiled lecithin powder has negligible minerals (phospholipid concentrate, not whole food).</t>
      </text>
    </comment>
    <comment ref="AL23" authorId="0" shapeId="0">
      <text>
        <t>Deoiled lecithin powder has negligible minerals (phospholipid concentrate, not whole food).</t>
      </text>
    </comment>
    <comment ref="AM23" authorId="0" shapeId="0">
      <text>
        <t>Deoiled lecithin powder has negligible minerals (phospholipid concentrate, not whole food).</t>
      </text>
    </comment>
    <comment ref="AN23" authorId="0" shapeId="0">
      <text>
        <t>Deoiled lecithin powder has negligible minerals (phospholipid concentrate, not whole food).</t>
      </text>
    </comment>
    <comment ref="AO23" authorId="0" shapeId="0">
      <text>
        <t>Deoiled lecithin powder has negligible minerals (phospholipid concentrate, not whole food).</t>
      </text>
    </comment>
    <comment ref="AP23" authorId="0" shapeId="0">
      <text>
        <t>Deoiled lecithin powder has negligible minerals (phospholipid concentrate, not whole food).</t>
      </text>
    </comment>
    <comment ref="AQ23" authorId="0" shapeId="0">
      <text>
        <t>Deoiled lecithin powder has negligible minerals (phospholipid concentrate, not whole food).</t>
      </text>
    </comment>
    <comment ref="AR23" authorId="0" shapeId="0">
      <text>
        <t>Deoiled lecithin powder has negligible minerals (phospholipid concentrate, not whole food).</t>
      </text>
    </comment>
    <comment ref="AS23" authorId="0" shapeId="0">
      <text>
        <t>Deoiled lecithin powder has negligible minerals (phospholipid concentrate, not whole food).</t>
      </text>
    </comment>
    <comment ref="AT23" authorId="0" shapeId="0">
      <text>
        <t>Deoiled lecithin powder has negligible minerals (phospholipid concentrate, not whole food).</t>
      </text>
    </comment>
    <comment ref="AU23" authorId="0" shapeId="0">
      <text>
        <t>Deoiled lecithin powder has negligible minerals (phospholipid concentrate, not whole food).</t>
      </text>
    </comment>
    <comment ref="AV23" authorId="0" shapeId="0">
      <text>
        <t>Deoiled lecithin powder has negligible minerals (phospholipid concentrate, not whole food).</t>
      </text>
    </comment>
    <comment ref="AW23" authorId="0" shapeId="0">
      <text>
        <t>Deoiled lecithin powder has negligible minerals (phospholipid concentrate, not whole food).</t>
      </text>
    </comment>
    <comment ref="AX23" authorId="0" shapeId="0">
      <text>
        <t>Deoiled lecithin powder has negligible minerals (phospholipid concentrate, not whole food).</t>
      </text>
    </comment>
    <comment ref="AY23" authorId="0" shapeId="0">
      <text>
        <t>Deoiled lecithin has no vitamins (pure phospholipid concentrate).</t>
      </text>
    </comment>
    <comment ref="AZ23" authorId="0" shapeId="0">
      <text>
        <t>Deoiled lecithin has no vitamins (pure phospholipid concentrate).</t>
      </text>
    </comment>
    <comment ref="BA23" authorId="0" shapeId="0">
      <text>
        <t>Deoiled lecithin has no vitamins (pure phospholipid concentrate).</t>
      </text>
    </comment>
    <comment ref="BB23" authorId="0" shapeId="0">
      <text>
        <t>Deoiled lecithin has no vitamins (pure phospholipid concentrate).</t>
      </text>
    </comment>
    <comment ref="BC23" authorId="0" shapeId="0">
      <text>
        <t>Deoiled lecithin has no vitamins (pure phospholipid concentrate).</t>
      </text>
    </comment>
    <comment ref="BD23" authorId="0" shapeId="0">
      <text>
        <t>Deoiled lecithin has no vitamins (pure phospholipid concentrate).</t>
      </text>
    </comment>
    <comment ref="BE23" authorId="0" shapeId="0">
      <text>
        <t>Deoiled lecithin has no vitamins (pure phospholipid concentrate).</t>
      </text>
    </comment>
    <comment ref="BF23" authorId="0" shapeId="0">
      <text>
        <t>Deoiled lecithin has no vitamins (pure phospholipid concentrate).</t>
      </text>
    </comment>
    <comment ref="BG23" authorId="0" shapeId="0">
      <text>
        <t>Deoiled lecithin has no vitamins (pure phospholipid concentrate).</t>
      </text>
    </comment>
    <comment ref="BH23" authorId="0" shapeId="0">
      <text>
        <t>Deoiled lecithin has no vitamins (pure phospholipid concentrate).</t>
      </text>
    </comment>
    <comment ref="BI23" authorId="0" shapeId="0">
      <text>
        <t>Deoiled lecithin has no vitamins (pure phospholipid concentrate).</t>
      </text>
    </comment>
    <comment ref="BJ23" authorId="0" shapeId="0">
      <text>
        <t>Deoiled lecithin has no vitamins (pure phospholipid concentrate).</t>
      </text>
    </comment>
    <comment ref="BK23" authorId="0" shapeId="0">
      <text>
        <t>Deoiled lecithin has no vitamins (pure phospholipid concentrate).</t>
      </text>
    </comment>
    <comment ref="BL23" authorId="0" shapeId="0">
      <text>
        <t>Deoiled lecithin has no vitamins (pure phospholipid concentrate).</t>
      </text>
    </comment>
    <comment ref="BM23" authorId="0" shapeId="0">
      <text>
        <t>Deoiled lecithin has no vitamins (pure phospholipid concentrate).</t>
      </text>
    </comment>
    <comment ref="BN23" authorId="0" shapeId="0">
      <text>
        <t>Not applicable to isolated deoiled lecithin powder (phospholipid concentrate).</t>
      </text>
    </comment>
    <comment ref="BO23" authorId="0" shapeId="0">
      <text>
        <t>Not applicable to isolated deoiled lecithin powder (phospholipid concentrate).</t>
      </text>
    </comment>
    <comment ref="BP23" authorId="0" shapeId="0">
      <text>
        <t>Not applicable to isolated deoiled lecithin powder (phospholipid concentrate).</t>
      </text>
    </comment>
    <comment ref="BQ23" authorId="0" shapeId="0">
      <text>
        <t>Not applicable to isolated deoiled lecithin powder (phospholipid concentrate).</t>
      </text>
    </comment>
    <comment ref="BR23" authorId="0" shapeId="0">
      <text>
        <t>Not applicable to isolated deoiled lecithin powder (phospholipid concentrate).</t>
      </text>
    </comment>
    <comment ref="BS23" authorId="0" shapeId="0">
      <text>
        <t>Not applicable to isolated deoiled lecithin powder (phospholipid concentrate).</t>
      </text>
    </comment>
    <comment ref="BT23" authorId="0" shapeId="0">
      <text>
        <t>Not applicable to isolated deoiled lecithin powder (phospholipid concentrate).</t>
      </text>
    </comment>
    <comment ref="BU23" authorId="0" shapeId="0">
      <text>
        <t>Not applicable to isolated deoiled lecithin powder (phospholipid concentrate).</t>
      </text>
    </comment>
    <comment ref="BV23" authorId="0" shapeId="0">
      <text>
        <t>Not applicable to isolated deoiled lecithin powder (phospholipid concentrate).</t>
      </text>
    </comment>
    <comment ref="BW23" authorId="0" shapeId="0">
      <text>
        <t>Not applicable to isolated deoiled lecithin powder (phospholipid concentrate).</t>
      </text>
    </comment>
    <comment ref="BX23" authorId="0" shapeId="0">
      <text>
        <t>Not applicable to isolated deoiled lecithin powder (phospholipid concentrate).</t>
      </text>
    </comment>
    <comment ref="BY23" authorId="0" shapeId="0">
      <text>
        <t>Not applicable to isolated deoiled lecithin powder (phospholipid concentrate).</t>
      </text>
    </comment>
    <comment ref="BZ23" authorId="0" shapeId="0">
      <text>
        <t>Not applicable to isolated deoiled lecithin powder (phospholipid concentrate).</t>
      </text>
    </comment>
    <comment ref="CA23" authorId="0" shapeId="0">
      <text>
        <t>Not applicable to isolated deoiled lecithin powder (phospholipid concentrate).</t>
      </text>
    </comment>
    <comment ref="CB23" authorId="0" shapeId="0">
      <text>
        <t>Not applicable to isolated deoiled lecithin powder (phospholipid concentrate).</t>
      </text>
    </comment>
    <comment ref="CC23" authorId="0" shapeId="0">
      <text>
        <t>Not applicable to isolated deoiled lecithin powder (phospholipid concentrate).</t>
      </text>
    </comment>
    <comment ref="CD23" authorId="0" shapeId="0">
      <text>
        <t>Not applicable to isolated deoiled lecithin powder (phospholipid concentrate).</t>
      </text>
    </comment>
    <comment ref="CE23" authorId="0" shapeId="0">
      <text>
        <t>Not applicable to isolated deoiled lecithin powder (phospholipid concentrate).</t>
      </text>
    </comment>
    <comment ref="CF23" authorId="0" shapeId="0">
      <text>
        <t>Not applicable to isolated deoiled lecithin powder (phospholipid concentrate).</t>
      </text>
    </comment>
    <comment ref="CG23" authorId="0" shapeId="0">
      <text>
        <t>Not applicable to isolated deoiled lecithin powder (phospholipid concentrate).</t>
      </text>
    </comment>
    <comment ref="CH23" authorId="0" shapeId="0">
      <text>
        <t>Not applicable to isolated deoiled lecithin powder (phospholipid concentrate).</t>
      </text>
    </comment>
    <comment ref="CI23" authorId="0" shapeId="0">
      <text>
        <t>Not applicable to isolated deoiled lecithin powder (phospholipid concentrate).</t>
      </text>
    </comment>
    <comment ref="CJ23" authorId="0" shapeId="0">
      <text>
        <t>Not applicable to isolated deoiled lecithin powder (phospholipid concentrate).</t>
      </text>
    </comment>
    <comment ref="CK23" authorId="0" shapeId="0">
      <text>
        <t>Not applicable to isolated deoiled lecithin powder (phospholipid concentrate).</t>
      </text>
    </comment>
    <comment ref="CL23" authorId="0" shapeId="0">
      <text>
        <t>Not applicable to isolated deoiled lecithin powder (phospholipid concentrate).</t>
      </text>
    </comment>
    <comment ref="CM23" authorId="0" shapeId="0">
      <text>
        <t>Not applicable to isolated deoiled lecithin powder (phospholipid concentrate).</t>
      </text>
    </comment>
    <comment ref="CN23" authorId="0" shapeId="0">
      <text>
        <t>Not applicable to isolated deoiled lecithin powder (phospholipid concentrate).</t>
      </text>
    </comment>
    <comment ref="CO23" authorId="0" shapeId="0">
      <text>
        <t>Not applicable to isolated deoiled lecithin powder (phospholipid concentrate).</t>
      </text>
    </comment>
    <comment ref="CP23" authorId="0" shapeId="0">
      <text>
        <t>Not applicable to isolated deoiled lecithin powder (phospholipid concentrate).</t>
      </text>
    </comment>
    <comment ref="CQ23" authorId="0" shapeId="0">
      <text>
        <t>Not applicable to isolated deoiled lecithin powder (phospholipid concentrate).</t>
      </text>
    </comment>
    <comment ref="CR23" authorId="0" shapeId="0">
      <text>
        <t>Not applicable to isolated deoiled lecithin powder (phospholipid concentrate).</t>
      </text>
    </comment>
    <comment ref="CS23" authorId="0" shapeId="0">
      <text>
        <t>FDA TDS 2018-2020: sunflower lecithin (20g) — 68% of all food samples had no detectable HMs. No brand-specific COA found. Writing 0 based on category-level FDA data.</t>
      </text>
    </comment>
    <comment ref="CT23" authorId="0" shapeId="0">
      <text>
        <t>FDA TDS 2018-2020: sunflower lecithin (20g) — 68% of all food samples had no detectable HMs. No brand-specific COA found. Writing 0 based on category-level FDA data.</t>
      </text>
    </comment>
    <comment ref="CU23" authorId="0" shapeId="0">
      <text>
        <t>FDA TDS 2018-2020: sunflower lecithin (20g) — 68% of all food samples had no detectable HMs. No brand-specific COA found. Writing 0 based on category-level FDA data.</t>
      </text>
    </comment>
    <comment ref="CV23" authorId="0" shapeId="0">
      <text>
        <t>FDA TDS 2018-2020: sunflower lecithin (20g) — 68% of all food samples had no detectable HMs. No brand-specific COA found. Writing 0 based on category-level FDA data.</t>
      </text>
    </comment>
    <comment ref="O24" authorId="0" shapeId="0">
      <text>
        <t>Salt has 0 calories.</t>
      </text>
    </comment>
    <comment ref="P24" authorId="0" shapeId="0">
      <text>
        <t>Salt contains no macronutrients (pure mineral).</t>
      </text>
    </comment>
    <comment ref="Q24" authorId="0" shapeId="0">
      <text>
        <t>Salt contains no macronutrients (pure mineral).</t>
      </text>
    </comment>
    <comment ref="R24" authorId="0" shapeId="0">
      <text>
        <t>Salt contains no macronutrients (pure mineral).</t>
      </text>
    </comment>
    <comment ref="S24" authorId="0" shapeId="0">
      <text>
        <t>Salt contains no macronutrients (pure mineral).</t>
      </text>
    </comment>
    <comment ref="T24" authorId="0" shapeId="0">
      <text>
        <t>Salt contains no macronutrients (pure mineral).</t>
      </text>
    </comment>
    <comment ref="U24" authorId="0" shapeId="0">
      <text>
        <t>Salt contains no macronutrients (pure mineral).</t>
      </text>
    </comment>
    <comment ref="W24" authorId="0" shapeId="0">
      <text>
        <t>Salt contains no macronutrients (pure mineral).</t>
      </text>
    </comment>
    <comment ref="X24" authorId="0" shapeId="0">
      <text>
        <t>Salt contains no macronutrients (pure mineral).</t>
      </text>
    </comment>
    <comment ref="Y24" authorId="0" shapeId="0">
      <text>
        <t>Salt contains no macronutrients (pure mineral).</t>
      </text>
    </comment>
    <comment ref="Z24" authorId="0" shapeId="0">
      <text>
        <t>Salt contains no macronutrients (pure mineral).</t>
      </text>
    </comment>
    <comment ref="AA24" authorId="0" shapeId="0">
      <text>
        <t>Salt contains no macronutrients (pure mineral).</t>
      </text>
    </comment>
    <comment ref="AB24" authorId="0" shapeId="0">
      <text>
        <t>Salt contains no macronutrients (pure mineral).</t>
      </text>
    </comment>
    <comment ref="AC24" authorId="0" shapeId="0">
      <text>
        <t>Salt contains no macronutrients (pure mineral).</t>
      </text>
    </comment>
    <comment ref="AD24" authorId="0" shapeId="0">
      <text>
        <t>Salt contains no macronutrients (pure mineral).</t>
      </text>
    </comment>
    <comment ref="AE24" authorId="0" shapeId="0">
      <text>
        <t>Salt contains no macronutrients (pure mineral).</t>
      </text>
    </comment>
    <comment ref="AF24" authorId="0" shapeId="0">
      <text>
        <t>Salt contains no macronutrients (pure mineral).</t>
      </text>
    </comment>
    <comment ref="AG24" authorId="0" shapeId="0">
      <text>
        <t>Formula. 0 for salt.</t>
      </text>
    </comment>
    <comment ref="AH24" authorId="0" shapeId="0">
      <text>
        <t>Salt contains no macronutrients (pure mineral).</t>
      </text>
    </comment>
    <comment ref="AI24" authorId="0" shapeId="0">
      <text>
        <t>Formula. 0 for salt.</t>
      </text>
    </comment>
    <comment ref="AJ24" authorId="0" shapeId="0">
      <text>
        <t>No choline in salt.</t>
      </text>
    </comment>
    <comment ref="AK24" authorId="0" shapeId="0">
      <text>
        <t>No calcium in refined salt.</t>
      </text>
    </comment>
    <comment ref="AL24" authorId="0" shapeId="0">
      <text>
        <t>No magnesium.</t>
      </text>
    </comment>
    <comment ref="AM24" authorId="0" shapeId="0">
      <text>
        <t>No potassium.</t>
      </text>
    </comment>
    <comment ref="AN24" authorId="0" shapeId="0">
      <text>
        <t>No phosphorus.</t>
      </text>
    </comment>
    <comment ref="AO24" authorId="2" shapeId="0">
      <text>
        <t>Morton Himalayan Pink Salt: NaCl is ~40% Na. 1g x 0.40 = 400 mg Na. CHANGED: reduced from 1.5g to 1g to get total Na under 2300mg UL.</t>
      </text>
    </comment>
    <comment ref="AP24" authorId="0" shapeId="0">
      <text>
        <t>Trace minerals in pink salt are negligible at 3g.</t>
      </text>
    </comment>
    <comment ref="AQ24" authorId="0" shapeId="0">
      <text>
        <t>Trace minerals in pink salt are negligible at 3g.</t>
      </text>
    </comment>
    <comment ref="AR24" authorId="0" shapeId="0">
      <text>
        <t>Trace minerals in pink salt are negligible at 3g.</t>
      </text>
    </comment>
    <comment ref="AS24" authorId="0" shapeId="0">
      <text>
        <t>Trace minerals in pink salt are negligible at 3g.</t>
      </text>
    </comment>
    <comment ref="AT24" authorId="0" shapeId="0">
      <text>
        <t>Trace minerals in pink salt are negligible at 3g.</t>
      </text>
    </comment>
    <comment ref="AU24" authorId="0" shapeId="0">
      <text>
        <t>Trace minerals in pink salt are negligible at 3g.</t>
      </text>
    </comment>
    <comment ref="AV24" authorId="0" shapeId="0">
      <text>
        <t>Trace minerals in pink salt are negligible at 3g.</t>
      </text>
    </comment>
    <comment ref="AW24" authorId="0" shapeId="0">
      <text>
        <t>Morton Iodized Salt: 45 mcg iodine per 1/4 tsp (1.5g). Thorne multi provides 150 mcg iodine separately so reduced salt iodine is fine.</t>
      </text>
    </comment>
    <comment ref="AX24" authorId="0" shapeId="0">
      <text>
        <t>No boron.</t>
      </text>
    </comment>
    <comment ref="AY24" authorId="0" shapeId="0">
      <text>
        <t>Salt has no vitamins.</t>
      </text>
    </comment>
    <comment ref="AZ24" authorId="0" shapeId="0">
      <text>
        <t>Salt has no vitamins.</t>
      </text>
    </comment>
    <comment ref="BA24" authorId="0" shapeId="0">
      <text>
        <t>Salt has no vitamins.</t>
      </text>
    </comment>
    <comment ref="BB24" authorId="0" shapeId="0">
      <text>
        <t>Salt has no vitamins.</t>
      </text>
    </comment>
    <comment ref="BC24" authorId="0" shapeId="0">
      <text>
        <t>Salt has no vitamins.</t>
      </text>
    </comment>
    <comment ref="BD24" authorId="0" shapeId="0">
      <text>
        <t>Salt has no vitamins.</t>
      </text>
    </comment>
    <comment ref="BE24" authorId="0" shapeId="0">
      <text>
        <t>Salt has no vitamins.</t>
      </text>
    </comment>
    <comment ref="BF24" authorId="0" shapeId="0">
      <text>
        <t>Salt has no vitamins.</t>
      </text>
    </comment>
    <comment ref="BG24" authorId="0" shapeId="0">
      <text>
        <t>Salt has no vitamins.</t>
      </text>
    </comment>
    <comment ref="BH24" authorId="0" shapeId="0">
      <text>
        <t>Salt has no vitamins.</t>
      </text>
    </comment>
    <comment ref="BI24" authorId="0" shapeId="0">
      <text>
        <t>Salt has no vitamins.</t>
      </text>
    </comment>
    <comment ref="BJ24" authorId="0" shapeId="0">
      <text>
        <t>Salt has no vitamins.</t>
      </text>
    </comment>
    <comment ref="BK24" authorId="0" shapeId="0">
      <text>
        <t>Salt has no vitamins.</t>
      </text>
    </comment>
    <comment ref="BL24" authorId="0" shapeId="0">
      <text>
        <t>Salt has no vitamins.</t>
      </text>
    </comment>
    <comment ref="BM24" authorId="0" shapeId="0">
      <text>
        <t>Salt has no vitamins.</t>
      </text>
    </comment>
    <comment ref="BN24" authorId="0" shapeId="0">
      <text>
        <t>Not applicable to salt.</t>
      </text>
    </comment>
    <comment ref="BO24" authorId="0" shapeId="0">
      <text>
        <t>Not applicable to salt.</t>
      </text>
    </comment>
    <comment ref="BP24" authorId="0" shapeId="0">
      <text>
        <t>Not applicable to salt.</t>
      </text>
    </comment>
    <comment ref="BQ24" authorId="0" shapeId="0">
      <text>
        <t>Not applicable to salt.</t>
      </text>
    </comment>
    <comment ref="BR24" authorId="0" shapeId="0">
      <text>
        <t>Not applicable to salt.</t>
      </text>
    </comment>
    <comment ref="BS24" authorId="0" shapeId="0">
      <text>
        <t>Not applicable to salt.</t>
      </text>
    </comment>
    <comment ref="BT24" authorId="0" shapeId="0">
      <text>
        <t>Not applicable to salt.</t>
      </text>
    </comment>
    <comment ref="BU24" authorId="0" shapeId="0">
      <text>
        <t>Not applicable to salt.</t>
      </text>
    </comment>
    <comment ref="BV24" authorId="0" shapeId="0">
      <text>
        <t>Not applicable to salt.</t>
      </text>
    </comment>
    <comment ref="BW24" authorId="0" shapeId="0">
      <text>
        <t>Not applicable to salt.</t>
      </text>
    </comment>
    <comment ref="BX24" authorId="0" shapeId="0">
      <text>
        <t>Not applicable to salt.</t>
      </text>
    </comment>
    <comment ref="BY24" authorId="0" shapeId="0">
      <text>
        <t>Not applicable to salt.</t>
      </text>
    </comment>
    <comment ref="BZ24" authorId="0" shapeId="0">
      <text>
        <t>Not applicable to salt.</t>
      </text>
    </comment>
    <comment ref="CA24" authorId="0" shapeId="0">
      <text>
        <t>Not applicable to salt.</t>
      </text>
    </comment>
    <comment ref="CB24" authorId="0" shapeId="0">
      <text>
        <t>Not applicable to salt.</t>
      </text>
    </comment>
    <comment ref="CC24" authorId="0" shapeId="0">
      <text>
        <t>Not applicable to salt.</t>
      </text>
    </comment>
    <comment ref="CD24" authorId="0" shapeId="0">
      <text>
        <t>Not applicable to salt.</t>
      </text>
    </comment>
    <comment ref="CE24" authorId="0" shapeId="0">
      <text>
        <t>Not applicable to salt.</t>
      </text>
    </comment>
    <comment ref="CF24" authorId="0" shapeId="0">
      <text>
        <t>Not applicable to salt.</t>
      </text>
    </comment>
    <comment ref="CG24" authorId="0" shapeId="0">
      <text>
        <t>Not applicable to salt.</t>
      </text>
    </comment>
    <comment ref="CH24" authorId="0" shapeId="0">
      <text>
        <t>Not applicable to salt.</t>
      </text>
    </comment>
    <comment ref="CI24" authorId="0" shapeId="0">
      <text>
        <t>Not applicable to salt.</t>
      </text>
    </comment>
    <comment ref="CJ24" authorId="0" shapeId="0">
      <text>
        <t>Not applicable to salt.</t>
      </text>
    </comment>
    <comment ref="CK24" authorId="0" shapeId="0">
      <text>
        <t>Not applicable to salt.</t>
      </text>
    </comment>
    <comment ref="CL24" authorId="0" shapeId="0">
      <text>
        <t>Not applicable to salt.</t>
      </text>
    </comment>
    <comment ref="CM24" authorId="0" shapeId="0">
      <text>
        <t>Not applicable to salt.</t>
      </text>
    </comment>
    <comment ref="CN24" authorId="0" shapeId="0">
      <text>
        <t>Not applicable to salt.</t>
      </text>
    </comment>
    <comment ref="CO24" authorId="0" shapeId="0">
      <text>
        <t>Not applicable to salt.</t>
      </text>
    </comment>
    <comment ref="CP24" authorId="0" shapeId="0">
      <text>
        <t>Not applicable to salt.</t>
      </text>
    </comment>
    <comment ref="CQ24" authorId="0" shapeId="0">
      <text>
        <t>Not applicable to salt.</t>
      </text>
    </comment>
    <comment ref="CR24" authorId="0" shapeId="0">
      <text>
        <t>Not applicable to salt.</t>
      </text>
    </comment>
    <comment ref="CS24" authorId="0" shapeId="0">
      <text>
        <t>Morton is a refined salt product. Himalayan pink salt has trace minerals including trace Pb but at refined-salt levels these are negligible (&lt;0.1 µg per 3g). Written as 0.</t>
      </text>
    </comment>
    <comment ref="CT24" authorId="0" shapeId="0">
      <text>
        <t>Cd negligible in refined salt. 0.</t>
      </text>
    </comment>
    <comment ref="CU24" authorId="0" shapeId="0">
      <text>
        <t>As negligible in refined salt. 0.</t>
      </text>
    </comment>
    <comment ref="CV24" authorId="0" shapeId="0">
      <text>
        <t>Hg negligible in refined salt. 0.</t>
      </text>
    </comment>
    <comment ref="O25" authorId="0" shapeId="0">
      <text>
        <t>Vanilla extract (USDA): ~288 kcal per 100g (mostly from 35% alcohol). 288 × 0.052 = 15 kcal for 5ml. Minimal contribution.</t>
      </text>
    </comment>
    <comment ref="P25" authorId="0" shapeId="0">
      <text>
        <t>Negligible protein in vanilla extract.</t>
      </text>
    </comment>
    <comment ref="Q25" authorId="0" shapeId="0">
      <text>
        <t>No protein.</t>
      </text>
    </comment>
    <comment ref="R25" authorId="0" shapeId="0">
      <text>
        <t>No protein.</t>
      </text>
    </comment>
    <comment ref="S25" authorId="0" shapeId="0">
      <text>
        <t>No protein.</t>
      </text>
    </comment>
    <comment ref="T25" authorId="0" shapeId="0">
      <text>
        <t>No protein.</t>
      </text>
    </comment>
    <comment ref="U25" authorId="0" shapeId="0">
      <text>
        <t>No protein.</t>
      </text>
    </comment>
    <comment ref="W25" authorId="0" shapeId="0">
      <text>
        <t>Negligible fat.</t>
      </text>
    </comment>
    <comment ref="X25" authorId="0" shapeId="0">
      <text>
        <t>No fat subtypes.</t>
      </text>
    </comment>
    <comment ref="Y25" authorId="0" shapeId="0">
      <text>
        <t>No fat subtypes.</t>
      </text>
    </comment>
    <comment ref="Z25" authorId="0" shapeId="0">
      <text>
        <t>No fat subtypes.</t>
      </text>
    </comment>
    <comment ref="AA25" authorId="0" shapeId="0">
      <text>
        <t>No fat subtypes.</t>
      </text>
    </comment>
    <comment ref="AB25" authorId="0" shapeId="0">
      <text>
        <t>No fat subtypes.</t>
      </text>
    </comment>
    <comment ref="AC25" authorId="0" shapeId="0">
      <text>
        <t>No fat subtypes.</t>
      </text>
    </comment>
    <comment ref="AD25" authorId="0" shapeId="0">
      <text>
        <t>Vanilla extract: ~12.65g carbs per 100g. 12.65 × 0.052 = 0.66 g. TRACE.</t>
      </text>
    </comment>
    <comment ref="AE25" authorId="0" shapeId="0">
      <text>
        <t>Vanilla extract: sugars 12.65g per 100g. 12.65 × 0.052 = 0.66 g (natural vanilla sugars). TRACE.</t>
      </text>
    </comment>
    <comment ref="AF25" authorId="0" shapeId="0">
      <text>
        <t>No sugar alcohols.</t>
      </text>
    </comment>
    <comment ref="AG25" authorId="0" shapeId="0">
      <text>
        <t>Formula.</t>
      </text>
    </comment>
    <comment ref="AH25" authorId="0" shapeId="0">
      <text>
        <t>No fiber.</t>
      </text>
    </comment>
    <comment ref="AI25" authorId="0" shapeId="0">
      <text>
        <t>Formula.</t>
      </text>
    </comment>
    <comment ref="AJ25" authorId="0" shapeId="0">
      <text>
        <t>Vanilla extract at 5ml (1 tsp) contributes negligible minerals/vitamins.</t>
      </text>
    </comment>
    <comment ref="AK25" authorId="0" shapeId="0">
      <text>
        <t>Vanilla extract at 5ml (1 tsp) contributes negligible minerals/vitamins.</t>
      </text>
    </comment>
    <comment ref="AL25" authorId="0" shapeId="0">
      <text>
        <t>Vanilla extract at 5ml (1 tsp) contributes negligible minerals/vitamins.</t>
      </text>
    </comment>
    <comment ref="AM25" authorId="0" shapeId="0">
      <text>
        <t>Vanilla extract at 5ml (1 tsp) contributes negligible minerals/vitamins.</t>
      </text>
    </comment>
    <comment ref="AN25" authorId="0" shapeId="0">
      <text>
        <t>Vanilla extract at 5ml (1 tsp) contributes negligible minerals/vitamins.</t>
      </text>
    </comment>
    <comment ref="AO25" authorId="0" shapeId="0">
      <text>
        <t>Vanilla extract at 5ml (1 tsp) contributes negligible minerals/vitamins.</t>
      </text>
    </comment>
    <comment ref="AP25" authorId="0" shapeId="0">
      <text>
        <t>Vanilla extract at 5ml (1 tsp) contributes negligible minerals/vitamins.</t>
      </text>
    </comment>
    <comment ref="AQ25" authorId="0" shapeId="0">
      <text>
        <t>Vanilla extract at 5ml (1 tsp) contributes negligible minerals/vitamins.</t>
      </text>
    </comment>
    <comment ref="AR25" authorId="0" shapeId="0">
      <text>
        <t>Vanilla extract at 5ml (1 tsp) contributes negligible minerals/vitamins.</t>
      </text>
    </comment>
    <comment ref="AS25" authorId="0" shapeId="0">
      <text>
        <t>Vanilla extract at 5ml (1 tsp) contributes negligible minerals/vitamins.</t>
      </text>
    </comment>
    <comment ref="AT25" authorId="0" shapeId="0">
      <text>
        <t>Vanilla extract at 5ml (1 tsp) contributes negligible minerals/vitamins.</t>
      </text>
    </comment>
    <comment ref="AU25" authorId="0" shapeId="0">
      <text>
        <t>Vanilla extract at 5ml (1 tsp) contributes negligible minerals/vitamins.</t>
      </text>
    </comment>
    <comment ref="AV25" authorId="0" shapeId="0">
      <text>
        <t>Vanilla extract at 5ml (1 tsp) contributes negligible minerals/vitamins.</t>
      </text>
    </comment>
    <comment ref="AW25" authorId="0" shapeId="0">
      <text>
        <t>Vanilla extract at 5ml (1 tsp) contributes negligible minerals/vitamins.</t>
      </text>
    </comment>
    <comment ref="AX25" authorId="0" shapeId="0">
      <text>
        <t>Vanilla extract at 5ml (1 tsp) contributes negligible minerals/vitamins.</t>
      </text>
    </comment>
    <comment ref="AY25" authorId="0" shapeId="0">
      <text>
        <t>Vanilla extract at 5ml (1 tsp) contributes negligible minerals/vitamins.</t>
      </text>
    </comment>
    <comment ref="AZ25" authorId="0" shapeId="0">
      <text>
        <t>Vanilla extract at 5ml (1 tsp) contributes negligible minerals/vitamins.</t>
      </text>
    </comment>
    <comment ref="BA25" authorId="0" shapeId="0">
      <text>
        <t>Vanilla extract at 5ml (1 tsp) contributes negligible minerals/vitamins.</t>
      </text>
    </comment>
    <comment ref="BB25" authorId="0" shapeId="0">
      <text>
        <t>Vanilla extract at 5ml (1 tsp) contributes negligible minerals/vitamins.</t>
      </text>
    </comment>
    <comment ref="BC25" authorId="0" shapeId="0">
      <text>
        <t>Vanilla extract at 5ml (1 tsp) contributes negligible minerals/vitamins.</t>
      </text>
    </comment>
    <comment ref="BD25" authorId="0" shapeId="0">
      <text>
        <t>Vanilla extract at 5ml (1 tsp) contributes negligible minerals/vitamins.</t>
      </text>
    </comment>
    <comment ref="BE25" authorId="0" shapeId="0">
      <text>
        <t>Vanilla extract at 5ml (1 tsp) contributes negligible minerals/vitamins.</t>
      </text>
    </comment>
    <comment ref="BF25" authorId="0" shapeId="0">
      <text>
        <t>Vanilla extract at 5ml (1 tsp) contributes negligible minerals/vitamins.</t>
      </text>
    </comment>
    <comment ref="BG25" authorId="0" shapeId="0">
      <text>
        <t>Vanilla extract at 5ml (1 tsp) contributes negligible minerals/vitamins.</t>
      </text>
    </comment>
    <comment ref="BH25" authorId="0" shapeId="0">
      <text>
        <t>Vanilla extract at 5ml (1 tsp) contributes negligible minerals/vitamins.</t>
      </text>
    </comment>
    <comment ref="BI25" authorId="0" shapeId="0">
      <text>
        <t>Vanilla extract at 5ml (1 tsp) contributes negligible minerals/vitamins.</t>
      </text>
    </comment>
    <comment ref="BJ25" authorId="0" shapeId="0">
      <text>
        <t>Vanilla extract at 5ml (1 tsp) contributes negligible minerals/vitamins.</t>
      </text>
    </comment>
    <comment ref="BK25" authorId="0" shapeId="0">
      <text>
        <t>Vanilla extract at 5ml (1 tsp) contributes negligible minerals/vitamins.</t>
      </text>
    </comment>
    <comment ref="BL25" authorId="0" shapeId="0">
      <text>
        <t>Vanilla extract at 5ml (1 tsp) contributes negligible minerals/vitamins.</t>
      </text>
    </comment>
    <comment ref="BM25" authorId="0" shapeId="0">
      <text>
        <t>Vanilla extract at 5ml (1 tsp) contributes negligible minerals/vitamins.</t>
      </text>
    </comment>
    <comment ref="BN25" authorId="0" shapeId="0">
      <text>
        <t>Vanilla extract at 5ml has negligible phytonutrients and no heavy metals concern.</t>
      </text>
    </comment>
    <comment ref="BO25" authorId="0" shapeId="0">
      <text>
        <t>Vanilla extract at 5ml has negligible phytonutrients and no heavy metals concern.</t>
      </text>
    </comment>
    <comment ref="BP25" authorId="0" shapeId="0">
      <text>
        <t>Vanilla extract at 5ml has negligible phytonutrients and no heavy metals concern.</t>
      </text>
    </comment>
    <comment ref="BQ25" authorId="0" shapeId="0">
      <text>
        <t>Vanilla extract at 5ml has negligible phytonutrients and no heavy metals concern.</t>
      </text>
    </comment>
    <comment ref="BR25" authorId="0" shapeId="0">
      <text>
        <t>Vanilla extract at 5ml has negligible phytonutrients and no heavy metals concern.</t>
      </text>
    </comment>
    <comment ref="BS25" authorId="0" shapeId="0">
      <text>
        <t>Vanilla extract at 5ml has negligible phytonutrients and no heavy metals concern.</t>
      </text>
    </comment>
    <comment ref="BT25" authorId="0" shapeId="0">
      <text>
        <t>Vanilla extract at 5ml has negligible phytonutrients and no heavy metals concern.</t>
      </text>
    </comment>
    <comment ref="BU25" authorId="0" shapeId="0">
      <text>
        <t>Vanilla extract at 5ml has negligible phytonutrients and no heavy metals concern.</t>
      </text>
    </comment>
    <comment ref="BV25" authorId="0" shapeId="0">
      <text>
        <t>Vanilla extract at 5ml has negligible phytonutrients and no heavy metals concern.</t>
      </text>
    </comment>
    <comment ref="BW25" authorId="0" shapeId="0">
      <text>
        <t>Vanilla extract at 5ml has negligible phytonutrients and no heavy metals concern.</t>
      </text>
    </comment>
    <comment ref="BX25" authorId="0" shapeId="0">
      <text>
        <t>Vanilla extract at 5ml has negligible phytonutrients and no heavy metals concern.</t>
      </text>
    </comment>
    <comment ref="BY25" authorId="0" shapeId="0">
      <text>
        <t>Vanilla extract at 5ml has negligible phytonutrients and no heavy metals concern.</t>
      </text>
    </comment>
    <comment ref="BZ25" authorId="0" shapeId="0">
      <text>
        <t>Vanilla extract at 5ml has negligible phytonutrients and no heavy metals concern.</t>
      </text>
    </comment>
    <comment ref="CA25" authorId="0" shapeId="0">
      <text>
        <t>Vanilla extract at 5ml has negligible phytonutrients and no heavy metals concern.</t>
      </text>
    </comment>
    <comment ref="CB25" authorId="0" shapeId="0">
      <text>
        <t>Vanilla extract at 5ml has negligible phytonutrients and no heavy metals concern.</t>
      </text>
    </comment>
    <comment ref="CC25" authorId="0" shapeId="0">
      <text>
        <t>Vanilla extract at 5ml has negligible phytonutrients and no heavy metals concern.</t>
      </text>
    </comment>
    <comment ref="CD25" authorId="0" shapeId="0">
      <text>
        <t>Vanilla extract at 5ml has negligible phytonutrients and no heavy metals concern.</t>
      </text>
    </comment>
    <comment ref="CE25" authorId="0" shapeId="0">
      <text>
        <t>Vanilla extract at 5ml has negligible phytonutrients and no heavy metals concern.</t>
      </text>
    </comment>
    <comment ref="CF25" authorId="0" shapeId="0">
      <text>
        <t>Vanilla extract at 5ml has negligible phytonutrients and no heavy metals concern.</t>
      </text>
    </comment>
    <comment ref="CG25" authorId="0" shapeId="0">
      <text>
        <t>Vanilla extract at 5ml has negligible phytonutrients and no heavy metals concern.</t>
      </text>
    </comment>
    <comment ref="CH25" authorId="0" shapeId="0">
      <text>
        <t>Vanilla extract at 5ml has negligible phytonutrients and no heavy metals concern.</t>
      </text>
    </comment>
    <comment ref="CI25" authorId="0" shapeId="0">
      <text>
        <t>Vanilla extract at 5ml has negligible phytonutrients and no heavy metals concern.</t>
      </text>
    </comment>
    <comment ref="CJ25" authorId="0" shapeId="0">
      <text>
        <t>Vanilla extract at 5ml has negligible phytonutrients and no heavy metals concern.</t>
      </text>
    </comment>
    <comment ref="CK25" authorId="0" shapeId="0">
      <text>
        <t>Vanilla extract at 5ml has negligible phytonutrients and no heavy metals concern.</t>
      </text>
    </comment>
    <comment ref="CL25" authorId="0" shapeId="0">
      <text>
        <t>Vanilla extract at 5ml has negligible phytonutrients and no heavy metals concern.</t>
      </text>
    </comment>
    <comment ref="CM25" authorId="0" shapeId="0">
      <text>
        <t>Vanilla extract at 5ml has negligible phytonutrients and no heavy metals concern.</t>
      </text>
    </comment>
    <comment ref="CN25" authorId="0" shapeId="0">
      <text>
        <t>Vanilla extract at 5ml has negligible phytonutrients and no heavy metals concern.</t>
      </text>
    </comment>
    <comment ref="CO25" authorId="0" shapeId="0">
      <text>
        <t>Vanilla extract at 5ml has negligible phytonutrients and no heavy metals concern.</t>
      </text>
    </comment>
    <comment ref="CP25" authorId="0" shapeId="0">
      <text>
        <t>Vanilla extract at 5ml has negligible phytonutrients and no heavy metals concern.</t>
      </text>
    </comment>
    <comment ref="CQ25" authorId="0" shapeId="0">
      <text>
        <t>Vanilla extract at 5ml has negligible phytonutrients and no heavy metals concern.</t>
      </text>
    </comment>
    <comment ref="CR25" authorId="0" shapeId="0">
      <text>
        <t>Vanilla extract at 5ml has negligible phytonutrients and no heavy metals concern.</t>
      </text>
    </comment>
    <comment ref="CS25" authorId="0" shapeId="0">
      <text>
        <t>Vanilla extract at 5ml has negligible phytonutrients and no heavy metals concern.</t>
      </text>
    </comment>
    <comment ref="CT25" authorId="0" shapeId="0">
      <text>
        <t>Vanilla extract at 5ml has negligible phytonutrients and no heavy metals concern.</t>
      </text>
    </comment>
    <comment ref="CU25" authorId="0" shapeId="0">
      <text>
        <t>Vanilla extract at 5ml has negligible phytonutrients and no heavy metals concern.</t>
      </text>
    </comment>
    <comment ref="CV25" authorId="0" shapeId="0">
      <text>
        <t>Vanilla extract at 5ml has negligible phytonutrients and no heavy metals concern.</t>
      </text>
    </comment>
    <comment ref="C26" authorId="1" shapeId="0">
      <text>
        <t>HEAVY METALS: Frontier Co-op Ceylon failed lead+chromium test (Lead Safe Mama 2024). Simply Organic cleaner. Verify batch COA.</t>
      </text>
    </comment>
    <comment ref="O26" authorId="0" shapeId="0">
      <text>
        <t>Cinnamon: 247 kcal/100g. 247 × 0.02 = 4.9 → 5 kcal. TRACE.</t>
      </text>
    </comment>
    <comment ref="P26" authorId="0" shapeId="0">
      <text>
        <t>Cinnamon: 4g protein/100g. 4 × 0.02 = 0.08 g. TRACE.</t>
      </text>
    </comment>
    <comment ref="Q26" authorId="0" shapeId="0">
      <text>
        <t>Not applicable.</t>
      </text>
    </comment>
    <comment ref="R26" authorId="0" shapeId="0">
      <text>
        <t>Not applicable.</t>
      </text>
    </comment>
    <comment ref="S26" authorId="0" shapeId="0">
      <text>
        <t>Not applicable.</t>
      </text>
    </comment>
    <comment ref="T26" authorId="0" shapeId="0">
      <text>
        <t>Not applicable.</t>
      </text>
    </comment>
    <comment ref="U26" authorId="0" shapeId="0">
      <text>
        <t>Plant protein. TRACE.</t>
      </text>
    </comment>
    <comment ref="W26" authorId="0" shapeId="0">
      <text>
        <t>Fat: 1.24g/100g × 0.02 = 0.025 g. TRACE.</t>
      </text>
    </comment>
    <comment ref="X26" authorId="0" shapeId="0">
      <text>
        <t>Negligible fat subtypes at 2g.</t>
      </text>
    </comment>
    <comment ref="Y26" authorId="0" shapeId="0">
      <text>
        <t>Negligible fat subtypes at 2g.</t>
      </text>
    </comment>
    <comment ref="Z26" authorId="0" shapeId="0">
      <text>
        <t>Negligible fat subtypes at 2g.</t>
      </text>
    </comment>
    <comment ref="AA26" authorId="0" shapeId="0">
      <text>
        <t>Negligible fat subtypes at 2g.</t>
      </text>
    </comment>
    <comment ref="AB26" authorId="0" shapeId="0">
      <text>
        <t>Negligible fat subtypes at 2g.</t>
      </text>
    </comment>
    <comment ref="AC26" authorId="0" shapeId="0">
      <text>
        <t>Negligible fat subtypes at 2g.</t>
      </text>
    </comment>
    <comment ref="AD26" authorId="0" shapeId="0">
      <text>
        <t>Carbs: 80.6g/100g × 0.02 = 1.61 g.</t>
      </text>
    </comment>
    <comment ref="AE26" authorId="0" shapeId="0">
      <text>
        <t>Sugars: 2.17g/100g × 0.02 = 0.04 g. TRACE.</t>
      </text>
    </comment>
    <comment ref="AF26" authorId="0" shapeId="0">
      <text>
        <t>No sugar alcohols.</t>
      </text>
    </comment>
    <comment ref="AG26" authorId="0" shapeId="0">
      <text>
        <t>Formula.</t>
      </text>
    </comment>
    <comment ref="AH26" authorId="0" shapeId="0">
      <text>
        <t>Fiber: 53.1g/100g × 0.02 = 1.06 g. Cinnamon is very high fiber.</t>
      </text>
    </comment>
    <comment ref="AI26" authorId="0" shapeId="0">
      <text>
        <t>Formula.</t>
      </text>
    </comment>
    <comment ref="AJ26" authorId="0" shapeId="0">
      <text>
        <t>Choline: 11mg/100g × 0.02 = 0.22 mg. TRACE.</t>
      </text>
    </comment>
    <comment ref="AK26" authorId="0" shapeId="0">
      <text>
        <t>Ca: 1002mg/100g × 0.02 = 20 mg.</t>
      </text>
    </comment>
    <comment ref="AL26" authorId="0" shapeId="0">
      <text>
        <t>Mg: 60mg/100g × 0.02 = 1.2 mg. TRACE.</t>
      </text>
    </comment>
    <comment ref="AM26" authorId="0" shapeId="0">
      <text>
        <t>K: 431mg/100g × 0.02 = 8.6 mg.</t>
      </text>
    </comment>
    <comment ref="AN26" authorId="0" shapeId="0">
      <text>
        <t>P: 64mg/100g × 0.02 = 1.28 mg. TRACE.</t>
      </text>
    </comment>
    <comment ref="AO26" authorId="0" shapeId="0">
      <text>
        <t>Na: 10mg/100g × 0.02 = 0.2 mg. TRACE.</t>
      </text>
    </comment>
    <comment ref="AP26" authorId="0" shapeId="0">
      <text>
        <t>Mo unknown.</t>
      </text>
    </comment>
    <comment ref="AQ26" authorId="0" shapeId="0">
      <text>
        <t>Fe: 8.32mg/100g × 0.02 = 0.17 mg. TRACE.</t>
      </text>
    </comment>
    <comment ref="AR26" authorId="0" shapeId="0">
      <text>
        <t>Zn: 1.83mg/100g × 0.02 = 0.04 mg. TRACE.</t>
      </text>
    </comment>
    <comment ref="AS26" authorId="0" shapeId="0">
      <text>
        <t>Se: 3.1µg/100g × 0.02 = 0.06 µg. TRACE.</t>
      </text>
    </comment>
    <comment ref="AT26" authorId="0" shapeId="0">
      <text>
        <t>Cu: 339µg/100g × 0.02 = 6.8 µg. TRACE.</t>
      </text>
    </comment>
    <comment ref="AU26" authorId="0" shapeId="0">
      <text>
        <t>Mn: 17.466 mg/100g × 0.02 = 0.349 mg. Cinnamon is extremely Mn-dense!</t>
      </text>
    </comment>
    <comment ref="AV26" authorId="0" shapeId="0">
      <text>
        <t>Unknown at 2g cinnamon.</t>
      </text>
    </comment>
    <comment ref="AW26" authorId="0" shapeId="0">
      <text>
        <t>Unknown at 2g cinnamon.</t>
      </text>
    </comment>
    <comment ref="AX26" authorId="0" shapeId="0">
      <text>
        <t>Unknown at 2g cinnamon.</t>
      </text>
    </comment>
    <comment ref="AY26" authorId="0" shapeId="0">
      <text>
        <t>All vitamins negligible at 2g cinnamon.</t>
      </text>
    </comment>
    <comment ref="AZ26" authorId="0" shapeId="0">
      <text>
        <t>All vitamins negligible at 2g cinnamon.</t>
      </text>
    </comment>
    <comment ref="BA26" authorId="0" shapeId="0">
      <text>
        <t>All vitamins negligible at 2g cinnamon.</t>
      </text>
    </comment>
    <comment ref="BB26" authorId="0" shapeId="0">
      <text>
        <t>All vitamins negligible at 2g cinnamon.</t>
      </text>
    </comment>
    <comment ref="BC26" authorId="0" shapeId="0">
      <text>
        <t>All vitamins negligible at 2g cinnamon.</t>
      </text>
    </comment>
    <comment ref="BD26" authorId="0" shapeId="0">
      <text>
        <t>All vitamins negligible at 2g cinnamon.</t>
      </text>
    </comment>
    <comment ref="BE26" authorId="0" shapeId="0">
      <text>
        <t>All vitamins negligible at 2g cinnamon.</t>
      </text>
    </comment>
    <comment ref="BF26" authorId="0" shapeId="0">
      <text>
        <t>All vitamins negligible at 2g cinnamon.</t>
      </text>
    </comment>
    <comment ref="BG26" authorId="0" shapeId="0">
      <text>
        <t>All vitamins negligible at 2g cinnamon.</t>
      </text>
    </comment>
    <comment ref="BH26" authorId="0" shapeId="0">
      <text>
        <t>All vitamins negligible at 2g cinnamon.</t>
      </text>
    </comment>
    <comment ref="BI26" authorId="0" shapeId="0">
      <text>
        <t>All vitamins negligible at 2g cinnamon.</t>
      </text>
    </comment>
    <comment ref="BJ26" authorId="0" shapeId="0">
      <text>
        <t>All vitamins negligible at 2g cinnamon.</t>
      </text>
    </comment>
    <comment ref="BK26" authorId="0" shapeId="0">
      <text>
        <t>All vitamins negligible at 2g cinnamon.</t>
      </text>
    </comment>
    <comment ref="BL26" authorId="0" shapeId="0">
      <text>
        <t>All vitamins negligible at 2g cinnamon.</t>
      </text>
    </comment>
    <comment ref="BM26" authorId="0" shapeId="0">
      <text>
        <t>All vitamins negligible at 2g cinnamon.</t>
      </text>
    </comment>
    <comment ref="BN26" authorId="0" shapeId="0">
      <text>
        <t>Negligible at 2g serving.</t>
      </text>
    </comment>
    <comment ref="BO26" authorId="0" shapeId="0">
      <text>
        <t>Negligible at 2g serving.</t>
      </text>
    </comment>
    <comment ref="BP26" authorId="0" shapeId="0">
      <text>
        <t>Negligible at 2g serving.</t>
      </text>
    </comment>
    <comment ref="BQ26" authorId="0" shapeId="0">
      <text>
        <t>Negligible at 2g serving.</t>
      </text>
    </comment>
    <comment ref="BR26" authorId="0" shapeId="0">
      <text>
        <t>Negligible at 2g serving.</t>
      </text>
    </comment>
    <comment ref="BS26" authorId="0" shapeId="0">
      <text>
        <t>Negligible at 2g serving.</t>
      </text>
    </comment>
    <comment ref="BT26" authorId="0" shapeId="0">
      <text>
        <t>Negligible at 2g serving.</t>
      </text>
    </comment>
    <comment ref="BU26" authorId="0" shapeId="0">
      <text>
        <t>Negligible at 2g serving.</t>
      </text>
    </comment>
    <comment ref="BV26" authorId="0" shapeId="0">
      <text>
        <t>Negligible at 2g serving.</t>
      </text>
    </comment>
    <comment ref="BW26" authorId="0" shapeId="0">
      <text>
        <t>Negligible at 2g serving.</t>
      </text>
    </comment>
    <comment ref="BX26" authorId="0" shapeId="0">
      <text>
        <t>Negligible at 2g serving.</t>
      </text>
    </comment>
    <comment ref="BY26" authorId="0" shapeId="0">
      <text>
        <t>Negligible at 2g serving.</t>
      </text>
    </comment>
    <comment ref="BZ26" authorId="0" shapeId="0">
      <text>
        <t>Negligible at 2g serving.</t>
      </text>
    </comment>
    <comment ref="CA26" authorId="0" shapeId="0">
      <text>
        <t>Negligible at 2g serving.</t>
      </text>
    </comment>
    <comment ref="CB26" authorId="0" shapeId="0">
      <text>
        <t>Negligible at 2g serving.</t>
      </text>
    </comment>
    <comment ref="CC26" authorId="0" shapeId="0">
      <text>
        <t>Negligible at 2g serving.</t>
      </text>
    </comment>
    <comment ref="CD26" authorId="0" shapeId="0">
      <text>
        <t>Negligible at 2g serving.</t>
      </text>
    </comment>
    <comment ref="CE26" authorId="0" shapeId="0">
      <text>
        <t>Negligible at 2g serving.</t>
      </text>
    </comment>
    <comment ref="CF26" authorId="0" shapeId="0">
      <text>
        <t>Negligible at 2g serving.</t>
      </text>
    </comment>
    <comment ref="CG26" authorId="0" shapeId="0">
      <text>
        <t>Negligible at 2g serving.</t>
      </text>
    </comment>
    <comment ref="CH26" authorId="0" shapeId="0">
      <text>
        <t>Negligible at 2g serving.</t>
      </text>
    </comment>
    <comment ref="CI26" authorId="0" shapeId="0">
      <text>
        <t>Negligible at 2g serving.</t>
      </text>
    </comment>
    <comment ref="CJ26" authorId="0" shapeId="0">
      <text>
        <t>Negligible at 2g serving.</t>
      </text>
    </comment>
    <comment ref="CK26" authorId="0" shapeId="0">
      <text>
        <t>Negligible at 2g serving.</t>
      </text>
    </comment>
    <comment ref="CL26" authorId="0" shapeId="0">
      <text>
        <t>Negligible at 2g serving.</t>
      </text>
    </comment>
    <comment ref="CM26" authorId="0" shapeId="0">
      <text>
        <t>Negligible at 2g serving.</t>
      </text>
    </comment>
    <comment ref="CN26" authorId="0" shapeId="0">
      <text>
        <t>Negligible at 2g serving.</t>
      </text>
    </comment>
    <comment ref="CO26" authorId="0" shapeId="0">
      <text>
        <t>Negligible at 2g serving.</t>
      </text>
    </comment>
    <comment ref="CP26" authorId="0" shapeId="0">
      <text>
        <t>Negligible at 2g serving.</t>
      </text>
    </comment>
    <comment ref="CQ26" authorId="0" shapeId="0">
      <text>
        <t>Negligible at 2g serving.</t>
      </text>
    </comment>
    <comment ref="CR26" authorId="0" shapeId="0">
      <text>
        <t>Negligible at 2g serving.</t>
      </text>
    </comment>
    <comment ref="CS26" authorId="0" shapeId="0">
      <text>
        <t>FDA TDS 2018-2020: cinnamon (2g) in low-risk category. 68% of all foods had no detectable HMs; fruits/spices at small servings contribute negligible HM exposure. Writing 0.</t>
      </text>
    </comment>
    <comment ref="CT26" authorId="0" shapeId="0">
      <text>
        <t>FDA TDS 2018-2020: cinnamon (2g) in low-risk category. 68% of all foods had no detectable HMs; fruits/spices at small servings contribute negligible HM exposure. Writing 0.</t>
      </text>
    </comment>
    <comment ref="CU26" authorId="0" shapeId="0">
      <text>
        <t>FDA TDS 2018-2020: cinnamon (2g) in low-risk category. 68% of all foods had no detectable HMs; fruits/spices at small servings contribute negligible HM exposure. Writing 0.</t>
      </text>
    </comment>
    <comment ref="CV26" authorId="0" shapeId="0">
      <text>
        <t>FDA TDS 2018-2020: cinnamon (2g) in low-risk category. 68% of all foods had no detectable HMs; fruits/spices at small servings contribute negligible HM exposure. Writing 0.</t>
      </text>
    </comment>
    <comment ref="O27" authorId="0" shapeId="0">
      <text>
        <t>Monk fruit liquid extract (1ml = ~15 drops): zero-calorie sweetener with negligible macro/micro contribution. 2 ingredients: monk fruit extract + organic cane alcohol. All values 0 at 1ml serving.</t>
      </text>
    </comment>
    <comment ref="P27" authorId="0" shapeId="0">
      <text>
        <t>Monk fruit liquid extract (1ml = ~15 drops): zero-calorie sweetener with negligible macro/micro contribution. 2 ingredients: monk fruit extract + organic cane alcohol. All values 0 at 1ml serving.</t>
      </text>
    </comment>
    <comment ref="Q27" authorId="0" shapeId="0">
      <text>
        <t>Monk fruit liquid extract (1ml = ~15 drops): zero-calorie sweetener with negligible macro/micro contribution. 2 ingredients: monk fruit extract + organic cane alcohol. All values 0 at 1ml serving.</t>
      </text>
    </comment>
    <comment ref="R27" authorId="0" shapeId="0">
      <text>
        <t>Monk fruit liquid extract (1ml = ~15 drops): zero-calorie sweetener with negligible macro/micro contribution. 2 ingredients: monk fruit extract + organic cane alcohol. All values 0 at 1ml serving.</t>
      </text>
    </comment>
    <comment ref="S27" authorId="0" shapeId="0">
      <text>
        <t>Monk fruit liquid extract (1ml = ~15 drops): zero-calorie sweetener with negligible macro/micro contribution. 2 ingredients: monk fruit extract + organic cane alcohol. All values 0 at 1ml serving.</t>
      </text>
    </comment>
    <comment ref="T27" authorId="0" shapeId="0">
      <text>
        <t>Monk fruit liquid extract (1ml = ~15 drops): zero-calorie sweetener with negligible macro/micro contribution. 2 ingredients: monk fruit extract + organic cane alcohol. All values 0 at 1ml serving.</t>
      </text>
    </comment>
    <comment ref="U27" authorId="0" shapeId="0">
      <text>
        <t>Monk fruit liquid extract (1ml = ~15 drops): zero-calorie sweetener with negligible macro/micro contribution. 2 ingredients: monk fruit extract + organic cane alcohol. All values 0 at 1ml serving.</t>
      </text>
    </comment>
    <comment ref="W27" authorId="0" shapeId="0">
      <text>
        <t>Monk fruit liquid extract (1ml = ~15 drops): zero-calorie sweetener with negligible macro/micro contribution. 2 ingredients: monk fruit extract + organic cane alcohol. All values 0 at 1ml serving.</t>
      </text>
    </comment>
    <comment ref="X27" authorId="0" shapeId="0">
      <text>
        <t>Monk fruit liquid extract (1ml = ~15 drops): zero-calorie sweetener with negligible macro/micro contribution. 2 ingredients: monk fruit extract + organic cane alcohol. All values 0 at 1ml serving.</t>
      </text>
    </comment>
    <comment ref="Y27" authorId="0" shapeId="0">
      <text>
        <t>Monk fruit liquid extract (1ml = ~15 drops): zero-calorie sweetener with negligible macro/micro contribution. 2 ingredients: monk fruit extract + organic cane alcohol. All values 0 at 1ml serving.</t>
      </text>
    </comment>
    <comment ref="Z27" authorId="0" shapeId="0">
      <text>
        <t>Monk fruit liquid extract (1ml = ~15 drops): zero-calorie sweetener with negligible macro/micro contribution. 2 ingredients: monk fruit extract + organic cane alcohol. All values 0 at 1ml serving.</t>
      </text>
    </comment>
    <comment ref="AA27" authorId="0" shapeId="0">
      <text>
        <t>Monk fruit liquid extract (1ml = ~15 drops): zero-calorie sweetener with negligible macro/micro contribution. 2 ingredients: monk fruit extract + organic cane alcohol. All values 0 at 1ml serving.</t>
      </text>
    </comment>
    <comment ref="AB27" authorId="0" shapeId="0">
      <text>
        <t>Monk fruit liquid extract (1ml = ~15 drops): zero-calorie sweetener with negligible macro/micro contribution. 2 ingredients: monk fruit extract + organic cane alcohol. All values 0 at 1ml serving.</t>
      </text>
    </comment>
    <comment ref="AC27" authorId="0" shapeId="0">
      <text>
        <t>Monk fruit liquid extract (1ml = ~15 drops): zero-calorie sweetener with negligible macro/micro contribution. 2 ingredients: monk fruit extract + organic cane alcohol. All values 0 at 1ml serving.</t>
      </text>
    </comment>
    <comment ref="AD27" authorId="0" shapeId="0">
      <text>
        <t>Monk fruit liquid extract (1ml = ~15 drops): zero-calorie sweetener with negligible macro/micro contribution. 2 ingredients: monk fruit extract + organic cane alcohol. All values 0 at 1ml serving.</t>
      </text>
    </comment>
    <comment ref="AE27" authorId="0" shapeId="0">
      <text>
        <t>Monk fruit liquid extract (1ml = ~15 drops): zero-calorie sweetener with negligible macro/micro contribution. 2 ingredients: monk fruit extract + organic cane alcohol. All values 0 at 1ml serving.</t>
      </text>
    </comment>
    <comment ref="AF27" authorId="0" shapeId="0">
      <text>
        <t>Monk fruit liquid extract (1ml = ~15 drops): zero-calorie sweetener with negligible macro/micro contribution. 2 ingredients: monk fruit extract + organic cane alcohol. All values 0 at 1ml serving.</t>
      </text>
    </comment>
    <comment ref="AG27" authorId="0" shapeId="0">
      <text>
        <t>Formula. 0.</t>
      </text>
    </comment>
    <comment ref="AH27" authorId="0" shapeId="0">
      <text>
        <t>Monk fruit liquid extract (1ml = ~15 drops): zero-calorie sweetener with negligible macro/micro contribution. 2 ingredients: monk fruit extract + organic cane alcohol. All values 0 at 1ml serving.</t>
      </text>
    </comment>
    <comment ref="AI27" authorId="0" shapeId="0">
      <text>
        <t>Formula. 0.</t>
      </text>
    </comment>
    <comment ref="AJ27" authorId="0" shapeId="0">
      <text>
        <t>Monk fruit liquid extract (1ml = ~15 drops): zero-calorie sweetener with negligible macro/micro contribution. 2 ingredients: monk fruit extract + organic cane alcohol. All values 0 at 1ml serving.</t>
      </text>
    </comment>
    <comment ref="AK27" authorId="0" shapeId="0">
      <text>
        <t>Monk fruit liquid extract (1ml = ~15 drops): zero-calorie sweetener with negligible macro/micro contribution. 2 ingredients: monk fruit extract + organic cane alcohol. All values 0 at 1ml serving.</t>
      </text>
    </comment>
    <comment ref="AL27" authorId="0" shapeId="0">
      <text>
        <t>Monk fruit liquid extract (1ml = ~15 drops): zero-calorie sweetener with negligible macro/micro contribution. 2 ingredients: monk fruit extract + organic cane alcohol. All values 0 at 1ml serving.</t>
      </text>
    </comment>
    <comment ref="AM27" authorId="0" shapeId="0">
      <text>
        <t>Monk fruit liquid extract (1ml = ~15 drops): zero-calorie sweetener with negligible macro/micro contribution. 2 ingredients: monk fruit extract + organic cane alcohol. All values 0 at 1ml serving.</t>
      </text>
    </comment>
    <comment ref="AN27" authorId="0" shapeId="0">
      <text>
        <t>Monk fruit liquid extract (1ml = ~15 drops): zero-calorie sweetener with negligible macro/micro contribution. 2 ingredients: monk fruit extract + organic cane alcohol. All values 0 at 1ml serving.</t>
      </text>
    </comment>
    <comment ref="AO27" authorId="0" shapeId="0">
      <text>
        <t>Monk fruit liquid extract (1ml = ~15 drops): zero-calorie sweetener with negligible macro/micro contribution. 2 ingredients: monk fruit extract + organic cane alcohol. All values 0 at 1ml serving.</t>
      </text>
    </comment>
    <comment ref="AP27" authorId="0" shapeId="0">
      <text>
        <t>Monk fruit liquid extract (1ml = ~15 drops): zero-calorie sweetener with negligible macro/micro contribution. 2 ingredients: monk fruit extract + organic cane alcohol. All values 0 at 1ml serving.</t>
      </text>
    </comment>
    <comment ref="AQ27" authorId="0" shapeId="0">
      <text>
        <t>Monk fruit liquid extract (1ml = ~15 drops): zero-calorie sweetener with negligible macro/micro contribution. 2 ingredients: monk fruit extract + organic cane alcohol. All values 0 at 1ml serving.</t>
      </text>
    </comment>
    <comment ref="AR27" authorId="0" shapeId="0">
      <text>
        <t>Monk fruit liquid extract (1ml = ~15 drops): zero-calorie sweetener with negligible macro/micro contribution. 2 ingredients: monk fruit extract + organic cane alcohol. All values 0 at 1ml serving.</t>
      </text>
    </comment>
    <comment ref="AS27" authorId="0" shapeId="0">
      <text>
        <t>Monk fruit liquid extract (1ml = ~15 drops): zero-calorie sweetener with negligible macro/micro contribution. 2 ingredients: monk fruit extract + organic cane alcohol. All values 0 at 1ml serving.</t>
      </text>
    </comment>
    <comment ref="AT27" authorId="0" shapeId="0">
      <text>
        <t>Monk fruit liquid extract (1ml = ~15 drops): zero-calorie sweetener with negligible macro/micro contribution. 2 ingredients: monk fruit extract + organic cane alcohol. All values 0 at 1ml serving.</t>
      </text>
    </comment>
    <comment ref="AU27" authorId="0" shapeId="0">
      <text>
        <t>Monk fruit liquid extract (1ml = ~15 drops): zero-calorie sweetener with negligible macro/micro contribution. 2 ingredients: monk fruit extract + organic cane alcohol. All values 0 at 1ml serving.</t>
      </text>
    </comment>
    <comment ref="AV27" authorId="0" shapeId="0">
      <text>
        <t>Monk fruit liquid extract (1ml = ~15 drops): zero-calorie sweetener with negligible macro/micro contribution. 2 ingredients: monk fruit extract + organic cane alcohol. All values 0 at 1ml serving.</t>
      </text>
    </comment>
    <comment ref="AW27" authorId="0" shapeId="0">
      <text>
        <t>Monk fruit liquid extract (1ml = ~15 drops): zero-calorie sweetener with negligible macro/micro contribution. 2 ingredients: monk fruit extract + organic cane alcohol. All values 0 at 1ml serving.</t>
      </text>
    </comment>
    <comment ref="AX27" authorId="0" shapeId="0">
      <text>
        <t>Monk fruit liquid extract (1ml = ~15 drops): zero-calorie sweetener with negligible macro/micro contribution. 2 ingredients: monk fruit extract + organic cane alcohol. All values 0 at 1ml serving.</t>
      </text>
    </comment>
    <comment ref="AY27" authorId="0" shapeId="0">
      <text>
        <t>Monk fruit liquid extract (1ml = ~15 drops): zero-calorie sweetener with negligible macro/micro contribution. 2 ingredients: monk fruit extract + organic cane alcohol. All values 0 at 1ml serving.</t>
      </text>
    </comment>
    <comment ref="AZ27" authorId="0" shapeId="0">
      <text>
        <t>Monk fruit liquid extract (1ml = ~15 drops): zero-calorie sweetener with negligible macro/micro contribution. 2 ingredients: monk fruit extract + organic cane alcohol. All values 0 at 1ml serving.</t>
      </text>
    </comment>
    <comment ref="BA27" authorId="0" shapeId="0">
      <text>
        <t>Monk fruit liquid extract (1ml = ~15 drops): zero-calorie sweetener with negligible macro/micro contribution. 2 ingredients: monk fruit extract + organic cane alcohol. All values 0 at 1ml serving.</t>
      </text>
    </comment>
    <comment ref="BB27" authorId="0" shapeId="0">
      <text>
        <t>Monk fruit liquid extract (1ml = ~15 drops): zero-calorie sweetener with negligible macro/micro contribution. 2 ingredients: monk fruit extract + organic cane alcohol. All values 0 at 1ml serving.</t>
      </text>
    </comment>
    <comment ref="BC27" authorId="0" shapeId="0">
      <text>
        <t>Monk fruit liquid extract (1ml = ~15 drops): zero-calorie sweetener with negligible macro/micro contribution. 2 ingredients: monk fruit extract + organic cane alcohol. All values 0 at 1ml serving.</t>
      </text>
    </comment>
    <comment ref="BD27" authorId="0" shapeId="0">
      <text>
        <t>Monk fruit liquid extract (1ml = ~15 drops): zero-calorie sweetener with negligible macro/micro contribution. 2 ingredients: monk fruit extract + organic cane alcohol. All values 0 at 1ml serving.</t>
      </text>
    </comment>
    <comment ref="BE27" authorId="0" shapeId="0">
      <text>
        <t>Monk fruit liquid extract (1ml = ~15 drops): zero-calorie sweetener with negligible macro/micro contribution. 2 ingredients: monk fruit extract + organic cane alcohol. All values 0 at 1ml serving.</t>
      </text>
    </comment>
    <comment ref="BF27" authorId="0" shapeId="0">
      <text>
        <t>Monk fruit liquid extract (1ml = ~15 drops): zero-calorie sweetener with negligible macro/micro contribution. 2 ingredients: monk fruit extract + organic cane alcohol. All values 0 at 1ml serving.</t>
      </text>
    </comment>
    <comment ref="BG27" authorId="0" shapeId="0">
      <text>
        <t>Monk fruit liquid extract (1ml = ~15 drops): zero-calorie sweetener with negligible macro/micro contribution. 2 ingredients: monk fruit extract + organic cane alcohol. All values 0 at 1ml serving.</t>
      </text>
    </comment>
    <comment ref="BH27" authorId="0" shapeId="0">
      <text>
        <t>Monk fruit liquid extract (1ml = ~15 drops): zero-calorie sweetener with negligible macro/micro contribution. 2 ingredients: monk fruit extract + organic cane alcohol. All values 0 at 1ml serving.</t>
      </text>
    </comment>
    <comment ref="BI27" authorId="0" shapeId="0">
      <text>
        <t>Monk fruit liquid extract (1ml = ~15 drops): zero-calorie sweetener with negligible macro/micro contribution. 2 ingredients: monk fruit extract + organic cane alcohol. All values 0 at 1ml serving.</t>
      </text>
    </comment>
    <comment ref="BJ27" authorId="0" shapeId="0">
      <text>
        <t>Monk fruit liquid extract (1ml = ~15 drops): zero-calorie sweetener with negligible macro/micro contribution. 2 ingredients: monk fruit extract + organic cane alcohol. All values 0 at 1ml serving.</t>
      </text>
    </comment>
    <comment ref="BK27" authorId="0" shapeId="0">
      <text>
        <t>Monk fruit liquid extract (1ml = ~15 drops): zero-calorie sweetener with negligible macro/micro contribution. 2 ingredients: monk fruit extract + organic cane alcohol. All values 0 at 1ml serving.</t>
      </text>
    </comment>
    <comment ref="BL27" authorId="0" shapeId="0">
      <text>
        <t>Monk fruit liquid extract (1ml = ~15 drops): zero-calorie sweetener with negligible macro/micro contribution. 2 ingredients: monk fruit extract + organic cane alcohol. All values 0 at 1ml serving.</t>
      </text>
    </comment>
    <comment ref="BM27" authorId="0" shapeId="0">
      <text>
        <t>Monk fruit liquid extract (1ml = ~15 drops): zero-calorie sweetener with negligible macro/micro contribution. 2 ingredients: monk fruit extract + organic cane alcohol. All values 0 at 1ml serving.</t>
      </text>
    </comment>
    <comment ref="BN27" authorId="0" shapeId="0">
      <text>
        <t>Monk fruit liquid extract (1ml = ~15 drops): zero-calorie sweetener with negligible macro/micro contribution. 2 ingredients: monk fruit extract + organic cane alcohol. All values 0 at 1ml serving.</t>
      </text>
    </comment>
    <comment ref="BO27" authorId="0" shapeId="0">
      <text>
        <t>Monk fruit liquid extract (1ml = ~15 drops): zero-calorie sweetener with negligible macro/micro contribution. 2 ingredients: monk fruit extract + organic cane alcohol. All values 0 at 1ml serving.</t>
      </text>
    </comment>
    <comment ref="BP27" authorId="0" shapeId="0">
      <text>
        <t>Monk fruit liquid extract (1ml = ~15 drops): zero-calorie sweetener with negligible macro/micro contribution. 2 ingredients: monk fruit extract + organic cane alcohol. All values 0 at 1ml serving.</t>
      </text>
    </comment>
    <comment ref="BQ27" authorId="0" shapeId="0">
      <text>
        <t>Monk fruit liquid extract (1ml = ~15 drops): zero-calorie sweetener with negligible macro/micro contribution. 2 ingredients: monk fruit extract + organic cane alcohol. All values 0 at 1ml serving.</t>
      </text>
    </comment>
    <comment ref="BR27" authorId="0" shapeId="0">
      <text>
        <t>Monk fruit liquid extract (1ml = ~15 drops): zero-calorie sweetener with negligible macro/micro contribution. 2 ingredients: monk fruit extract + organic cane alcohol. All values 0 at 1ml serving.</t>
      </text>
    </comment>
    <comment ref="BS27" authorId="0" shapeId="0">
      <text>
        <t>Monk fruit liquid extract (1ml = ~15 drops): zero-calorie sweetener with negligible macro/micro contribution. 2 ingredients: monk fruit extract + organic cane alcohol. All values 0 at 1ml serving.</t>
      </text>
    </comment>
    <comment ref="BT27" authorId="0" shapeId="0">
      <text>
        <t>Monk fruit liquid extract (1ml = ~15 drops): zero-calorie sweetener with negligible macro/micro contribution. 2 ingredients: monk fruit extract + organic cane alcohol. All values 0 at 1ml serving.</t>
      </text>
    </comment>
    <comment ref="BU27" authorId="0" shapeId="0">
      <text>
        <t>Monk fruit liquid extract (1ml = ~15 drops): zero-calorie sweetener with negligible macro/micro contribution. 2 ingredients: monk fruit extract + organic cane alcohol. All values 0 at 1ml serving.</t>
      </text>
    </comment>
    <comment ref="BV27" authorId="0" shapeId="0">
      <text>
        <t>Monk fruit liquid extract (1ml = ~15 drops): zero-calorie sweetener with negligible macro/micro contribution. 2 ingredients: monk fruit extract + organic cane alcohol. All values 0 at 1ml serving.</t>
      </text>
    </comment>
    <comment ref="BW27" authorId="0" shapeId="0">
      <text>
        <t>Monk fruit liquid extract (1ml = ~15 drops): zero-calorie sweetener with negligible macro/micro contribution. 2 ingredients: monk fruit extract + organic cane alcohol. All values 0 at 1ml serving.</t>
      </text>
    </comment>
    <comment ref="BX27" authorId="0" shapeId="0">
      <text>
        <t>Monk fruit liquid extract (1ml = ~15 drops): zero-calorie sweetener with negligible macro/micro contribution. 2 ingredients: monk fruit extract + organic cane alcohol. All values 0 at 1ml serving.</t>
      </text>
    </comment>
    <comment ref="BY27" authorId="0" shapeId="0">
      <text>
        <t>Monk fruit liquid extract (1ml = ~15 drops): zero-calorie sweetener with negligible macro/micro contribution. 2 ingredients: monk fruit extract + organic cane alcohol. All values 0 at 1ml serving.</t>
      </text>
    </comment>
    <comment ref="BZ27" authorId="0" shapeId="0">
      <text>
        <t>Monk fruit liquid extract (1ml = ~15 drops): zero-calorie sweetener with negligible macro/micro contribution. 2 ingredients: monk fruit extract + organic cane alcohol. All values 0 at 1ml serving.</t>
      </text>
    </comment>
    <comment ref="CA27" authorId="0" shapeId="0">
      <text>
        <t>Monk fruit liquid extract (1ml = ~15 drops): zero-calorie sweetener with negligible macro/micro contribution. 2 ingredients: monk fruit extract + organic cane alcohol. All values 0 at 1ml serving.</t>
      </text>
    </comment>
    <comment ref="CB27" authorId="0" shapeId="0">
      <text>
        <t>Monk fruit liquid extract (1ml = ~15 drops): zero-calorie sweetener with negligible macro/micro contribution. 2 ingredients: monk fruit extract + organic cane alcohol. All values 0 at 1ml serving.</t>
      </text>
    </comment>
    <comment ref="CC27" authorId="0" shapeId="0">
      <text>
        <t>Monk fruit liquid extract (1ml = ~15 drops): zero-calorie sweetener with negligible macro/micro contribution. 2 ingredients: monk fruit extract + organic cane alcohol. All values 0 at 1ml serving.</t>
      </text>
    </comment>
    <comment ref="CD27" authorId="0" shapeId="0">
      <text>
        <t>Monk fruit liquid extract (1ml = ~15 drops): zero-calorie sweetener with negligible macro/micro contribution. 2 ingredients: monk fruit extract + organic cane alcohol. All values 0 at 1ml serving.</t>
      </text>
    </comment>
    <comment ref="CE27" authorId="0" shapeId="0">
      <text>
        <t>Monk fruit liquid extract (1ml = ~15 drops): zero-calorie sweetener with negligible macro/micro contribution. 2 ingredients: monk fruit extract + organic cane alcohol. All values 0 at 1ml serving.</t>
      </text>
    </comment>
    <comment ref="CF27" authorId="0" shapeId="0">
      <text>
        <t>Monk fruit liquid extract (1ml = ~15 drops): zero-calorie sweetener with negligible macro/micro contribution. 2 ingredients: monk fruit extract + organic cane alcohol. All values 0 at 1ml serving.</t>
      </text>
    </comment>
    <comment ref="CG27" authorId="0" shapeId="0">
      <text>
        <t>Monk fruit liquid extract (1ml = ~15 drops): zero-calorie sweetener with negligible macro/micro contribution. 2 ingredients: monk fruit extract + organic cane alcohol. All values 0 at 1ml serving.</t>
      </text>
    </comment>
    <comment ref="CH27" authorId="0" shapeId="0">
      <text>
        <t>Monk fruit liquid extract (1ml = ~15 drops): zero-calorie sweetener with negligible macro/micro contribution. 2 ingredients: monk fruit extract + organic cane alcohol. All values 0 at 1ml serving.</t>
      </text>
    </comment>
    <comment ref="CI27" authorId="0" shapeId="0">
      <text>
        <t>Monk fruit liquid extract (1ml = ~15 drops): zero-calorie sweetener with negligible macro/micro contribution. 2 ingredients: monk fruit extract + organic cane alcohol. All values 0 at 1ml serving.</t>
      </text>
    </comment>
    <comment ref="CJ27" authorId="0" shapeId="0">
      <text>
        <t>Monk fruit liquid extract (1ml = ~15 drops): zero-calorie sweetener with negligible macro/micro contribution. 2 ingredients: monk fruit extract + organic cane alcohol. All values 0 at 1ml serving.</t>
      </text>
    </comment>
    <comment ref="CK27" authorId="0" shapeId="0">
      <text>
        <t>Monk fruit liquid extract (1ml = ~15 drops): zero-calorie sweetener with negligible macro/micro contribution. 2 ingredients: monk fruit extract + organic cane alcohol. All values 0 at 1ml serving.</t>
      </text>
    </comment>
    <comment ref="CL27" authorId="0" shapeId="0">
      <text>
        <t>Monk fruit liquid extract (1ml = ~15 drops): zero-calorie sweetener with negligible macro/micro contribution. 2 ingredients: monk fruit extract + organic cane alcohol. All values 0 at 1ml serving.</t>
      </text>
    </comment>
    <comment ref="CM27" authorId="0" shapeId="0">
      <text>
        <t>Monk fruit liquid extract (1ml = ~15 drops): zero-calorie sweetener with negligible macro/micro contribution. 2 ingredients: monk fruit extract + organic cane alcohol. All values 0 at 1ml serving.</t>
      </text>
    </comment>
    <comment ref="CN27" authorId="0" shapeId="0">
      <text>
        <t>Monk fruit liquid extract (1ml = ~15 drops): zero-calorie sweetener with negligible macro/micro contribution. 2 ingredients: monk fruit extract + organic cane alcohol. All values 0 at 1ml serving.</t>
      </text>
    </comment>
    <comment ref="CO27" authorId="0" shapeId="0">
      <text>
        <t>Monk fruit liquid extract (1ml = ~15 drops): zero-calorie sweetener with negligible macro/micro contribution. 2 ingredients: monk fruit extract + organic cane alcohol. All values 0 at 1ml serving.</t>
      </text>
    </comment>
    <comment ref="CP27" authorId="0" shapeId="0">
      <text>
        <t>Monk fruit liquid extract (1ml = ~15 drops): zero-calorie sweetener with negligible macro/micro contribution. 2 ingredients: monk fruit extract + organic cane alcohol. All values 0 at 1ml serving.</t>
      </text>
    </comment>
    <comment ref="CQ27" authorId="0" shapeId="0">
      <text>
        <t>Monk fruit liquid extract (1ml = ~15 drops): zero-calorie sweetener with negligible macro/micro contribution. 2 ingredients: monk fruit extract + organic cane alcohol. All values 0 at 1ml serving.</t>
      </text>
    </comment>
    <comment ref="CR27" authorId="0" shapeId="0">
      <text>
        <t>Monk fruit liquid extract (1ml = ~15 drops): zero-calorie sweetener with negligible macro/micro contribution. 2 ingredients: monk fruit extract + organic cane alcohol. All values 0 at 1ml serving.</t>
      </text>
    </comment>
    <comment ref="CS27" authorId="0" shapeId="0">
      <text>
        <t>Monk fruit liquid extract (1ml = ~15 drops): zero-calorie sweetener with negligible macro/micro contribution. 2 ingredients: monk fruit extract + organic cane alcohol. All values 0 at 1ml serving.</t>
      </text>
    </comment>
    <comment ref="CT27" authorId="0" shapeId="0">
      <text>
        <t>Monk fruit liquid extract (1ml = ~15 drops): zero-calorie sweetener with negligible macro/micro contribution. 2 ingredients: monk fruit extract + organic cane alcohol. All values 0 at 1ml serving.</t>
      </text>
    </comment>
    <comment ref="CU27" authorId="0" shapeId="0">
      <text>
        <t>Monk fruit liquid extract (1ml = ~15 drops): zero-calorie sweetener with negligible macro/micro contribution. 2 ingredients: monk fruit extract + organic cane alcohol. All values 0 at 1ml serving.</t>
      </text>
    </comment>
    <comment ref="CV27" authorId="0" shapeId="0">
      <text>
        <t>Monk fruit liquid extract (1ml = ~15 drops): zero-calorie sweetener with negligible macro/micro contribution. 2 ingredients: monk fruit extract + organic cane alcohol. All values 0 at 1ml serving.</t>
      </text>
    </comment>
    <comment ref="O28" authorId="0" shapeId="0">
      <text>
        <t>Ground mustard seed at 0.5g (⅛ tsp): nutritional contribution is essentially zero. Included for its myrosinase enzyme that activates sulforaphane from broccoli sprout powder.</t>
      </text>
    </comment>
    <comment ref="P28" authorId="0" shapeId="0">
      <text>
        <t>Ground mustard seed at 0.5g (⅛ tsp): nutritional contribution is essentially zero. Included for its myrosinase enzyme that activates sulforaphane from broccoli sprout powder.</t>
      </text>
    </comment>
    <comment ref="Q28" authorId="0" shapeId="0">
      <text>
        <t>Ground mustard seed at 0.5g (⅛ tsp): nutritional contribution is essentially zero. Included for its myrosinase enzyme that activates sulforaphane from broccoli sprout powder.</t>
      </text>
    </comment>
    <comment ref="R28" authorId="0" shapeId="0">
      <text>
        <t>Ground mustard seed at 0.5g (⅛ tsp): nutritional contribution is essentially zero. Included for its myrosinase enzyme that activates sulforaphane from broccoli sprout powder.</t>
      </text>
    </comment>
    <comment ref="S28" authorId="0" shapeId="0">
      <text>
        <t>Ground mustard seed at 0.5g (⅛ tsp): nutritional contribution is essentially zero. Included for its myrosinase enzyme that activates sulforaphane from broccoli sprout powder.</t>
      </text>
    </comment>
    <comment ref="T28" authorId="0" shapeId="0">
      <text>
        <t>Ground mustard seed at 0.5g (⅛ tsp): nutritional contribution is essentially zero. Included for its myrosinase enzyme that activates sulforaphane from broccoli sprout powder.</t>
      </text>
    </comment>
    <comment ref="U28" authorId="0" shapeId="0">
      <text>
        <t>Ground mustard seed at 0.5g (⅛ tsp): nutritional contribution is essentially zero. Included for its myrosinase enzyme that activates sulforaphane from broccoli sprout powder.</t>
      </text>
    </comment>
    <comment ref="W28" authorId="0" shapeId="0">
      <text>
        <t>Ground mustard seed at 0.5g (⅛ tsp): nutritional contribution is essentially zero. Included for its myrosinase enzyme that activates sulforaphane from broccoli sprout powder.</t>
      </text>
    </comment>
    <comment ref="X28" authorId="0" shapeId="0">
      <text>
        <t>Ground mustard seed at 0.5g (⅛ tsp): nutritional contribution is essentially zero. Included for its myrosinase enzyme that activates sulforaphane from broccoli sprout powder.</t>
      </text>
    </comment>
    <comment ref="Y28" authorId="0" shapeId="0">
      <text>
        <t>Ground mustard seed at 0.5g (⅛ tsp): nutritional contribution is essentially zero. Included for its myrosinase enzyme that activates sulforaphane from broccoli sprout powder.</t>
      </text>
    </comment>
    <comment ref="Z28" authorId="0" shapeId="0">
      <text>
        <t>Ground mustard seed at 0.5g (⅛ tsp): nutritional contribution is essentially zero. Included for its myrosinase enzyme that activates sulforaphane from broccoli sprout powder.</t>
      </text>
    </comment>
    <comment ref="AA28" authorId="0" shapeId="0">
      <text>
        <t>Ground mustard seed at 0.5g (⅛ tsp): nutritional contribution is essentially zero. Included for its myrosinase enzyme that activates sulforaphane from broccoli sprout powder.</t>
      </text>
    </comment>
    <comment ref="AB28" authorId="0" shapeId="0">
      <text>
        <t>Ground mustard seed at 0.5g (⅛ tsp): nutritional contribution is essentially zero. Included for its myrosinase enzyme that activates sulforaphane from broccoli sprout powder.</t>
      </text>
    </comment>
    <comment ref="AC28" authorId="0" shapeId="0">
      <text>
        <t>Ground mustard seed at 0.5g (⅛ tsp): nutritional contribution is essentially zero. Included for its myrosinase enzyme that activates sulforaphane from broccoli sprout powder.</t>
      </text>
    </comment>
    <comment ref="AD28" authorId="0" shapeId="0">
      <text>
        <t>Ground mustard seed at 0.5g (⅛ tsp): nutritional contribution is essentially zero. Included for its myrosinase enzyme that activates sulforaphane from broccoli sprout powder.</t>
      </text>
    </comment>
    <comment ref="AE28" authorId="0" shapeId="0">
      <text>
        <t>Ground mustard seed at 0.5g (⅛ tsp): nutritional contribution is essentially zero. Included for its myrosinase enzyme that activates sulforaphane from broccoli sprout powder.</t>
      </text>
    </comment>
    <comment ref="AF28" authorId="0" shapeId="0">
      <text>
        <t>Ground mustard seed at 0.5g (⅛ tsp): nutritional contribution is essentially zero. Included for its myrosinase enzyme that activates sulforaphane from broccoli sprout powder.</t>
      </text>
    </comment>
    <comment ref="AG28" authorId="0" shapeId="0">
      <text>
        <t>Formula. 0.</t>
      </text>
    </comment>
    <comment ref="AH28" authorId="0" shapeId="0">
      <text>
        <t>Ground mustard seed at 0.5g (⅛ tsp): nutritional contribution is essentially zero. Included for its myrosinase enzyme that activates sulforaphane from broccoli sprout powder.</t>
      </text>
    </comment>
    <comment ref="AI28" authorId="0" shapeId="0">
      <text>
        <t>Formula. 0.</t>
      </text>
    </comment>
    <comment ref="AJ28" authorId="0" shapeId="0">
      <text>
        <t>Ground mustard seed at 0.5g (⅛ tsp): nutritional contribution is essentially zero. Included for its myrosinase enzyme that activates sulforaphane from broccoli sprout powder.</t>
      </text>
    </comment>
    <comment ref="AK28" authorId="0" shapeId="0">
      <text>
        <t>Ground mustard seed at 0.5g (⅛ tsp): nutritional contribution is essentially zero. Included for its myrosinase enzyme that activates sulforaphane from broccoli sprout powder.</t>
      </text>
    </comment>
    <comment ref="AL28" authorId="0" shapeId="0">
      <text>
        <t>Ground mustard seed at 0.5g (⅛ tsp): nutritional contribution is essentially zero. Included for its myrosinase enzyme that activates sulforaphane from broccoli sprout powder.</t>
      </text>
    </comment>
    <comment ref="AM28" authorId="0" shapeId="0">
      <text>
        <t>Ground mustard seed at 0.5g (⅛ tsp): nutritional contribution is essentially zero. Included for its myrosinase enzyme that activates sulforaphane from broccoli sprout powder.</t>
      </text>
    </comment>
    <comment ref="AN28" authorId="0" shapeId="0">
      <text>
        <t>Ground mustard seed at 0.5g (⅛ tsp): nutritional contribution is essentially zero. Included for its myrosinase enzyme that activates sulforaphane from broccoli sprout powder.</t>
      </text>
    </comment>
    <comment ref="AO28" authorId="0" shapeId="0">
      <text>
        <t>Ground mustard seed at 0.5g (⅛ tsp): nutritional contribution is essentially zero. Included for its myrosinase enzyme that activates sulforaphane from broccoli sprout powder.</t>
      </text>
    </comment>
    <comment ref="AP28" authorId="0" shapeId="0">
      <text>
        <t>Ground mustard seed at 0.5g (⅛ tsp): nutritional contribution is essentially zero. Included for its myrosinase enzyme that activates sulforaphane from broccoli sprout powder.</t>
      </text>
    </comment>
    <comment ref="AQ28" authorId="0" shapeId="0">
      <text>
        <t>Ground mustard seed at 0.5g (⅛ tsp): nutritional contribution is essentially zero. Included for its myrosinase enzyme that activates sulforaphane from broccoli sprout powder.</t>
      </text>
    </comment>
    <comment ref="AR28" authorId="0" shapeId="0">
      <text>
        <t>Ground mustard seed at 0.5g (⅛ tsp): nutritional contribution is essentially zero. Included for its myrosinase enzyme that activates sulforaphane from broccoli sprout powder.</t>
      </text>
    </comment>
    <comment ref="AS28" authorId="0" shapeId="0">
      <text>
        <t>Ground mustard seed at 0.5g (⅛ tsp): nutritional contribution is essentially zero. Included for its myrosinase enzyme that activates sulforaphane from broccoli sprout powder.</t>
      </text>
    </comment>
    <comment ref="AT28" authorId="0" shapeId="0">
      <text>
        <t>Ground mustard seed at 0.5g (⅛ tsp): nutritional contribution is essentially zero. Included for its myrosinase enzyme that activates sulforaphane from broccoli sprout powder.</t>
      </text>
    </comment>
    <comment ref="AU28" authorId="0" shapeId="0">
      <text>
        <t>Ground mustard seed at 0.5g (⅛ tsp): nutritional contribution is essentially zero. Included for its myrosinase enzyme that activates sulforaphane from broccoli sprout powder.</t>
      </text>
    </comment>
    <comment ref="AV28" authorId="0" shapeId="0">
      <text>
        <t>Ground mustard seed at 0.5g (⅛ tsp): nutritional contribution is essentially zero. Included for its myrosinase enzyme that activates sulforaphane from broccoli sprout powder.</t>
      </text>
    </comment>
    <comment ref="AW28" authorId="0" shapeId="0">
      <text>
        <t>Ground mustard seed at 0.5g (⅛ tsp): nutritional contribution is essentially zero. Included for its myrosinase enzyme that activates sulforaphane from broccoli sprout powder.</t>
      </text>
    </comment>
    <comment ref="AX28" authorId="0" shapeId="0">
      <text>
        <t>Ground mustard seed at 0.5g (⅛ tsp): nutritional contribution is essentially zero. Included for its myrosinase enzyme that activates sulforaphane from broccoli sprout powder.</t>
      </text>
    </comment>
    <comment ref="AY28" authorId="0" shapeId="0">
      <text>
        <t>Ground mustard seed at 0.5g (⅛ tsp): nutritional contribution is essentially zero. Included for its myrosinase enzyme that activates sulforaphane from broccoli sprout powder.</t>
      </text>
    </comment>
    <comment ref="AZ28" authorId="0" shapeId="0">
      <text>
        <t>Ground mustard seed at 0.5g (⅛ tsp): nutritional contribution is essentially zero. Included for its myrosinase enzyme that activates sulforaphane from broccoli sprout powder.</t>
      </text>
    </comment>
    <comment ref="BA28" authorId="0" shapeId="0">
      <text>
        <t>Ground mustard seed at 0.5g (⅛ tsp): nutritional contribution is essentially zero. Included for its myrosinase enzyme that activates sulforaphane from broccoli sprout powder.</t>
      </text>
    </comment>
    <comment ref="BB28" authorId="0" shapeId="0">
      <text>
        <t>Ground mustard seed at 0.5g (⅛ tsp): nutritional contribution is essentially zero. Included for its myrosinase enzyme that activates sulforaphane from broccoli sprout powder.</t>
      </text>
    </comment>
    <comment ref="BC28" authorId="0" shapeId="0">
      <text>
        <t>Ground mustard seed at 0.5g (⅛ tsp): nutritional contribution is essentially zero. Included for its myrosinase enzyme that activates sulforaphane from broccoli sprout powder.</t>
      </text>
    </comment>
    <comment ref="BD28" authorId="0" shapeId="0">
      <text>
        <t>Ground mustard seed at 0.5g (⅛ tsp): nutritional contribution is essentially zero. Included for its myrosinase enzyme that activates sulforaphane from broccoli sprout powder.</t>
      </text>
    </comment>
    <comment ref="BE28" authorId="0" shapeId="0">
      <text>
        <t>Ground mustard seed at 0.5g (⅛ tsp): nutritional contribution is essentially zero. Included for its myrosinase enzyme that activates sulforaphane from broccoli sprout powder.</t>
      </text>
    </comment>
    <comment ref="BF28" authorId="0" shapeId="0">
      <text>
        <t>Ground mustard seed at 0.5g (⅛ tsp): nutritional contribution is essentially zero. Included for its myrosinase enzyme that activates sulforaphane from broccoli sprout powder.</t>
      </text>
    </comment>
    <comment ref="BG28" authorId="0" shapeId="0">
      <text>
        <t>Ground mustard seed at 0.5g (⅛ tsp): nutritional contribution is essentially zero. Included for its myrosinase enzyme that activates sulforaphane from broccoli sprout powder.</t>
      </text>
    </comment>
    <comment ref="BH28" authorId="0" shapeId="0">
      <text>
        <t>Ground mustard seed at 0.5g (⅛ tsp): nutritional contribution is essentially zero. Included for its myrosinase enzyme that activates sulforaphane from broccoli sprout powder.</t>
      </text>
    </comment>
    <comment ref="BI28" authorId="0" shapeId="0">
      <text>
        <t>Ground mustard seed at 0.5g (⅛ tsp): nutritional contribution is essentially zero. Included for its myrosinase enzyme that activates sulforaphane from broccoli sprout powder.</t>
      </text>
    </comment>
    <comment ref="BJ28" authorId="0" shapeId="0">
      <text>
        <t>Ground mustard seed at 0.5g (⅛ tsp): nutritional contribution is essentially zero. Included for its myrosinase enzyme that activates sulforaphane from broccoli sprout powder.</t>
      </text>
    </comment>
    <comment ref="BK28" authorId="0" shapeId="0">
      <text>
        <t>Ground mustard seed at 0.5g (⅛ tsp): nutritional contribution is essentially zero. Included for its myrosinase enzyme that activates sulforaphane from broccoli sprout powder.</t>
      </text>
    </comment>
    <comment ref="BL28" authorId="0" shapeId="0">
      <text>
        <t>Ground mustard seed at 0.5g (⅛ tsp): nutritional contribution is essentially zero. Included for its myrosinase enzyme that activates sulforaphane from broccoli sprout powder.</t>
      </text>
    </comment>
    <comment ref="BM28" authorId="0" shapeId="0">
      <text>
        <t>Ground mustard seed at 0.5g (⅛ tsp): nutritional contribution is essentially zero. Included for its myrosinase enzyme that activates sulforaphane from broccoli sprout powder.</t>
      </text>
    </comment>
    <comment ref="BN28" authorId="0" shapeId="0">
      <text>
        <t>Ground mustard seed at 0.5g (⅛ tsp): nutritional contribution is essentially zero. Included for its myrosinase enzyme that activates sulforaphane from broccoli sprout powder.</t>
      </text>
    </comment>
    <comment ref="BO28" authorId="0" shapeId="0">
      <text>
        <t>Ground mustard seed at 0.5g (⅛ tsp): nutritional contribution is essentially zero. Included for its myrosinase enzyme that activates sulforaphane from broccoli sprout powder.</t>
      </text>
    </comment>
    <comment ref="BP28" authorId="0" shapeId="0">
      <text>
        <t>Ground mustard seed at 0.5g (⅛ tsp): nutritional contribution is essentially zero. Included for its myrosinase enzyme that activates sulforaphane from broccoli sprout powder.</t>
      </text>
    </comment>
    <comment ref="BQ28" authorId="0" shapeId="0">
      <text>
        <t>Ground mustard seed at 0.5g (⅛ tsp): nutritional contribution is essentially zero. Included for its myrosinase enzyme that activates sulforaphane from broccoli sprout powder.</t>
      </text>
    </comment>
    <comment ref="BR28" authorId="0" shapeId="0">
      <text>
        <t>Ground mustard seed at 0.5g (⅛ tsp): nutritional contribution is essentially zero. Included for its myrosinase enzyme that activates sulforaphane from broccoli sprout powder.</t>
      </text>
    </comment>
    <comment ref="BS28" authorId="0" shapeId="0">
      <text>
        <t>Ground mustard seed at 0.5g (⅛ tsp): nutritional contribution is essentially zero. Included for its myrosinase enzyme that activates sulforaphane from broccoli sprout powder.</t>
      </text>
    </comment>
    <comment ref="BT28" authorId="0" shapeId="0">
      <text>
        <t>Ground mustard seed at 0.5g (⅛ tsp): nutritional contribution is essentially zero. Included for its myrosinase enzyme that activates sulforaphane from broccoli sprout powder.</t>
      </text>
    </comment>
    <comment ref="BU28" authorId="0" shapeId="0">
      <text>
        <t>Ground mustard seed at 0.5g (⅛ tsp): nutritional contribution is essentially zero. Included for its myrosinase enzyme that activates sulforaphane from broccoli sprout powder.</t>
      </text>
    </comment>
    <comment ref="BV28" authorId="0" shapeId="0">
      <text>
        <t>Ground mustard seed at 0.5g (⅛ tsp): nutritional contribution is essentially zero. Included for its myrosinase enzyme that activates sulforaphane from broccoli sprout powder.</t>
      </text>
    </comment>
    <comment ref="BW28" authorId="0" shapeId="0">
      <text>
        <t>Ground mustard seed at 0.5g (⅛ tsp): nutritional contribution is essentially zero. Included for its myrosinase enzyme that activates sulforaphane from broccoli sprout powder.</t>
      </text>
    </comment>
    <comment ref="BX28" authorId="0" shapeId="0">
      <text>
        <t>Ground mustard seed at 0.5g (⅛ tsp): nutritional contribution is essentially zero. Included for its myrosinase enzyme that activates sulforaphane from broccoli sprout powder.</t>
      </text>
    </comment>
    <comment ref="BY28" authorId="0" shapeId="0">
      <text>
        <t>Ground mustard seed at 0.5g (⅛ tsp): nutritional contribution is essentially zero. Included for its myrosinase enzyme that activates sulforaphane from broccoli sprout powder.</t>
      </text>
    </comment>
    <comment ref="BZ28" authorId="0" shapeId="0">
      <text>
        <t>Ground mustard seed at 0.5g (⅛ tsp): nutritional contribution is essentially zero. Included for its myrosinase enzyme that activates sulforaphane from broccoli sprout powder.</t>
      </text>
    </comment>
    <comment ref="CA28" authorId="0" shapeId="0">
      <text>
        <t>Ground mustard seed at 0.5g (⅛ tsp): nutritional contribution is essentially zero. Included for its myrosinase enzyme that activates sulforaphane from broccoli sprout powder.</t>
      </text>
    </comment>
    <comment ref="CB28" authorId="0" shapeId="0">
      <text>
        <t>Mustard seed at 0.5g provides MYROSINASE enzyme (activates glucoraphanin → sulforaphane from broccoli sprout powder), but does not itself contribute sulforaphane. Functional role is enzymatic, not nutritive.</t>
      </text>
    </comment>
    <comment ref="CC28" authorId="0" shapeId="0">
      <text>
        <t>Ground mustard seed at 0.5g (⅛ tsp): nutritional contribution is essentially zero. Included for its myrosinase enzyme that activates sulforaphane from broccoli sprout powder.</t>
      </text>
    </comment>
    <comment ref="CD28" authorId="0" shapeId="0">
      <text>
        <t>Ground mustard seed at 0.5g (⅛ tsp): nutritional contribution is essentially zero. Included for its myrosinase enzyme that activates sulforaphane from broccoli sprout powder.</t>
      </text>
    </comment>
    <comment ref="CE28" authorId="0" shapeId="0">
      <text>
        <t>Ground mustard seed at 0.5g (⅛ tsp): nutritional contribution is essentially zero. Included for its myrosinase enzyme that activates sulforaphane from broccoli sprout powder.</t>
      </text>
    </comment>
    <comment ref="CF28" authorId="0" shapeId="0">
      <text>
        <t>Ground mustard seed at 0.5g (⅛ tsp): nutritional contribution is essentially zero. Included for its myrosinase enzyme that activates sulforaphane from broccoli sprout powder.</t>
      </text>
    </comment>
    <comment ref="CG28" authorId="0" shapeId="0">
      <text>
        <t>Ground mustard seed at 0.5g (⅛ tsp): nutritional contribution is essentially zero. Included for its myrosinase enzyme that activates sulforaphane from broccoli sprout powder.</t>
      </text>
    </comment>
    <comment ref="CH28" authorId="0" shapeId="0">
      <text>
        <t>Ground mustard seed at 0.5g (⅛ tsp): nutritional contribution is essentially zero. Included for its myrosinase enzyme that activates sulforaphane from broccoli sprout powder.</t>
      </text>
    </comment>
    <comment ref="CI28" authorId="0" shapeId="0">
      <text>
        <t>Ground mustard seed at 0.5g (⅛ tsp): nutritional contribution is essentially zero. Included for its myrosinase enzyme that activates sulforaphane from broccoli sprout powder.</t>
      </text>
    </comment>
    <comment ref="CJ28" authorId="0" shapeId="0">
      <text>
        <t>Ground mustard seed at 0.5g (⅛ tsp): nutritional contribution is essentially zero. Included for its myrosinase enzyme that activates sulforaphane from broccoli sprout powder.</t>
      </text>
    </comment>
    <comment ref="CK28" authorId="0" shapeId="0">
      <text>
        <t>Ground mustard seed at 0.5g (⅛ tsp): nutritional contribution is essentially zero. Included for its myrosinase enzyme that activates sulforaphane from broccoli sprout powder.</t>
      </text>
    </comment>
    <comment ref="CL28" authorId="0" shapeId="0">
      <text>
        <t>Ground mustard seed at 0.5g (⅛ tsp): nutritional contribution is essentially zero. Included for its myrosinase enzyme that activates sulforaphane from broccoli sprout powder.</t>
      </text>
    </comment>
    <comment ref="CM28" authorId="0" shapeId="0">
      <text>
        <t>Ground mustard seed at 0.5g (⅛ tsp): nutritional contribution is essentially zero. Included for its myrosinase enzyme that activates sulforaphane from broccoli sprout powder.</t>
      </text>
    </comment>
    <comment ref="CN28" authorId="0" shapeId="0">
      <text>
        <t>Ground mustard seed at 0.5g (⅛ tsp): nutritional contribution is essentially zero. Included for its myrosinase enzyme that activates sulforaphane from broccoli sprout powder.</t>
      </text>
    </comment>
    <comment ref="CO28" authorId="0" shapeId="0">
      <text>
        <t>Ground mustard seed at 0.5g (⅛ tsp): nutritional contribution is essentially zero. Included for its myrosinase enzyme that activates sulforaphane from broccoli sprout powder.</t>
      </text>
    </comment>
    <comment ref="CP28" authorId="0" shapeId="0">
      <text>
        <t>Ground mustard seed at 0.5g (⅛ tsp): nutritional contribution is essentially zero. Included for its myrosinase enzyme that activates sulforaphane from broccoli sprout powder.</t>
      </text>
    </comment>
    <comment ref="CQ28" authorId="0" shapeId="0">
      <text>
        <t>Ground mustard seed at 0.5g (⅛ tsp): nutritional contribution is essentially zero. Included for its myrosinase enzyme that activates sulforaphane from broccoli sprout powder.</t>
      </text>
    </comment>
    <comment ref="CR28" authorId="0" shapeId="0">
      <text>
        <t>Ground mustard seed at 0.5g (⅛ tsp): nutritional contribution is essentially zero. Included for its myrosinase enzyme that activates sulforaphane from broccoli sprout powder.</t>
      </text>
    </comment>
    <comment ref="CS28" authorId="0" shapeId="0">
      <text>
        <t>Ground mustard seed at 0.5g (⅛ tsp): nutritional contribution is essentially zero. Included for its myrosinase enzyme that activates sulforaphane from broccoli sprout powder.</t>
      </text>
    </comment>
    <comment ref="CT28" authorId="0" shapeId="0">
      <text>
        <t>Ground mustard seed at 0.5g (⅛ tsp): nutritional contribution is essentially zero. Included for its myrosinase enzyme that activates sulforaphane from broccoli sprout powder.</t>
      </text>
    </comment>
    <comment ref="CU28" authorId="0" shapeId="0">
      <text>
        <t>Ground mustard seed at 0.5g (⅛ tsp): nutritional contribution is essentially zero. Included for its myrosinase enzyme that activates sulforaphane from broccoli sprout powder.</t>
      </text>
    </comment>
    <comment ref="CV28" authorId="0" shapeId="0">
      <text>
        <t>Ground mustard seed at 0.5g (⅛ tsp): nutritional contribution is essentially zero. Included for its myrosinase enzyme that activates sulforaphane from broccoli sprout powder.</t>
      </text>
    </comment>
    <comment ref="C30" authorId="1" shapeId="0">
      <text>
        <t>KEPT: AGN Roots is the only WPI with "Entire Life on Pasture" cert (A Greener World). Informed Sport batch-tested every lot. ASPCA approved. Irish coastal farms. No USDA Organic label but zero grain ever — exceeds organic standard in practice.</t>
      </text>
    </comment>
    <comment ref="O30" authorId="0" shapeId="0">
      <text>
        <t>AGN Roots WPI: ~27g protein per 30g scoop. 27 × 4 = 108 + ~1g fat × 9 + ~1g carb × 4 ≈ 120 kcal.</t>
      </text>
    </comment>
    <comment ref="P30" authorId="0" shapeId="0">
      <text>
        <t>AGN Roots label: ~27g protein per 30g scoop (90% protein content, typical for WPI).</t>
      </text>
    </comment>
    <comment ref="Q30" authorId="0" shapeId="0">
      <text>
        <t>All 27g is whey protein (single ingredient: grass-fed whey protein isolate).</t>
      </text>
    </comment>
    <comment ref="R30" authorId="0" shapeId="0">
      <text>
        <t>Whey protein isolate is &gt;90% protein with minimal fat/carbs/minerals.</t>
      </text>
    </comment>
    <comment ref="S30" authorId="0" shapeId="0">
      <text>
        <t>Whey protein isolate is &gt;90% protein with minimal fat/carbs/minerals.</t>
      </text>
    </comment>
    <comment ref="T30" authorId="0" shapeId="0">
      <text>
        <t>Whey protein isolate is &gt;90% protein with minimal fat/carbs/minerals.</t>
      </text>
    </comment>
    <comment ref="U30" authorId="0" shapeId="0">
      <text>
        <t>Whey protein isolate is &gt;90% protein with minimal fat/carbs/minerals.</t>
      </text>
    </comment>
    <comment ref="W30" authorId="0" shapeId="0">
      <text>
        <t>WPI: &lt;1g fat per scoop typical. ~0.5g residual milk fat. TRACE.</t>
      </text>
    </comment>
    <comment ref="X30" authorId="0" shapeId="0">
      <text>
        <t>Whey protein isolate is &gt;90% protein with minimal fat/carbs/minerals.</t>
      </text>
    </comment>
    <comment ref="Y30" authorId="0" shapeId="0">
      <text>
        <t>Whey protein isolate is &gt;90% protein with minimal fat/carbs/minerals.</t>
      </text>
    </comment>
    <comment ref="Z30" authorId="0" shapeId="0">
      <text>
        <t>Whey protein isolate is &gt;90% protein with minimal fat/carbs/minerals.</t>
      </text>
    </comment>
    <comment ref="AA30" authorId="0" shapeId="0">
      <text>
        <t>Whey protein isolate is &gt;90% protein with minimal fat/carbs/minerals.</t>
      </text>
    </comment>
    <comment ref="AB30" authorId="0" shapeId="0">
      <text>
        <t>Whey protein isolate is &gt;90% protein with minimal fat/carbs/minerals.</t>
      </text>
    </comment>
    <comment ref="AC30" authorId="0" shapeId="0">
      <text>
        <t>Whey protein isolate is &gt;90% protein with minimal fat/carbs/minerals.</t>
      </text>
    </comment>
    <comment ref="AD30" authorId="0" shapeId="0">
      <text>
        <t>WPI: &lt;1g carbs per scoop typical. ~1g residual lactose. TRACE.</t>
      </text>
    </comment>
    <comment ref="AE30" authorId="0" shapeId="0">
      <text>
        <t>Whey protein isolate is &gt;90% protein with minimal fat/carbs/minerals.</t>
      </text>
    </comment>
    <comment ref="AF30" authorId="0" shapeId="0">
      <text>
        <t>Whey protein isolate is &gt;90% protein with minimal fat/carbs/minerals.</t>
      </text>
    </comment>
    <comment ref="AG30" authorId="0" shapeId="0">
      <text>
        <t>Formula.</t>
      </text>
    </comment>
    <comment ref="AH30" authorId="0" shapeId="0">
      <text>
        <t>Whey protein isolate is &gt;90% protein with minimal fat/carbs/minerals.</t>
      </text>
    </comment>
    <comment ref="AI30" authorId="0" shapeId="0">
      <text>
        <t>Formula.</t>
      </text>
    </comment>
    <comment ref="AJ30" authorId="0" shapeId="0">
      <text>
        <t>Whey protein isolate is &gt;90% protein with minimal fat/carbs/minerals.</t>
      </text>
    </comment>
    <comment ref="AK30" authorId="0" shapeId="0">
      <text>
        <t>Whey isolate: ~130mg Ca per 100g. 130 × 0.30 = 39 → 40 mg. From residual milk minerals. Math-heavy.</t>
      </text>
    </comment>
    <comment ref="AL30" authorId="0" shapeId="0">
      <text>
        <t>Whey protein isolate is &gt;90% protein with minimal fat/carbs/minerals.</t>
      </text>
    </comment>
    <comment ref="AM30" authorId="0" shapeId="0">
      <text>
        <t>Whey protein isolate is &gt;90% protein with minimal fat/carbs/minerals.</t>
      </text>
    </comment>
    <comment ref="AN30" authorId="0" shapeId="0">
      <text>
        <t>Whey protein isolate is &gt;90% protein with minimal fat/carbs/minerals.</t>
      </text>
    </comment>
    <comment ref="AO30" authorId="0" shapeId="0">
      <text>
        <t>WPI: ~160mg Na per 100g typical. 160 × 0.30 = 48 → 50 mg.</t>
      </text>
    </comment>
    <comment ref="AP30" authorId="0" shapeId="0">
      <text>
        <t>Whey protein isolate is &gt;90% protein with minimal fat/carbs/minerals.</t>
      </text>
    </comment>
    <comment ref="AQ30" authorId="0" shapeId="0">
      <text>
        <t>Whey protein isolate is &gt;90% protein with minimal fat/carbs/minerals.</t>
      </text>
    </comment>
    <comment ref="AR30" authorId="0" shapeId="0">
      <text>
        <t>Whey protein isolate is &gt;90% protein with minimal fat/carbs/minerals.</t>
      </text>
    </comment>
    <comment ref="AS30" authorId="0" shapeId="0">
      <text>
        <t>Whey protein isolate is &gt;90% protein with minimal fat/carbs/minerals.</t>
      </text>
    </comment>
    <comment ref="AT30" authorId="0" shapeId="0">
      <text>
        <t>Whey protein isolate is &gt;90% protein with minimal fat/carbs/minerals.</t>
      </text>
    </comment>
    <comment ref="AU30" authorId="0" shapeId="0">
      <text>
        <t>Whey protein isolate is &gt;90% protein with minimal fat/carbs/minerals.</t>
      </text>
    </comment>
    <comment ref="AV30" authorId="0" shapeId="0">
      <text>
        <t>Whey protein isolate is &gt;90% protein with minimal fat/carbs/minerals.</t>
      </text>
    </comment>
    <comment ref="AW30" authorId="0" shapeId="0">
      <text>
        <t>Whey protein isolate is &gt;90% protein with minimal fat/carbs/minerals.</t>
      </text>
    </comment>
    <comment ref="AX30" authorId="0" shapeId="0">
      <text>
        <t>Whey protein isolate is &gt;90% protein with minimal fat/carbs/minerals.</t>
      </text>
    </comment>
    <comment ref="AY30" authorId="0" shapeId="0">
      <text>
        <t>Whey protein isolate is &gt;90% protein with minimal fat/carbs/minerals.</t>
      </text>
    </comment>
    <comment ref="AZ30" authorId="0" shapeId="0">
      <text>
        <t>Whey protein isolate is &gt;90% protein with minimal fat/carbs/minerals.</t>
      </text>
    </comment>
    <comment ref="BA30" authorId="0" shapeId="0">
      <text>
        <t>Whey protein isolate is &gt;90% protein with minimal fat/carbs/minerals.</t>
      </text>
    </comment>
    <comment ref="BB30" authorId="0" shapeId="0">
      <text>
        <t>Whey protein isolate is &gt;90% protein with minimal fat/carbs/minerals.</t>
      </text>
    </comment>
    <comment ref="BC30" authorId="0" shapeId="0">
      <text>
        <t>Whey protein isolate is &gt;90% protein with minimal fat/carbs/minerals.</t>
      </text>
    </comment>
    <comment ref="BD30" authorId="0" shapeId="0">
      <text>
        <t>Whey protein isolate is &gt;90% protein with minimal fat/carbs/minerals.</t>
      </text>
    </comment>
    <comment ref="BE30" authorId="0" shapeId="0">
      <text>
        <t>Whey protein isolate is &gt;90% protein with minimal fat/carbs/minerals.</t>
      </text>
    </comment>
    <comment ref="BF30" authorId="0" shapeId="0">
      <text>
        <t>Whey protein isolate is &gt;90% protein with minimal fat/carbs/minerals.</t>
      </text>
    </comment>
    <comment ref="BG30" authorId="0" shapeId="0">
      <text>
        <t>Whey protein isolate is &gt;90% protein with minimal fat/carbs/minerals.</t>
      </text>
    </comment>
    <comment ref="BH30" authorId="0" shapeId="0">
      <text>
        <t>Whey protein isolate is &gt;90% protein with minimal fat/carbs/minerals.</t>
      </text>
    </comment>
    <comment ref="BI30" authorId="0" shapeId="0">
      <text>
        <t>Whey protein isolate is &gt;90% protein with minimal fat/carbs/minerals.</t>
      </text>
    </comment>
    <comment ref="BJ30" authorId="0" shapeId="0">
      <text>
        <t>Whey protein isolate is &gt;90% protein with minimal fat/carbs/minerals.</t>
      </text>
    </comment>
    <comment ref="BK30" authorId="0" shapeId="0">
      <text>
        <t>Whey protein isolate is &gt;90% protein with minimal fat/carbs/minerals.</t>
      </text>
    </comment>
    <comment ref="BL30" authorId="0" shapeId="0">
      <text>
        <t>Whey protein isolate is &gt;90% protein with minimal fat/carbs/minerals.</t>
      </text>
    </comment>
    <comment ref="BM30" authorId="0" shapeId="0">
      <text>
        <t>Whey protein isolate is &gt;90% protein with minimal fat/carbs/minerals.</t>
      </text>
    </comment>
    <comment ref="BN30" authorId="0" shapeId="0">
      <text>
        <t>Whey protein isolate is &gt;90% protein with minimal fat/carbs/minerals.</t>
      </text>
    </comment>
    <comment ref="BO30" authorId="0" shapeId="0">
      <text>
        <t>Whey protein isolate is &gt;90% protein with minimal fat/carbs/minerals.</t>
      </text>
    </comment>
    <comment ref="BP30" authorId="0" shapeId="0">
      <text>
        <t>Whey protein isolate is &gt;90% protein with minimal fat/carbs/minerals.</t>
      </text>
    </comment>
    <comment ref="BQ30" authorId="0" shapeId="0">
      <text>
        <t>Whey protein isolate is &gt;90% protein with minimal fat/carbs/minerals.</t>
      </text>
    </comment>
    <comment ref="BR30" authorId="0" shapeId="0">
      <text>
        <t>Whey protein isolate is &gt;90% protein with minimal fat/carbs/minerals.</t>
      </text>
    </comment>
    <comment ref="BS30" authorId="0" shapeId="0">
      <text>
        <t>Whey protein isolate is &gt;90% protein with minimal fat/carbs/minerals.</t>
      </text>
    </comment>
    <comment ref="BT30" authorId="0" shapeId="0">
      <text>
        <t>Whey protein isolate is &gt;90% protein with minimal fat/carbs/minerals.</t>
      </text>
    </comment>
    <comment ref="BU30" authorId="0" shapeId="0">
      <text>
        <t>Whey protein isolate is &gt;90% protein with minimal fat/carbs/minerals.</t>
      </text>
    </comment>
    <comment ref="BV30" authorId="0" shapeId="0">
      <text>
        <t>Whey protein isolate is &gt;90% protein with minimal fat/carbs/minerals.</t>
      </text>
    </comment>
    <comment ref="BW30" authorId="0" shapeId="0">
      <text>
        <t>Whey protein isolate is &gt;90% protein with minimal fat/carbs/minerals.</t>
      </text>
    </comment>
    <comment ref="BX30" authorId="0" shapeId="0">
      <text>
        <t>Whey protein isolate is &gt;90% protein with minimal fat/carbs/minerals.</t>
      </text>
    </comment>
    <comment ref="BY30" authorId="0" shapeId="0">
      <text>
        <t>Whey protein isolate is &gt;90% protein with minimal fat/carbs/minerals.</t>
      </text>
    </comment>
    <comment ref="BZ30" authorId="0" shapeId="0">
      <text>
        <t>Whey protein isolate is &gt;90% protein with minimal fat/carbs/minerals.</t>
      </text>
    </comment>
    <comment ref="CA30" authorId="0" shapeId="0">
      <text>
        <t>Whey protein isolate is &gt;90% protein with minimal fat/carbs/minerals.</t>
      </text>
    </comment>
    <comment ref="CB30" authorId="0" shapeId="0">
      <text>
        <t>Whey protein isolate is &gt;90% protein with minimal fat/carbs/minerals.</t>
      </text>
    </comment>
    <comment ref="CC30" authorId="0" shapeId="0">
      <text>
        <t>Whey protein isolate is &gt;90% protein with minimal fat/carbs/minerals.</t>
      </text>
    </comment>
    <comment ref="CD30" authorId="0" shapeId="0">
      <text>
        <t>Whey protein isolate is &gt;90% protein with minimal fat/carbs/minerals.</t>
      </text>
    </comment>
    <comment ref="CE30" authorId="0" shapeId="0">
      <text>
        <t>Whey protein isolate is &gt;90% protein with minimal fat/carbs/minerals.</t>
      </text>
    </comment>
    <comment ref="CF30" authorId="0" shapeId="0">
      <text>
        <t>Whey protein isolate has ~11% leucine by protein weight (highest of all protein sources). 27 × 0.11 = 2.97 → 3.0 g leucine per 30g serving. Tier 1 (industry-standard WPI amino profile).</t>
      </text>
    </comment>
    <comment ref="CG30" authorId="0" shapeId="0">
      <text>
        <t>Whey protein isolate is &gt;90% protein with minimal fat/carbs/minerals.</t>
      </text>
    </comment>
    <comment ref="CH30" authorId="0" shapeId="0">
      <text>
        <t>Whey protein isolate is &gt;90% protein with minimal fat/carbs/minerals.</t>
      </text>
    </comment>
    <comment ref="CI30" authorId="0" shapeId="0">
      <text>
        <t>Whey protein isolate is &gt;90% protein with minimal fat/carbs/minerals.</t>
      </text>
    </comment>
    <comment ref="CJ30" authorId="0" shapeId="0">
      <text>
        <t>Whey protein isolate is &gt;90% protein with minimal fat/carbs/minerals.</t>
      </text>
    </comment>
    <comment ref="CK30" authorId="0" shapeId="0">
      <text>
        <t>Whey protein isolate is &gt;90% protein with minimal fat/carbs/minerals.</t>
      </text>
    </comment>
    <comment ref="CL30" authorId="0" shapeId="0">
      <text>
        <t>Whey protein isolate is &gt;90% protein with minimal fat/carbs/minerals.</t>
      </text>
    </comment>
    <comment ref="CM30" authorId="0" shapeId="0">
      <text>
        <t>Whey protein isolate is &gt;90% protein with minimal fat/carbs/minerals.</t>
      </text>
    </comment>
    <comment ref="CN30" authorId="0" shapeId="0">
      <text>
        <t>Whey protein isolate is &gt;90% protein with minimal fat/carbs/minerals.</t>
      </text>
    </comment>
    <comment ref="CO30" authorId="0" shapeId="0">
      <text>
        <t>Whey protein isolate is &gt;90% protein with minimal fat/carbs/minerals.</t>
      </text>
    </comment>
    <comment ref="CP30" authorId="0" shapeId="0">
      <text>
        <t>Whey protein isolate is &gt;90% protein with minimal fat/carbs/minerals.</t>
      </text>
    </comment>
    <comment ref="CQ30" authorId="0" shapeId="0">
      <text>
        <t>Whey protein isolate is &gt;90% protein with minimal fat/carbs/minerals.</t>
      </text>
    </comment>
    <comment ref="CR30" authorId="0" shapeId="0">
      <text>
        <t>Whey protein isolate is &gt;90% protein with minimal fat/carbs/minerals.</t>
      </text>
    </comment>
    <comment ref="CS30" authorId="0" shapeId="0">
      <text>
        <t>Whey protein isolate is &gt;90% protein with minimal fat/carbs/minerals.</t>
      </text>
    </comment>
    <comment ref="CT30" authorId="0" shapeId="0">
      <text>
        <t>Whey protein isolate is &gt;90% protein with minimal fat/carbs/minerals.</t>
      </text>
    </comment>
    <comment ref="CU30" authorId="0" shapeId="0">
      <text>
        <t>Whey protein isolate is &gt;90% protein with minimal fat/carbs/minerals.</t>
      </text>
    </comment>
    <comment ref="CV30" authorId="0" shapeId="0">
      <text>
        <t>Whey protein isolate is &gt;90% protein with minimal fat/carbs/minerals.</t>
      </text>
    </comment>
    <comment ref="C31" authorId="1" shapeId="0">
      <text>
        <t>CHANGED from Vital Proteins (Nestlé-owned since 2019). Momentous: NSF Certified for Sport, FORTIGEL® bioactive peptides, grass-fed bovine, non-GMO, gluten-free. Trusted by all 32 NFL teams.</t>
      </text>
    </comment>
    <comment ref="O31" authorId="0" shapeId="0">
      <text>
        <t>Momentous label: 15g serving contains ~13g protein (10g collagen + 5g FORTIGEL®, some overlap). 13 × 4 + ~50mg Vit C × 0 = ~52-55 kcal.</t>
      </text>
    </comment>
    <comment ref="P31" authorId="0" shapeId="0">
      <text>
        <t>Momentous label: "10g collagen + 5g FORTIGEL® bioactive collagen peptides" per serving. Total protein ~13g (with some overlap in collagen types).</t>
      </text>
    </comment>
    <comment ref="Q31" authorId="0" shapeId="0">
      <text>
        <t>Collagen peptides: specialized protein, minimal other nutrients.</t>
      </text>
    </comment>
    <comment ref="R31" authorId="0" shapeId="0">
      <text>
        <t>Collagen peptides: specialized protein, minimal other nutrients.</t>
      </text>
    </comment>
    <comment ref="S31" authorId="0" shapeId="0">
      <text>
        <t>Collagen peptides: specialized protein, minimal other nutrients.</t>
      </text>
    </comment>
    <comment ref="T31" authorId="0" shapeId="0">
      <text>
        <t>All 13g is collagen protein (Type I/III bovine collagen peptides).</t>
      </text>
    </comment>
    <comment ref="U31" authorId="0" shapeId="0">
      <text>
        <t>Collagen peptides: specialized protein, minimal other nutrients.</t>
      </text>
    </comment>
    <comment ref="W31" authorId="0" shapeId="0">
      <text>
        <t>Collagen peptides: specialized protein, minimal other nutrients.</t>
      </text>
    </comment>
    <comment ref="X31" authorId="0" shapeId="0">
      <text>
        <t>Collagen peptides: specialized protein, minimal other nutrients.</t>
      </text>
    </comment>
    <comment ref="Y31" authorId="0" shapeId="0">
      <text>
        <t>Collagen peptides: specialized protein, minimal other nutrients.</t>
      </text>
    </comment>
    <comment ref="Z31" authorId="0" shapeId="0">
      <text>
        <t>Collagen peptides: specialized protein, minimal other nutrients.</t>
      </text>
    </comment>
    <comment ref="AA31" authorId="0" shapeId="0">
      <text>
        <t>Collagen peptides: specialized protein, minimal other nutrients.</t>
      </text>
    </comment>
    <comment ref="AB31" authorId="0" shapeId="0">
      <text>
        <t>Collagen peptides: specialized protein, minimal other nutrients.</t>
      </text>
    </comment>
    <comment ref="AC31" authorId="0" shapeId="0">
      <text>
        <t>Collagen peptides: specialized protein, minimal other nutrients.</t>
      </text>
    </comment>
    <comment ref="AD31" authorId="0" shapeId="0">
      <text>
        <t>Collagen peptides: specialized protein, minimal other nutrients.</t>
      </text>
    </comment>
    <comment ref="AE31" authorId="0" shapeId="0">
      <text>
        <t>Collagen peptides: specialized protein, minimal other nutrients.</t>
      </text>
    </comment>
    <comment ref="AF31" authorId="0" shapeId="0">
      <text>
        <t>Collagen peptides: specialized protein, minimal other nutrients.</t>
      </text>
    </comment>
    <comment ref="AG31" authorId="0" shapeId="0">
      <text>
        <t>Formula.</t>
      </text>
    </comment>
    <comment ref="AH31" authorId="0" shapeId="0">
      <text>
        <t>Collagen peptides: specialized protein, minimal other nutrients.</t>
      </text>
    </comment>
    <comment ref="AI31" authorId="0" shapeId="0">
      <text>
        <t>Formula.</t>
      </text>
    </comment>
    <comment ref="AJ31" authorId="0" shapeId="0">
      <text>
        <t>Collagen peptides: specialized protein, minimal other nutrients.</t>
      </text>
    </comment>
    <comment ref="AK31" authorId="0" shapeId="0">
      <text>
        <t>Collagen peptides: specialized protein, minimal other nutrients.</t>
      </text>
    </comment>
    <comment ref="AL31" authorId="0" shapeId="0">
      <text>
        <t>Collagen peptides: specialized protein, minimal other nutrients.</t>
      </text>
    </comment>
    <comment ref="AM31" authorId="0" shapeId="0">
      <text>
        <t>Collagen peptides: specialized protein, minimal other nutrients.</t>
      </text>
    </comment>
    <comment ref="AN31" authorId="0" shapeId="0">
      <text>
        <t>Collagen peptides: specialized protein, minimal other nutrients.</t>
      </text>
    </comment>
    <comment ref="AO31" authorId="0" shapeId="0">
      <text>
        <t>Collagen peptides: specialized protein, minimal other nutrients.</t>
      </text>
    </comment>
    <comment ref="AP31" authorId="0" shapeId="0">
      <text>
        <t>Collagen peptides: specialized protein, minimal other nutrients.</t>
      </text>
    </comment>
    <comment ref="AQ31" authorId="0" shapeId="0">
      <text>
        <t>Collagen peptides: specialized protein, minimal other nutrients.</t>
      </text>
    </comment>
    <comment ref="AR31" authorId="0" shapeId="0">
      <text>
        <t>Collagen peptides: specialized protein, minimal other nutrients.</t>
      </text>
    </comment>
    <comment ref="AS31" authorId="0" shapeId="0">
      <text>
        <t>Collagen peptides: specialized protein, minimal other nutrients.</t>
      </text>
    </comment>
    <comment ref="AT31" authorId="0" shapeId="0">
      <text>
        <t>Collagen peptides: specialized protein, minimal other nutrients.</t>
      </text>
    </comment>
    <comment ref="AU31" authorId="0" shapeId="0">
      <text>
        <t>Collagen peptides: specialized protein, minimal other nutrients.</t>
      </text>
    </comment>
    <comment ref="AV31" authorId="0" shapeId="0">
      <text>
        <t>Collagen peptides: specialized protein, minimal other nutrients.</t>
      </text>
    </comment>
    <comment ref="AW31" authorId="0" shapeId="0">
      <text>
        <t>Collagen peptides: specialized protein, minimal other nutrients.</t>
      </text>
    </comment>
    <comment ref="AX31" authorId="0" shapeId="0">
      <text>
        <t>Collagen peptides: specialized protein, minimal other nutrients.</t>
      </text>
    </comment>
    <comment ref="AY31" authorId="0" shapeId="0">
      <text>
        <t>Collagen peptides: specialized protein, minimal other nutrients.</t>
      </text>
    </comment>
    <comment ref="AZ31" authorId="0" shapeId="0">
      <text>
        <t>Momentous label: "50mg Vitamin C" per serving (added for collagen synthesis support).</t>
      </text>
    </comment>
    <comment ref="BA31" authorId="0" shapeId="0">
      <text>
        <t>Collagen peptides: specialized protein, minimal other nutrients.</t>
      </text>
    </comment>
    <comment ref="BB31" authorId="0" shapeId="0">
      <text>
        <t>Collagen peptides: specialized protein, minimal other nutrients.</t>
      </text>
    </comment>
    <comment ref="BC31" authorId="0" shapeId="0">
      <text>
        <t>Collagen peptides: specialized protein, minimal other nutrients.</t>
      </text>
    </comment>
    <comment ref="BD31" authorId="0" shapeId="0">
      <text>
        <t>Collagen peptides: specialized protein, minimal other nutrients.</t>
      </text>
    </comment>
    <comment ref="BE31" authorId="0" shapeId="0">
      <text>
        <t>Collagen peptides: specialized protein, minimal other nutrients.</t>
      </text>
    </comment>
    <comment ref="BF31" authorId="0" shapeId="0">
      <text>
        <t>Collagen peptides: specialized protein, minimal other nutrients.</t>
      </text>
    </comment>
    <comment ref="BG31" authorId="0" shapeId="0">
      <text>
        <t>Collagen peptides: specialized protein, minimal other nutrients.</t>
      </text>
    </comment>
    <comment ref="BH31" authorId="0" shapeId="0">
      <text>
        <t>Collagen peptides: specialized protein, minimal other nutrients.</t>
      </text>
    </comment>
    <comment ref="BI31" authorId="0" shapeId="0">
      <text>
        <t>Collagen peptides: specialized protein, minimal other nutrients.</t>
      </text>
    </comment>
    <comment ref="BJ31" authorId="0" shapeId="0">
      <text>
        <t>Collagen peptides: specialized protein, minimal other nutrients.</t>
      </text>
    </comment>
    <comment ref="BK31" authorId="0" shapeId="0">
      <text>
        <t>Collagen peptides: specialized protein, minimal other nutrients.</t>
      </text>
    </comment>
    <comment ref="BL31" authorId="0" shapeId="0">
      <text>
        <t>Collagen peptides: specialized protein, minimal other nutrients.</t>
      </text>
    </comment>
    <comment ref="BM31" authorId="0" shapeId="0">
      <text>
        <t>Collagen peptides: specialized protein, minimal other nutrients.</t>
      </text>
    </comment>
    <comment ref="BN31" authorId="0" shapeId="0">
      <text>
        <t>Collagen peptides: specialized protein, minimal other nutrients.</t>
      </text>
    </comment>
    <comment ref="BO31" authorId="0" shapeId="0">
      <text>
        <t>Collagen peptides: specialized protein, minimal other nutrients.</t>
      </text>
    </comment>
    <comment ref="BP31" authorId="0" shapeId="0">
      <text>
        <t>Collagen peptides: specialized protein, minimal other nutrients.</t>
      </text>
    </comment>
    <comment ref="BQ31" authorId="0" shapeId="0">
      <text>
        <t>Collagen peptides: specialized protein, minimal other nutrients.</t>
      </text>
    </comment>
    <comment ref="BR31" authorId="0" shapeId="0">
      <text>
        <t>Collagen peptides: specialized protein, minimal other nutrients.</t>
      </text>
    </comment>
    <comment ref="BS31" authorId="0" shapeId="0">
      <text>
        <t>Collagen peptides: specialized protein, minimal other nutrients.</t>
      </text>
    </comment>
    <comment ref="BT31" authorId="0" shapeId="0">
      <text>
        <t>Collagen peptides: specialized protein, minimal other nutrients.</t>
      </text>
    </comment>
    <comment ref="BU31" authorId="0" shapeId="0">
      <text>
        <t>Collagen peptides: specialized protein, minimal other nutrients.</t>
      </text>
    </comment>
    <comment ref="BV31" authorId="0" shapeId="0">
      <text>
        <t>Collagen peptides: specialized protein, minimal other nutrients.</t>
      </text>
    </comment>
    <comment ref="BW31" authorId="0" shapeId="0">
      <text>
        <t>Collagen peptides: specialized protein, minimal other nutrients.</t>
      </text>
    </comment>
    <comment ref="BX31" authorId="0" shapeId="0">
      <text>
        <t>Collagen peptides: specialized protein, minimal other nutrients.</t>
      </text>
    </comment>
    <comment ref="BY31" authorId="0" shapeId="0">
      <text>
        <t>Collagen peptides: specialized protein, minimal other nutrients.</t>
      </text>
    </comment>
    <comment ref="BZ31" authorId="0" shapeId="0">
      <text>
        <t>Collagen peptides: specialized protein, minimal other nutrients.</t>
      </text>
    </comment>
    <comment ref="CA31" authorId="0" shapeId="0">
      <text>
        <t>Collagen peptides: specialized protein, minimal other nutrients.</t>
      </text>
    </comment>
    <comment ref="CB31" authorId="0" shapeId="0">
      <text>
        <t>Collagen peptides: specialized protein, minimal other nutrients.</t>
      </text>
    </comment>
    <comment ref="CC31" authorId="0" shapeId="0">
      <text>
        <t>Collagen peptides: specialized protein, minimal other nutrients.</t>
      </text>
    </comment>
    <comment ref="CD31" authorId="0" shapeId="0">
      <text>
        <t>Collagen peptides: specialized protein, minimal other nutrients.</t>
      </text>
    </comment>
    <comment ref="CE31" authorId="0" shapeId="0">
      <text>
        <t>Collagen peptides: specialized protein, minimal other nutrients.</t>
      </text>
    </comment>
    <comment ref="CF31" authorId="0" shapeId="0">
      <text>
        <t>Collagen has ~3% leucine (vs 11% in whey). 13 × 0.03 = 0.39 g. Collagen is LOW in BCAAs (its value is glycine/proline/hydroxyproline, not leucine). Math-heavy.</t>
      </text>
    </comment>
    <comment ref="CG31" authorId="0" shapeId="0">
      <text>
        <t>Momentous: 13g collagen protein per serving. This IS the collagen(g) column value.</t>
      </text>
    </comment>
    <comment ref="CH31" authorId="0" shapeId="0">
      <text>
        <t>Collagen peptides: specialized protein, minimal other nutrients.</t>
      </text>
    </comment>
    <comment ref="CI31" authorId="0" shapeId="0">
      <text>
        <t>Collagen peptides: specialized protein, minimal other nutrients.</t>
      </text>
    </comment>
    <comment ref="CJ31" authorId="0" shapeId="0">
      <text>
        <t>Collagen peptides: specialized protein, minimal other nutrients.</t>
      </text>
    </comment>
    <comment ref="CK31" authorId="0" shapeId="0">
      <text>
        <t>Collagen peptides: specialized protein, minimal other nutrients.</t>
      </text>
    </comment>
    <comment ref="CL31" authorId="0" shapeId="0">
      <text>
        <t>Collagen peptides: specialized protein, minimal other nutrients.</t>
      </text>
    </comment>
    <comment ref="CM31" authorId="0" shapeId="0">
      <text>
        <t>Collagen peptides: specialized protein, minimal other nutrients.</t>
      </text>
    </comment>
    <comment ref="CN31" authorId="0" shapeId="0">
      <text>
        <t>Collagen peptides: specialized protein, minimal other nutrients.</t>
      </text>
    </comment>
    <comment ref="CO31" authorId="0" shapeId="0">
      <text>
        <t>Collagen peptides: specialized protein, minimal other nutrients.</t>
      </text>
    </comment>
    <comment ref="CP31" authorId="0" shapeId="0">
      <text>
        <t>Collagen peptides: specialized protein, minimal other nutrients.</t>
      </text>
    </comment>
    <comment ref="CQ31" authorId="0" shapeId="0">
      <text>
        <t>Collagen peptides: specialized protein, minimal other nutrients.</t>
      </text>
    </comment>
    <comment ref="CR31" authorId="0" shapeId="0">
      <text>
        <t>Collagen peptides: specialized protein, minimal other nutrients.</t>
      </text>
    </comment>
    <comment ref="CS31" authorId="0" shapeId="0">
      <text>
        <t>Collagen peptides: specialized protein, minimal other nutrients.</t>
      </text>
    </comment>
    <comment ref="CT31" authorId="0" shapeId="0">
      <text>
        <t>Collagen peptides: specialized protein, minimal other nutrients.</t>
      </text>
    </comment>
    <comment ref="CU31" authorId="0" shapeId="0">
      <text>
        <t>Collagen peptides: specialized protein, minimal other nutrients.</t>
      </text>
    </comment>
    <comment ref="CV31" authorId="0" shapeId="0">
      <text>
        <t>Collagen peptides: specialized protein, minimal other nutrients.</t>
      </text>
    </comment>
    <comment ref="C32" authorId="1" shapeId="0">
      <text>
        <t>KEPT + CONFIRMED Creapure® source. NSF Certified for Sport. No fillers. Testosterone-safe: no conversion to DHT at 5g/day (meta-analysis confirmed). Trusted by Mayo Clinic, UFC, Olympic athletes.</t>
      </text>
    </comment>
    <comment ref="O32" authorId="0" shapeId="0">
      <text>
        <t>Creatine monohydrate has 0 metabolizable calories (not used for energy).</t>
      </text>
    </comment>
    <comment ref="P32" authorId="0" shapeId="0">
      <text>
        <t>Creatine monohydrate: pure single compound, no calories/macro/micro.</t>
      </text>
    </comment>
    <comment ref="Q32" authorId="0" shapeId="0">
      <text>
        <t>Creatine monohydrate: pure single compound, no calories/macro/micro.</t>
      </text>
    </comment>
    <comment ref="R32" authorId="0" shapeId="0">
      <text>
        <t>Creatine monohydrate: pure single compound, no calories/macro/micro.</t>
      </text>
    </comment>
    <comment ref="S32" authorId="0" shapeId="0">
      <text>
        <t>Creatine monohydrate: pure single compound, no calories/macro/micro.</t>
      </text>
    </comment>
    <comment ref="T32" authorId="0" shapeId="0">
      <text>
        <t>Creatine monohydrate: pure single compound, no calories/macro/micro.</t>
      </text>
    </comment>
    <comment ref="U32" authorId="0" shapeId="0">
      <text>
        <t>Creatine monohydrate: pure single compound, no calories/macro/micro.</t>
      </text>
    </comment>
    <comment ref="W32" authorId="0" shapeId="0">
      <text>
        <t>Creatine monohydrate: pure single compound, no calories/macro/micro.</t>
      </text>
    </comment>
    <comment ref="X32" authorId="0" shapeId="0">
      <text>
        <t>Creatine monohydrate: pure single compound, no calories/macro/micro.</t>
      </text>
    </comment>
    <comment ref="Y32" authorId="0" shapeId="0">
      <text>
        <t>Creatine monohydrate: pure single compound, no calories/macro/micro.</t>
      </text>
    </comment>
    <comment ref="Z32" authorId="0" shapeId="0">
      <text>
        <t>Creatine monohydrate: pure single compound, no calories/macro/micro.</t>
      </text>
    </comment>
    <comment ref="AA32" authorId="0" shapeId="0">
      <text>
        <t>Creatine monohydrate: pure single compound, no calories/macro/micro.</t>
      </text>
    </comment>
    <comment ref="AB32" authorId="0" shapeId="0">
      <text>
        <t>Creatine monohydrate: pure single compound, no calories/macro/micro.</t>
      </text>
    </comment>
    <comment ref="AC32" authorId="0" shapeId="0">
      <text>
        <t>Creatine monohydrate: pure single compound, no calories/macro/micro.</t>
      </text>
    </comment>
    <comment ref="AD32" authorId="0" shapeId="0">
      <text>
        <t>Creatine monohydrate: pure single compound, no calories/macro/micro.</t>
      </text>
    </comment>
    <comment ref="AE32" authorId="0" shapeId="0">
      <text>
        <t>Creatine monohydrate: pure single compound, no calories/macro/micro.</t>
      </text>
    </comment>
    <comment ref="AF32" authorId="0" shapeId="0">
      <text>
        <t>Creatine monohydrate: pure single compound, no calories/macro/micro.</t>
      </text>
    </comment>
    <comment ref="AG32" authorId="0" shapeId="0">
      <text>
        <t>Formula.</t>
      </text>
    </comment>
    <comment ref="AH32" authorId="0" shapeId="0">
      <text>
        <t>Creatine monohydrate: pure single compound, no calories/macro/micro.</t>
      </text>
    </comment>
    <comment ref="AI32" authorId="0" shapeId="0">
      <text>
        <t>Formula.</t>
      </text>
    </comment>
    <comment ref="AJ32" authorId="0" shapeId="0">
      <text>
        <t>Creatine monohydrate: pure single compound, no calories/macro/micro.</t>
      </text>
    </comment>
    <comment ref="AK32" authorId="0" shapeId="0">
      <text>
        <t>Creatine monohydrate: pure single compound, no calories/macro/micro.</t>
      </text>
    </comment>
    <comment ref="AL32" authorId="0" shapeId="0">
      <text>
        <t>Creatine monohydrate: pure single compound, no calories/macro/micro.</t>
      </text>
    </comment>
    <comment ref="AM32" authorId="0" shapeId="0">
      <text>
        <t>Creatine monohydrate: pure single compound, no calories/macro/micro.</t>
      </text>
    </comment>
    <comment ref="AN32" authorId="0" shapeId="0">
      <text>
        <t>Creatine monohydrate: pure single compound, no calories/macro/micro.</t>
      </text>
    </comment>
    <comment ref="AO32" authorId="0" shapeId="0">
      <text>
        <t>Creatine monohydrate: pure single compound, no calories/macro/micro.</t>
      </text>
    </comment>
    <comment ref="AP32" authorId="0" shapeId="0">
      <text>
        <t>Creatine monohydrate: pure single compound, no calories/macro/micro.</t>
      </text>
    </comment>
    <comment ref="AQ32" authorId="0" shapeId="0">
      <text>
        <t>Creatine monohydrate: pure single compound, no calories/macro/micro.</t>
      </text>
    </comment>
    <comment ref="AR32" authorId="0" shapeId="0">
      <text>
        <t>Creatine monohydrate: pure single compound, no calories/macro/micro.</t>
      </text>
    </comment>
    <comment ref="AS32" authorId="0" shapeId="0">
      <text>
        <t>Creatine monohydrate: pure single compound, no calories/macro/micro.</t>
      </text>
    </comment>
    <comment ref="AT32" authorId="0" shapeId="0">
      <text>
        <t>Creatine monohydrate: pure single compound, no calories/macro/micro.</t>
      </text>
    </comment>
    <comment ref="AU32" authorId="0" shapeId="0">
      <text>
        <t>Creatine monohydrate: pure single compound, no calories/macro/micro.</t>
      </text>
    </comment>
    <comment ref="AV32" authorId="0" shapeId="0">
      <text>
        <t>Creatine monohydrate: pure single compound, no calories/macro/micro.</t>
      </text>
    </comment>
    <comment ref="AW32" authorId="0" shapeId="0">
      <text>
        <t>Creatine monohydrate: pure single compound, no calories/macro/micro.</t>
      </text>
    </comment>
    <comment ref="AX32" authorId="0" shapeId="0">
      <text>
        <t>Creatine monohydrate: pure single compound, no calories/macro/micro.</t>
      </text>
    </comment>
    <comment ref="AY32" authorId="0" shapeId="0">
      <text>
        <t>Creatine monohydrate: pure single compound, no calories/macro/micro.</t>
      </text>
    </comment>
    <comment ref="AZ32" authorId="0" shapeId="0">
      <text>
        <t>Creatine monohydrate: pure single compound, no calories/macro/micro.</t>
      </text>
    </comment>
    <comment ref="BA32" authorId="0" shapeId="0">
      <text>
        <t>Creatine monohydrate: pure single compound, no calories/macro/micro.</t>
      </text>
    </comment>
    <comment ref="BB32" authorId="0" shapeId="0">
      <text>
        <t>Creatine monohydrate: pure single compound, no calories/macro/micro.</t>
      </text>
    </comment>
    <comment ref="BC32" authorId="0" shapeId="0">
      <text>
        <t>Creatine monohydrate: pure single compound, no calories/macro/micro.</t>
      </text>
    </comment>
    <comment ref="BD32" authorId="0" shapeId="0">
      <text>
        <t>Creatine monohydrate: pure single compound, no calories/macro/micro.</t>
      </text>
    </comment>
    <comment ref="BE32" authorId="0" shapeId="0">
      <text>
        <t>Creatine monohydrate: pure single compound, no calories/macro/micro.</t>
      </text>
    </comment>
    <comment ref="BF32" authorId="0" shapeId="0">
      <text>
        <t>Creatine monohydrate: pure single compound, no calories/macro/micro.</t>
      </text>
    </comment>
    <comment ref="BG32" authorId="0" shapeId="0">
      <text>
        <t>Creatine monohydrate: pure single compound, no calories/macro/micro.</t>
      </text>
    </comment>
    <comment ref="BH32" authorId="0" shapeId="0">
      <text>
        <t>Creatine monohydrate: pure single compound, no calories/macro/micro.</t>
      </text>
    </comment>
    <comment ref="BI32" authorId="0" shapeId="0">
      <text>
        <t>Creatine monohydrate: pure single compound, no calories/macro/micro.</t>
      </text>
    </comment>
    <comment ref="BJ32" authorId="0" shapeId="0">
      <text>
        <t>Creatine monohydrate: pure single compound, no calories/macro/micro.</t>
      </text>
    </comment>
    <comment ref="BK32" authorId="0" shapeId="0">
      <text>
        <t>Creatine monohydrate: pure single compound, no calories/macro/micro.</t>
      </text>
    </comment>
    <comment ref="BL32" authorId="0" shapeId="0">
      <text>
        <t>Creatine monohydrate: pure single compound, no calories/macro/micro.</t>
      </text>
    </comment>
    <comment ref="BM32" authorId="0" shapeId="0">
      <text>
        <t>Creatine monohydrate: pure single compound, no calories/macro/micro.</t>
      </text>
    </comment>
    <comment ref="BN32" authorId="0" shapeId="0">
      <text>
        <t>Creatine monohydrate: pure single compound, no calories/macro/micro.</t>
      </text>
    </comment>
    <comment ref="BO32" authorId="0" shapeId="0">
      <text>
        <t>Creatine monohydrate: pure single compound, no calories/macro/micro.</t>
      </text>
    </comment>
    <comment ref="BP32" authorId="0" shapeId="0">
      <text>
        <t>Creatine monohydrate: pure single compound, no calories/macro/micro.</t>
      </text>
    </comment>
    <comment ref="BQ32" authorId="0" shapeId="0">
      <text>
        <t>Creatine monohydrate: pure single compound, no calories/macro/micro.</t>
      </text>
    </comment>
    <comment ref="BR32" authorId="0" shapeId="0">
      <text>
        <t>Creatine monohydrate: pure single compound, no calories/macro/micro.</t>
      </text>
    </comment>
    <comment ref="BS32" authorId="0" shapeId="0">
      <text>
        <t>Creatine monohydrate: pure single compound, no calories/macro/micro.</t>
      </text>
    </comment>
    <comment ref="BT32" authorId="0" shapeId="0">
      <text>
        <t>Creatine monohydrate: pure single compound, no calories/macro/micro.</t>
      </text>
    </comment>
    <comment ref="BU32" authorId="0" shapeId="0">
      <text>
        <t>Creatine monohydrate: pure single compound, no calories/macro/micro.</t>
      </text>
    </comment>
    <comment ref="BV32" authorId="0" shapeId="0">
      <text>
        <t>Creatine monohydrate: pure single compound, no calories/macro/micro.</t>
      </text>
    </comment>
    <comment ref="BW32" authorId="0" shapeId="0">
      <text>
        <t>Creatine monohydrate: pure single compound, no calories/macro/micro.</t>
      </text>
    </comment>
    <comment ref="BX32" authorId="0" shapeId="0">
      <text>
        <t>Creatine monohydrate: pure single compound, no calories/macro/micro.</t>
      </text>
    </comment>
    <comment ref="BY32" authorId="0" shapeId="0">
      <text>
        <t>Creatine monohydrate: pure single compound, no calories/macro/micro.</t>
      </text>
    </comment>
    <comment ref="BZ32" authorId="0" shapeId="0">
      <text>
        <t>Creatine monohydrate: pure single compound, no calories/macro/micro.</t>
      </text>
    </comment>
    <comment ref="CA32" authorId="0" shapeId="0">
      <text>
        <t>Creatine monohydrate: pure single compound, no calories/macro/micro.</t>
      </text>
    </comment>
    <comment ref="CB32" authorId="0" shapeId="0">
      <text>
        <t>Creatine monohydrate: pure single compound, no calories/macro/micro.</t>
      </text>
    </comment>
    <comment ref="CC32" authorId="0" shapeId="0">
      <text>
        <t>Creatine monohydrate: pure single compound, no calories/macro/micro.</t>
      </text>
    </comment>
    <comment ref="CD32" authorId="0" shapeId="0">
      <text>
        <t>Creatine monohydrate: pure single compound, no calories/macro/micro.</t>
      </text>
    </comment>
    <comment ref="CE32" authorId="0" shapeId="0">
      <text>
        <t>Creatine monohydrate: pure single compound, no calories/macro/micro.</t>
      </text>
    </comment>
    <comment ref="CF32" authorId="0" shapeId="0">
      <text>
        <t>Creatine monohydrate: pure single compound, no calories/macro/micro.</t>
      </text>
    </comment>
    <comment ref="CG32" authorId="0" shapeId="0">
      <text>
        <t>Creatine monohydrate: pure single compound, no calories/macro/micro.</t>
      </text>
    </comment>
    <comment ref="CH32" authorId="0" shapeId="0">
      <text>
        <t>Creatine monohydrate: pure single compound, no calories/macro/micro.</t>
      </text>
    </comment>
    <comment ref="CI32" authorId="0" shapeId="0">
      <text>
        <t>Creatine monohydrate: pure single compound, no calories/macro/micro.</t>
      </text>
    </comment>
    <comment ref="CJ32" authorId="0" shapeId="0">
      <text>
        <t>Creatine monohydrate: pure single compound, no calories/macro/micro.</t>
      </text>
    </comment>
    <comment ref="CK32" authorId="0" shapeId="0">
      <text>
        <t>Thorne Creatine: 5g creatine monohydrate per scoop (single ingredient, NSF Certified for Sport). 5g creatine monohydrate = ~4.4g active creatine + 0.6g water of crystallization.</t>
      </text>
    </comment>
    <comment ref="CL32" authorId="0" shapeId="0">
      <text>
        <t>Creatine monohydrate: pure single compound, no calories/macro/micro.</t>
      </text>
    </comment>
    <comment ref="CM32" authorId="0" shapeId="0">
      <text>
        <t>Creatine monohydrate: pure single compound, no calories/macro/micro.</t>
      </text>
    </comment>
    <comment ref="CN32" authorId="0" shapeId="0">
      <text>
        <t>Creatine monohydrate: pure single compound, no calories/macro/micro.</t>
      </text>
    </comment>
    <comment ref="CO32" authorId="0" shapeId="0">
      <text>
        <t>Creatine monohydrate: pure single compound, no calories/macro/micro.</t>
      </text>
    </comment>
    <comment ref="CP32" authorId="0" shapeId="0">
      <text>
        <t>Creatine monohydrate: pure single compound, no calories/macro/micro.</t>
      </text>
    </comment>
    <comment ref="CQ32" authorId="0" shapeId="0">
      <text>
        <t>Creatine monohydrate: pure single compound, no calories/macro/micro.</t>
      </text>
    </comment>
    <comment ref="CR32" authorId="0" shapeId="0">
      <text>
        <t>Creatine monohydrate: pure single compound, no calories/macro/micro.</t>
      </text>
    </comment>
    <comment ref="CS32" authorId="0" shapeId="0">
      <text>
        <t>Creatine monohydrate: pure single compound, no calories/macro/micro.</t>
      </text>
    </comment>
    <comment ref="CT32" authorId="0" shapeId="0">
      <text>
        <t>Creatine monohydrate: pure single compound, no calories/macro/micro.</t>
      </text>
    </comment>
    <comment ref="CU32" authorId="0" shapeId="0">
      <text>
        <t>Creatine monohydrate: pure single compound, no calories/macro/micro.</t>
      </text>
    </comment>
    <comment ref="CV32" authorId="0" shapeId="0">
      <text>
        <t>Creatine monohydrate: pure single compound, no calories/macro/micro.</t>
      </text>
    </comment>
    <comment ref="C33" authorId="1" shapeId="0">
      <text>
        <t>KEPT: Taurine cannot be certified organic — it is a synthesized amino acid. NOW Foods: single ingredient, Non-GMO, Vegan, Kosher, GMP, ConsumerLab approved. No fillers whatsoever. This is the gold standard for pure taurine powder.</t>
      </text>
    </comment>
    <comment ref="O33" authorId="0" shapeId="0">
      <text>
        <t>Free-form taurine: technically 4 kcal/g as amino acid but metabolically negligible. Listed as 0.</t>
      </text>
    </comment>
    <comment ref="P33" authorId="0" shapeId="0">
      <text>
        <t>Taurine powder: pure single amino acid, no calories/macro/micro.</t>
      </text>
    </comment>
    <comment ref="Q33" authorId="0" shapeId="0">
      <text>
        <t>Taurine powder: pure single amino acid, no calories/macro/micro.</t>
      </text>
    </comment>
    <comment ref="R33" authorId="0" shapeId="0">
      <text>
        <t>Taurine powder: pure single amino acid, no calories/macro/micro.</t>
      </text>
    </comment>
    <comment ref="S33" authorId="0" shapeId="0">
      <text>
        <t>Taurine powder: pure single amino acid, no calories/macro/micro.</t>
      </text>
    </comment>
    <comment ref="T33" authorId="0" shapeId="0">
      <text>
        <t>Taurine powder: pure single amino acid, no calories/macro/micro.</t>
      </text>
    </comment>
    <comment ref="U33" authorId="0" shapeId="0">
      <text>
        <t>Taurine powder: pure single amino acid, no calories/macro/micro.</t>
      </text>
    </comment>
    <comment ref="W33" authorId="0" shapeId="0">
      <text>
        <t>Taurine powder: pure single amino acid, no calories/macro/micro.</t>
      </text>
    </comment>
    <comment ref="X33" authorId="0" shapeId="0">
      <text>
        <t>Taurine powder: pure single amino acid, no calories/macro/micro.</t>
      </text>
    </comment>
    <comment ref="Y33" authorId="0" shapeId="0">
      <text>
        <t>Taurine powder: pure single amino acid, no calories/macro/micro.</t>
      </text>
    </comment>
    <comment ref="Z33" authorId="0" shapeId="0">
      <text>
        <t>Taurine powder: pure single amino acid, no calories/macro/micro.</t>
      </text>
    </comment>
    <comment ref="AA33" authorId="0" shapeId="0">
      <text>
        <t>Taurine powder: pure single amino acid, no calories/macro/micro.</t>
      </text>
    </comment>
    <comment ref="AB33" authorId="0" shapeId="0">
      <text>
        <t>Taurine powder: pure single amino acid, no calories/macro/micro.</t>
      </text>
    </comment>
    <comment ref="AC33" authorId="0" shapeId="0">
      <text>
        <t>Taurine powder: pure single amino acid, no calories/macro/micro.</t>
      </text>
    </comment>
    <comment ref="AD33" authorId="0" shapeId="0">
      <text>
        <t>Taurine powder: pure single amino acid, no calories/macro/micro.</t>
      </text>
    </comment>
    <comment ref="AE33" authorId="0" shapeId="0">
      <text>
        <t>Taurine powder: pure single amino acid, no calories/macro/micro.</t>
      </text>
    </comment>
    <comment ref="AF33" authorId="0" shapeId="0">
      <text>
        <t>Taurine powder: pure single amino acid, no calories/macro/micro.</t>
      </text>
    </comment>
    <comment ref="AG33" authorId="0" shapeId="0">
      <text>
        <t>Formula.</t>
      </text>
    </comment>
    <comment ref="AH33" authorId="0" shapeId="0">
      <text>
        <t>Taurine powder: pure single amino acid, no calories/macro/micro.</t>
      </text>
    </comment>
    <comment ref="AI33" authorId="0" shapeId="0">
      <text>
        <t>Formula.</t>
      </text>
    </comment>
    <comment ref="AJ33" authorId="0" shapeId="0">
      <text>
        <t>Taurine powder: pure single amino acid, no calories/macro/micro.</t>
      </text>
    </comment>
    <comment ref="AK33" authorId="0" shapeId="0">
      <text>
        <t>Taurine powder: pure single amino acid, no calories/macro/micro.</t>
      </text>
    </comment>
    <comment ref="AL33" authorId="0" shapeId="0">
      <text>
        <t>Taurine powder: pure single amino acid, no calories/macro/micro.</t>
      </text>
    </comment>
    <comment ref="AM33" authorId="0" shapeId="0">
      <text>
        <t>Taurine powder: pure single amino acid, no calories/macro/micro.</t>
      </text>
    </comment>
    <comment ref="AN33" authorId="0" shapeId="0">
      <text>
        <t>Taurine powder: pure single amino acid, no calories/macro/micro.</t>
      </text>
    </comment>
    <comment ref="AO33" authorId="0" shapeId="0">
      <text>
        <t>Taurine powder: pure single amino acid, no calories/macro/micro.</t>
      </text>
    </comment>
    <comment ref="AP33" authorId="0" shapeId="0">
      <text>
        <t>Taurine powder: pure single amino acid, no calories/macro/micro.</t>
      </text>
    </comment>
    <comment ref="AQ33" authorId="0" shapeId="0">
      <text>
        <t>Taurine powder: pure single amino acid, no calories/macro/micro.</t>
      </text>
    </comment>
    <comment ref="AR33" authorId="0" shapeId="0">
      <text>
        <t>Taurine powder: pure single amino acid, no calories/macro/micro.</t>
      </text>
    </comment>
    <comment ref="AS33" authorId="0" shapeId="0">
      <text>
        <t>Taurine powder: pure single amino acid, no calories/macro/micro.</t>
      </text>
    </comment>
    <comment ref="AT33" authorId="0" shapeId="0">
      <text>
        <t>Taurine powder: pure single amino acid, no calories/macro/micro.</t>
      </text>
    </comment>
    <comment ref="AU33" authorId="0" shapeId="0">
      <text>
        <t>Taurine powder: pure single amino acid, no calories/macro/micro.</t>
      </text>
    </comment>
    <comment ref="AV33" authorId="0" shapeId="0">
      <text>
        <t>Taurine powder: pure single amino acid, no calories/macro/micro.</t>
      </text>
    </comment>
    <comment ref="AW33" authorId="0" shapeId="0">
      <text>
        <t>Taurine powder: pure single amino acid, no calories/macro/micro.</t>
      </text>
    </comment>
    <comment ref="AX33" authorId="0" shapeId="0">
      <text>
        <t>Taurine powder: pure single amino acid, no calories/macro/micro.</t>
      </text>
    </comment>
    <comment ref="AY33" authorId="0" shapeId="0">
      <text>
        <t>Taurine powder: pure single amino acid, no calories/macro/micro.</t>
      </text>
    </comment>
    <comment ref="AZ33" authorId="0" shapeId="0">
      <text>
        <t>Taurine powder: pure single amino acid, no calories/macro/micro.</t>
      </text>
    </comment>
    <comment ref="BA33" authorId="0" shapeId="0">
      <text>
        <t>Taurine powder: pure single amino acid, no calories/macro/micro.</t>
      </text>
    </comment>
    <comment ref="BB33" authorId="0" shapeId="0">
      <text>
        <t>Taurine powder: pure single amino acid, no calories/macro/micro.</t>
      </text>
    </comment>
    <comment ref="BC33" authorId="0" shapeId="0">
      <text>
        <t>Taurine powder: pure single amino acid, no calories/macro/micro.</t>
      </text>
    </comment>
    <comment ref="BD33" authorId="0" shapeId="0">
      <text>
        <t>Taurine powder: pure single amino acid, no calories/macro/micro.</t>
      </text>
    </comment>
    <comment ref="BE33" authorId="0" shapeId="0">
      <text>
        <t>Taurine powder: pure single amino acid, no calories/macro/micro.</t>
      </text>
    </comment>
    <comment ref="BF33" authorId="0" shapeId="0">
      <text>
        <t>Taurine powder: pure single amino acid, no calories/macro/micro.</t>
      </text>
    </comment>
    <comment ref="BG33" authorId="0" shapeId="0">
      <text>
        <t>Taurine powder: pure single amino acid, no calories/macro/micro.</t>
      </text>
    </comment>
    <comment ref="BH33" authorId="0" shapeId="0">
      <text>
        <t>Taurine powder: pure single amino acid, no calories/macro/micro.</t>
      </text>
    </comment>
    <comment ref="BI33" authorId="0" shapeId="0">
      <text>
        <t>Taurine powder: pure single amino acid, no calories/macro/micro.</t>
      </text>
    </comment>
    <comment ref="BJ33" authorId="0" shapeId="0">
      <text>
        <t>Taurine powder: pure single amino acid, no calories/macro/micro.</t>
      </text>
    </comment>
    <comment ref="BK33" authorId="0" shapeId="0">
      <text>
        <t>Taurine powder: pure single amino acid, no calories/macro/micro.</t>
      </text>
    </comment>
    <comment ref="BL33" authorId="0" shapeId="0">
      <text>
        <t>Taurine powder: pure single amino acid, no calories/macro/micro.</t>
      </text>
    </comment>
    <comment ref="BM33" authorId="0" shapeId="0">
      <text>
        <t>Taurine powder: pure single amino acid, no calories/macro/micro.</t>
      </text>
    </comment>
    <comment ref="BN33" authorId="0" shapeId="0">
      <text>
        <t>Taurine powder: pure single amino acid, no calories/macro/micro.</t>
      </text>
    </comment>
    <comment ref="BO33" authorId="0" shapeId="0">
      <text>
        <t>Taurine powder: pure single amino acid, no calories/macro/micro.</t>
      </text>
    </comment>
    <comment ref="BP33" authorId="0" shapeId="0">
      <text>
        <t>Taurine powder: pure single amino acid, no calories/macro/micro.</t>
      </text>
    </comment>
    <comment ref="BQ33" authorId="0" shapeId="0">
      <text>
        <t>Taurine powder: pure single amino acid, no calories/macro/micro.</t>
      </text>
    </comment>
    <comment ref="BR33" authorId="0" shapeId="0">
      <text>
        <t>Taurine powder: pure single amino acid, no calories/macro/micro.</t>
      </text>
    </comment>
    <comment ref="BS33" authorId="0" shapeId="0">
      <text>
        <t>Taurine powder: pure single amino acid, no calories/macro/micro.</t>
      </text>
    </comment>
    <comment ref="BT33" authorId="0" shapeId="0">
      <text>
        <t>Taurine powder: pure single amino acid, no calories/macro/micro.</t>
      </text>
    </comment>
    <comment ref="BU33" authorId="0" shapeId="0">
      <text>
        <t>Taurine powder: pure single amino acid, no calories/macro/micro.</t>
      </text>
    </comment>
    <comment ref="BV33" authorId="0" shapeId="0">
      <text>
        <t>Taurine powder: pure single amino acid, no calories/macro/micro.</t>
      </text>
    </comment>
    <comment ref="BW33" authorId="0" shapeId="0">
      <text>
        <t>Taurine powder: pure single amino acid, no calories/macro/micro.</t>
      </text>
    </comment>
    <comment ref="BX33" authorId="0" shapeId="0">
      <text>
        <t>Taurine powder: pure single amino acid, no calories/macro/micro.</t>
      </text>
    </comment>
    <comment ref="BY33" authorId="0" shapeId="0">
      <text>
        <t>Taurine powder: pure single amino acid, no calories/macro/micro.</t>
      </text>
    </comment>
    <comment ref="BZ33" authorId="0" shapeId="0">
      <text>
        <t>Taurine powder: pure single amino acid, no calories/macro/micro.</t>
      </text>
    </comment>
    <comment ref="CA33" authorId="0" shapeId="0">
      <text>
        <t>Taurine powder: pure single amino acid, no calories/macro/micro.</t>
      </text>
    </comment>
    <comment ref="CB33" authorId="0" shapeId="0">
      <text>
        <t>Taurine powder: pure single amino acid, no calories/macro/micro.</t>
      </text>
    </comment>
    <comment ref="CC33" authorId="0" shapeId="0">
      <text>
        <t>Taurine powder: pure single amino acid, no calories/macro/micro.</t>
      </text>
    </comment>
    <comment ref="CD33" authorId="0" shapeId="0">
      <text>
        <t>Taurine powder: pure single amino acid, no calories/macro/micro.</t>
      </text>
    </comment>
    <comment ref="CE33" authorId="0" shapeId="0">
      <text>
        <t>Taurine powder: pure single amino acid, no calories/macro/micro.</t>
      </text>
    </comment>
    <comment ref="CF33" authorId="0" shapeId="0">
      <text>
        <t>Taurine powder: pure single amino acid, no calories/macro/micro.</t>
      </text>
    </comment>
    <comment ref="CG33" authorId="0" shapeId="0">
      <text>
        <t>Taurine powder: pure single amino acid, no calories/macro/micro.</t>
      </text>
    </comment>
    <comment ref="CH33" authorId="0" shapeId="0">
      <text>
        <t>Taurine powder: pure single amino acid, no calories/macro/micro.</t>
      </text>
    </comment>
    <comment ref="CI33" authorId="0" shapeId="0">
      <text>
        <t>NOW Foods Taurine: 1.5g = 1500 mg pure L-Taurine per serving (single ingredient). This is the dominant taurine source in the shake (vs ~3mg from milk, negligible from other foods).</t>
      </text>
    </comment>
    <comment ref="CJ33" authorId="0" shapeId="0">
      <text>
        <t>Taurine powder: pure single amino acid, no calories/macro/micro.</t>
      </text>
    </comment>
    <comment ref="CK33" authorId="0" shapeId="0">
      <text>
        <t>Taurine powder: pure single amino acid, no calories/macro/micro.</t>
      </text>
    </comment>
    <comment ref="CL33" authorId="0" shapeId="0">
      <text>
        <t>Taurine powder: pure single amino acid, no calories/macro/micro.</t>
      </text>
    </comment>
    <comment ref="CM33" authorId="0" shapeId="0">
      <text>
        <t>Taurine powder: pure single amino acid, no calories/macro/micro.</t>
      </text>
    </comment>
    <comment ref="CN33" authorId="0" shapeId="0">
      <text>
        <t>Taurine powder: pure single amino acid, no calories/macro/micro.</t>
      </text>
    </comment>
    <comment ref="CO33" authorId="0" shapeId="0">
      <text>
        <t>Taurine powder: pure single amino acid, no calories/macro/micro.</t>
      </text>
    </comment>
    <comment ref="CP33" authorId="0" shapeId="0">
      <text>
        <t>Taurine powder: pure single amino acid, no calories/macro/micro.</t>
      </text>
    </comment>
    <comment ref="CQ33" authorId="0" shapeId="0">
      <text>
        <t>Taurine powder: pure single amino acid, no calories/macro/micro.</t>
      </text>
    </comment>
    <comment ref="CR33" authorId="0" shapeId="0">
      <text>
        <t>Taurine powder: pure single amino acid, no calories/macro/micro.</t>
      </text>
    </comment>
    <comment ref="CS33" authorId="0" shapeId="0">
      <text>
        <t>Taurine powder: pure single amino acid, no calories/macro/micro.</t>
      </text>
    </comment>
    <comment ref="CT33" authorId="0" shapeId="0">
      <text>
        <t>Taurine powder: pure single amino acid, no calories/macro/micro.</t>
      </text>
    </comment>
    <comment ref="CU33" authorId="0" shapeId="0">
      <text>
        <t>Taurine powder: pure single amino acid, no calories/macro/micro.</t>
      </text>
    </comment>
    <comment ref="CV33" authorId="0" shapeId="0">
      <text>
        <t>Taurine powder: pure single amino acid, no calories/macro/micro.</t>
      </text>
    </comment>
    <comment ref="C34" authorId="1" shapeId="0">
      <text>
        <t>CHANGED from BulkSupplements (no sourcing transparency). BioAstin: farm-direct Kona coast Hawaii, pharmaceutical-grade Haematococcus pluvialis, Non-GMO, glyphosate residue free. Gold standard — 16,700+ reviews, decades of research. Note: softgel form requires fat for absorption — take with shake (already fat-rich).</t>
      </text>
    </comment>
    <comment ref="O34" authorId="0" shapeId="0">
      <text>
        <t>Softgel calories from carrier oil (~1g oil ≈ 9 kcal). ~10 kcal. TRACE.</t>
      </text>
    </comment>
    <comment ref="P34" authorId="0" shapeId="0">
      <text>
        <t>Astaxanthin softgel: pure supplement, negligible macro/micro except astaxanthin.</t>
      </text>
    </comment>
    <comment ref="Q34" authorId="0" shapeId="0">
      <text>
        <t>Astaxanthin softgel: pure supplement, negligible macro/micro except astaxanthin.</t>
      </text>
    </comment>
    <comment ref="R34" authorId="0" shapeId="0">
      <text>
        <t>Astaxanthin softgel: pure supplement, negligible macro/micro except astaxanthin.</t>
      </text>
    </comment>
    <comment ref="S34" authorId="0" shapeId="0">
      <text>
        <t>Astaxanthin softgel: pure supplement, negligible macro/micro except astaxanthin.</t>
      </text>
    </comment>
    <comment ref="T34" authorId="0" shapeId="0">
      <text>
        <t>Astaxanthin softgel: pure supplement, negligible macro/micro except astaxanthin.</t>
      </text>
    </comment>
    <comment ref="U34" authorId="0" shapeId="0">
      <text>
        <t>Astaxanthin softgel: pure supplement, negligible macro/micro except astaxanthin.</t>
      </text>
    </comment>
    <comment ref="W34" authorId="0" shapeId="0">
      <text>
        <t>Carrier oil in softgel ~1g fat. TRACE.</t>
      </text>
    </comment>
    <comment ref="X34" authorId="0" shapeId="0">
      <text>
        <t>Astaxanthin softgel: pure supplement, negligible macro/micro except astaxanthin.</t>
      </text>
    </comment>
    <comment ref="Y34" authorId="0" shapeId="0">
      <text>
        <t>Astaxanthin softgel: pure supplement, negligible macro/micro except astaxanthin.</t>
      </text>
    </comment>
    <comment ref="Z34" authorId="0" shapeId="0">
      <text>
        <t>Astaxanthin softgel: pure supplement, negligible macro/micro except astaxanthin.</t>
      </text>
    </comment>
    <comment ref="AA34" authorId="0" shapeId="0">
      <text>
        <t>Astaxanthin softgel: pure supplement, negligible macro/micro except astaxanthin.</t>
      </text>
    </comment>
    <comment ref="AB34" authorId="0" shapeId="0">
      <text>
        <t>Astaxanthin softgel: pure supplement, negligible macro/micro except astaxanthin.</t>
      </text>
    </comment>
    <comment ref="AC34" authorId="0" shapeId="0">
      <text>
        <t>Astaxanthin softgel: pure supplement, negligible macro/micro except astaxanthin.</t>
      </text>
    </comment>
    <comment ref="AD34" authorId="0" shapeId="0">
      <text>
        <t>Astaxanthin softgel: pure supplement, negligible macro/micro except astaxanthin.</t>
      </text>
    </comment>
    <comment ref="AE34" authorId="0" shapeId="0">
      <text>
        <t>Astaxanthin softgel: pure supplement, negligible macro/micro except astaxanthin.</t>
      </text>
    </comment>
    <comment ref="AF34" authorId="0" shapeId="0">
      <text>
        <t>Astaxanthin softgel: pure supplement, negligible macro/micro except astaxanthin.</t>
      </text>
    </comment>
    <comment ref="AG34" authorId="0" shapeId="0">
      <text>
        <t>Formula.</t>
      </text>
    </comment>
    <comment ref="AH34" authorId="0" shapeId="0">
      <text>
        <t>Astaxanthin softgel: pure supplement, negligible macro/micro except astaxanthin.</t>
      </text>
    </comment>
    <comment ref="AI34" authorId="0" shapeId="0">
      <text>
        <t>Formula.</t>
      </text>
    </comment>
    <comment ref="AJ34" authorId="0" shapeId="0">
      <text>
        <t>Astaxanthin softgel: pure supplement, negligible macro/micro except astaxanthin.</t>
      </text>
    </comment>
    <comment ref="AK34" authorId="0" shapeId="0">
      <text>
        <t>Astaxanthin softgel: pure supplement, negligible macro/micro except astaxanthin.</t>
      </text>
    </comment>
    <comment ref="AL34" authorId="0" shapeId="0">
      <text>
        <t>Astaxanthin softgel: pure supplement, negligible macro/micro except astaxanthin.</t>
      </text>
    </comment>
    <comment ref="AM34" authorId="0" shapeId="0">
      <text>
        <t>Astaxanthin softgel: pure supplement, negligible macro/micro except astaxanthin.</t>
      </text>
    </comment>
    <comment ref="AN34" authorId="0" shapeId="0">
      <text>
        <t>Astaxanthin softgel: pure supplement, negligible macro/micro except astaxanthin.</t>
      </text>
    </comment>
    <comment ref="AO34" authorId="0" shapeId="0">
      <text>
        <t>Astaxanthin softgel: pure supplement, negligible macro/micro except astaxanthin.</t>
      </text>
    </comment>
    <comment ref="AP34" authorId="0" shapeId="0">
      <text>
        <t>Astaxanthin softgel: pure supplement, negligible macro/micro except astaxanthin.</t>
      </text>
    </comment>
    <comment ref="AQ34" authorId="0" shapeId="0">
      <text>
        <t>Astaxanthin softgel: pure supplement, negligible macro/micro except astaxanthin.</t>
      </text>
    </comment>
    <comment ref="AR34" authorId="0" shapeId="0">
      <text>
        <t>Astaxanthin softgel: pure supplement, negligible macro/micro except astaxanthin.</t>
      </text>
    </comment>
    <comment ref="AS34" authorId="0" shapeId="0">
      <text>
        <t>Astaxanthin softgel: pure supplement, negligible macro/micro except astaxanthin.</t>
      </text>
    </comment>
    <comment ref="AT34" authorId="0" shapeId="0">
      <text>
        <t>Astaxanthin softgel: pure supplement, negligible macro/micro except astaxanthin.</t>
      </text>
    </comment>
    <comment ref="AU34" authorId="0" shapeId="0">
      <text>
        <t>Astaxanthin softgel: pure supplement, negligible macro/micro except astaxanthin.</t>
      </text>
    </comment>
    <comment ref="AV34" authorId="0" shapeId="0">
      <text>
        <t>Astaxanthin softgel: pure supplement, negligible macro/micro except astaxanthin.</t>
      </text>
    </comment>
    <comment ref="AW34" authorId="0" shapeId="0">
      <text>
        <t>Astaxanthin softgel: pure supplement, negligible macro/micro except astaxanthin.</t>
      </text>
    </comment>
    <comment ref="AX34" authorId="0" shapeId="0">
      <text>
        <t>Astaxanthin softgel: pure supplement, negligible macro/micro except astaxanthin.</t>
      </text>
    </comment>
    <comment ref="AY34" authorId="0" shapeId="0">
      <text>
        <t>Astaxanthin softgel: pure supplement, negligible macro/micro except astaxanthin.</t>
      </text>
    </comment>
    <comment ref="AZ34" authorId="0" shapeId="0">
      <text>
        <t>Astaxanthin softgel: pure supplement, negligible macro/micro except astaxanthin.</t>
      </text>
    </comment>
    <comment ref="BA34" authorId="0" shapeId="0">
      <text>
        <t>Astaxanthin softgel: pure supplement, negligible macro/micro except astaxanthin.</t>
      </text>
    </comment>
    <comment ref="BB34" authorId="0" shapeId="0">
      <text>
        <t>Astaxanthin softgel: pure supplement, negligible macro/micro except astaxanthin.</t>
      </text>
    </comment>
    <comment ref="BC34" authorId="0" shapeId="0">
      <text>
        <t>Astaxanthin softgel: pure supplement, negligible macro/micro except astaxanthin.</t>
      </text>
    </comment>
    <comment ref="BD34" authorId="0" shapeId="0">
      <text>
        <t>Astaxanthin softgel: pure supplement, negligible macro/micro except astaxanthin.</t>
      </text>
    </comment>
    <comment ref="BE34" authorId="0" shapeId="0">
      <text>
        <t>Astaxanthin softgel: pure supplement, negligible macro/micro except astaxanthin.</t>
      </text>
    </comment>
    <comment ref="BF34" authorId="0" shapeId="0">
      <text>
        <t>Astaxanthin softgel: pure supplement, negligible macro/micro except astaxanthin.</t>
      </text>
    </comment>
    <comment ref="BG34" authorId="0" shapeId="0">
      <text>
        <t>Astaxanthin softgel: pure supplement, negligible macro/micro except astaxanthin.</t>
      </text>
    </comment>
    <comment ref="BH34" authorId="0" shapeId="0">
      <text>
        <t>Astaxanthin softgel: pure supplement, negligible macro/micro except astaxanthin.</t>
      </text>
    </comment>
    <comment ref="BI34" authorId="0" shapeId="0">
      <text>
        <t>Astaxanthin softgel: pure supplement, negligible macro/micro except astaxanthin.</t>
      </text>
    </comment>
    <comment ref="BJ34" authorId="0" shapeId="0">
      <text>
        <t>Astaxanthin softgel: pure supplement, negligible macro/micro except astaxanthin.</t>
      </text>
    </comment>
    <comment ref="BK34" authorId="0" shapeId="0">
      <text>
        <t>Astaxanthin softgel: pure supplement, negligible macro/micro except astaxanthin.</t>
      </text>
    </comment>
    <comment ref="BL34" authorId="0" shapeId="0">
      <text>
        <t>Astaxanthin softgel: pure supplement, negligible macro/micro except astaxanthin.</t>
      </text>
    </comment>
    <comment ref="BM34" authorId="0" shapeId="0">
      <text>
        <t>Astaxanthin softgel: pure supplement, negligible macro/micro except astaxanthin.</t>
      </text>
    </comment>
    <comment ref="BN34" authorId="0" shapeId="0">
      <text>
        <t>Astaxanthin softgel: pure supplement, negligible macro/micro except astaxanthin.</t>
      </text>
    </comment>
    <comment ref="BO34" authorId="0" shapeId="0">
      <text>
        <t>Astaxanthin softgel: pure supplement, negligible macro/micro except astaxanthin.</t>
      </text>
    </comment>
    <comment ref="BP34" authorId="0" shapeId="0">
      <text>
        <t>Astaxanthin softgel: pure supplement, negligible macro/micro except astaxanthin.</t>
      </text>
    </comment>
    <comment ref="BQ34" authorId="0" shapeId="0">
      <text>
        <t>Astaxanthin softgel: pure supplement, negligible macro/micro except astaxanthin.</t>
      </text>
    </comment>
    <comment ref="BR34" authorId="0" shapeId="0">
      <text>
        <t>Astaxanthin softgel: pure supplement, negligible macro/micro except astaxanthin.</t>
      </text>
    </comment>
    <comment ref="BS34" authorId="0" shapeId="0">
      <text>
        <t>Astaxanthin softgel: pure supplement, negligible macro/micro except astaxanthin.</t>
      </text>
    </comment>
    <comment ref="BT34" authorId="0" shapeId="0">
      <text>
        <t>Astaxanthin softgel: pure supplement, negligible macro/micro except astaxanthin.</t>
      </text>
    </comment>
    <comment ref="BU34" authorId="0" shapeId="0">
      <text>
        <t>Astaxanthin softgel: pure supplement, negligible macro/micro except astaxanthin.</t>
      </text>
    </comment>
    <comment ref="BV34" authorId="0" shapeId="0">
      <text>
        <t>Astaxanthin softgel: pure supplement, negligible macro/micro except astaxanthin.</t>
      </text>
    </comment>
    <comment ref="BW34" authorId="0" shapeId="0">
      <text>
        <t>Astaxanthin softgel: pure supplement, negligible macro/micro except astaxanthin.</t>
      </text>
    </comment>
    <comment ref="BX34" authorId="0" shapeId="0">
      <text>
        <t>Astaxanthin softgel: pure supplement, negligible macro/micro except astaxanthin.</t>
      </text>
    </comment>
    <comment ref="BY34" authorId="0" shapeId="0">
      <text>
        <t>Astaxanthin softgel: pure supplement, negligible macro/micro except astaxanthin.</t>
      </text>
    </comment>
    <comment ref="BZ34" authorId="0" shapeId="0">
      <text>
        <t>Astaxanthin softgel: pure supplement, negligible macro/micro except astaxanthin.</t>
      </text>
    </comment>
    <comment ref="CA34" authorId="0" shapeId="0">
      <text>
        <t>Nutrex Hawaii BioAstin label: "12 mg natural astaxanthin per softgel" from Hawaiian-grown Haematococcus pluvialis. This is the ONLY astaxanthin source in the shake. Tier 1 label.</t>
      </text>
    </comment>
    <comment ref="CB34" authorId="0" shapeId="0">
      <text>
        <t>Astaxanthin softgel: pure supplement, negligible macro/micro except astaxanthin.</t>
      </text>
    </comment>
    <comment ref="CC34" authorId="0" shapeId="0">
      <text>
        <t>Astaxanthin softgel: pure supplement, negligible macro/micro except astaxanthin.</t>
      </text>
    </comment>
    <comment ref="CD34" authorId="0" shapeId="0">
      <text>
        <t>Astaxanthin softgel: pure supplement, negligible macro/micro except astaxanthin.</t>
      </text>
    </comment>
    <comment ref="CE34" authorId="0" shapeId="0">
      <text>
        <t>Astaxanthin softgel: pure supplement, negligible macro/micro except astaxanthin.</t>
      </text>
    </comment>
    <comment ref="CF34" authorId="0" shapeId="0">
      <text>
        <t>Astaxanthin softgel: pure supplement, negligible macro/micro except astaxanthin.</t>
      </text>
    </comment>
    <comment ref="CG34" authorId="0" shapeId="0">
      <text>
        <t>Astaxanthin softgel: pure supplement, negligible macro/micro except astaxanthin.</t>
      </text>
    </comment>
    <comment ref="CH34" authorId="0" shapeId="0">
      <text>
        <t>Astaxanthin softgel: pure supplement, negligible macro/micro except astaxanthin.</t>
      </text>
    </comment>
    <comment ref="CI34" authorId="0" shapeId="0">
      <text>
        <t>Astaxanthin softgel: pure supplement, negligible macro/micro except astaxanthin.</t>
      </text>
    </comment>
    <comment ref="CJ34" authorId="0" shapeId="0">
      <text>
        <t>Astaxanthin softgel: pure supplement, negligible macro/micro except astaxanthin.</t>
      </text>
    </comment>
    <comment ref="CK34" authorId="0" shapeId="0">
      <text>
        <t>Astaxanthin softgel: pure supplement, negligible macro/micro except astaxanthin.</t>
      </text>
    </comment>
    <comment ref="CL34" authorId="0" shapeId="0">
      <text>
        <t>Astaxanthin softgel: pure supplement, negligible macro/micro except astaxanthin.</t>
      </text>
    </comment>
    <comment ref="CM34" authorId="0" shapeId="0">
      <text>
        <t>Astaxanthin softgel: pure supplement, negligible macro/micro except astaxanthin.</t>
      </text>
    </comment>
    <comment ref="CN34" authorId="0" shapeId="0">
      <text>
        <t>Astaxanthin softgel: pure supplement, negligible macro/micro except astaxanthin.</t>
      </text>
    </comment>
    <comment ref="CO34" authorId="0" shapeId="0">
      <text>
        <t>Astaxanthin softgel: pure supplement, negligible macro/micro except astaxanthin.</t>
      </text>
    </comment>
    <comment ref="CP34" authorId="0" shapeId="0">
      <text>
        <t>Astaxanthin softgel: pure supplement, negligible macro/micro except astaxanthin.</t>
      </text>
    </comment>
    <comment ref="CQ34" authorId="0" shapeId="0">
      <text>
        <t>Astaxanthin softgel: pure supplement, negligible macro/micro except astaxanthin.</t>
      </text>
    </comment>
    <comment ref="CR34" authorId="0" shapeId="0">
      <text>
        <t>Astaxanthin softgel: pure supplement, negligible macro/micro except astaxanthin.</t>
      </text>
    </comment>
    <comment ref="CS34" authorId="0" shapeId="0">
      <text>
        <t>Astaxanthin softgel: pure supplement, negligible macro/micro except astaxanthin.</t>
      </text>
    </comment>
    <comment ref="CT34" authorId="0" shapeId="0">
      <text>
        <t>Astaxanthin softgel: pure supplement, negligible macro/micro except astaxanthin.</t>
      </text>
    </comment>
    <comment ref="CU34" authorId="0" shapeId="0">
      <text>
        <t>Astaxanthin softgel: pure supplement, negligible macro/micro except astaxanthin.</t>
      </text>
    </comment>
    <comment ref="CV34" authorId="0" shapeId="0">
      <text>
        <t>Astaxanthin softgel: pure supplement, negligible macro/micro except astaxanthin.</t>
      </text>
    </comment>
    <comment ref="C35" authorId="1" shapeId="0">
      <text>
        <t>KEPT: USDA Certified Organic + Non-GMO Project Verified + QAI certified. 100% pure FOS inulin from chicory root. Highest inulin concentration tested (~41.6g/100g per independent YouTube lab test 2025). Completely dissolves, mild taste.</t>
      </text>
    </comment>
    <comment ref="O35" authorId="0" shapeId="0">
      <text>
        <t>Inulin: ~1.5 kcal/g (fermentable fiber, partially metabolized by gut bacteria). 3 × 1.5 = 4.5 → 5 kcal.</t>
      </text>
    </comment>
    <comment ref="P35" authorId="0" shapeId="0">
      <text>
        <t>Chicory root inulin: pure prebiotic soluble fiber. No significant macro/micro.</t>
      </text>
    </comment>
    <comment ref="Q35" authorId="0" shapeId="0">
      <text>
        <t>Chicory root inulin: pure prebiotic soluble fiber. No significant macro/micro.</t>
      </text>
    </comment>
    <comment ref="R35" authorId="0" shapeId="0">
      <text>
        <t>Chicory root inulin: pure prebiotic soluble fiber. No significant macro/micro.</t>
      </text>
    </comment>
    <comment ref="S35" authorId="0" shapeId="0">
      <text>
        <t>Chicory root inulin: pure prebiotic soluble fiber. No significant macro/micro.</t>
      </text>
    </comment>
    <comment ref="T35" authorId="0" shapeId="0">
      <text>
        <t>Chicory root inulin: pure prebiotic soluble fiber. No significant macro/micro.</t>
      </text>
    </comment>
    <comment ref="U35" authorId="0" shapeId="0">
      <text>
        <t>Chicory root inulin: pure prebiotic soluble fiber. No significant macro/micro.</t>
      </text>
    </comment>
    <comment ref="W35" authorId="0" shapeId="0">
      <text>
        <t>Chicory root inulin: pure prebiotic soluble fiber. No significant macro/micro.</t>
      </text>
    </comment>
    <comment ref="X35" authorId="0" shapeId="0">
      <text>
        <t>Chicory root inulin: pure prebiotic soluble fiber. No significant macro/micro.</t>
      </text>
    </comment>
    <comment ref="Y35" authorId="0" shapeId="0">
      <text>
        <t>Chicory root inulin: pure prebiotic soluble fiber. No significant macro/micro.</t>
      </text>
    </comment>
    <comment ref="Z35" authorId="0" shapeId="0">
      <text>
        <t>Chicory root inulin: pure prebiotic soluble fiber. No significant macro/micro.</t>
      </text>
    </comment>
    <comment ref="AA35" authorId="0" shapeId="0">
      <text>
        <t>Chicory root inulin: pure prebiotic soluble fiber. No significant macro/micro.</t>
      </text>
    </comment>
    <comment ref="AB35" authorId="0" shapeId="0">
      <text>
        <t>Chicory root inulin: pure prebiotic soluble fiber. No significant macro/micro.</t>
      </text>
    </comment>
    <comment ref="AC35" authorId="0" shapeId="0">
      <text>
        <t>Chicory root inulin: pure prebiotic soluble fiber. No significant macro/micro.</t>
      </text>
    </comment>
    <comment ref="AD35" authorId="0" shapeId="0">
      <text>
        <t>Inulin counts as carbohydrate on labels. 3g serving = 3g carbs.</t>
      </text>
    </comment>
    <comment ref="AE35" authorId="0" shapeId="0">
      <text>
        <t>Chicory root inulin: pure prebiotic soluble fiber. No significant macro/micro.</t>
      </text>
    </comment>
    <comment ref="AF35" authorId="0" shapeId="0">
      <text>
        <t>Chicory root inulin: pure prebiotic soluble fiber. No significant macro/micro.</t>
      </text>
    </comment>
    <comment ref="AG35" authorId="0" shapeId="0">
      <text>
        <t>Formula.</t>
      </text>
    </comment>
    <comment ref="AH35" authorId="0" shapeId="0">
      <text>
        <t>NOW label: "3g dietary fiber per serving" (100% of serving is fiber). Single ingredient: organic inulin.</t>
      </text>
    </comment>
    <comment ref="AI35" authorId="0" shapeId="0">
      <text>
        <t>Formula.</t>
      </text>
    </comment>
    <comment ref="AJ35" authorId="0" shapeId="0">
      <text>
        <t>Chicory root inulin: pure prebiotic soluble fiber. No significant macro/micro.</t>
      </text>
    </comment>
    <comment ref="AK35" authorId="0" shapeId="0">
      <text>
        <t>Chicory root inulin: pure prebiotic soluble fiber. No significant macro/micro.</t>
      </text>
    </comment>
    <comment ref="AL35" authorId="0" shapeId="0">
      <text>
        <t>Chicory root inulin: pure prebiotic soluble fiber. No significant macro/micro.</t>
      </text>
    </comment>
    <comment ref="AM35" authorId="0" shapeId="0">
      <text>
        <t>Chicory root inulin: pure prebiotic soluble fiber. No significant macro/micro.</t>
      </text>
    </comment>
    <comment ref="AN35" authorId="0" shapeId="0">
      <text>
        <t>Chicory root inulin: pure prebiotic soluble fiber. No significant macro/micro.</t>
      </text>
    </comment>
    <comment ref="AO35" authorId="0" shapeId="0">
      <text>
        <t>Chicory root inulin: pure prebiotic soluble fiber. No significant macro/micro.</t>
      </text>
    </comment>
    <comment ref="AP35" authorId="0" shapeId="0">
      <text>
        <t>Chicory root inulin: pure prebiotic soluble fiber. No significant macro/micro.</t>
      </text>
    </comment>
    <comment ref="AQ35" authorId="0" shapeId="0">
      <text>
        <t>Chicory root inulin: pure prebiotic soluble fiber. No significant macro/micro.</t>
      </text>
    </comment>
    <comment ref="AR35" authorId="0" shapeId="0">
      <text>
        <t>Chicory root inulin: pure prebiotic soluble fiber. No significant macro/micro.</t>
      </text>
    </comment>
    <comment ref="AS35" authorId="0" shapeId="0">
      <text>
        <t>Chicory root inulin: pure prebiotic soluble fiber. No significant macro/micro.</t>
      </text>
    </comment>
    <comment ref="AT35" authorId="0" shapeId="0">
      <text>
        <t>Chicory root inulin: pure prebiotic soluble fiber. No significant macro/micro.</t>
      </text>
    </comment>
    <comment ref="AU35" authorId="0" shapeId="0">
      <text>
        <t>Chicory root inulin: pure prebiotic soluble fiber. No significant macro/micro.</t>
      </text>
    </comment>
    <comment ref="AV35" authorId="0" shapeId="0">
      <text>
        <t>Chicory root inulin: pure prebiotic soluble fiber. No significant macro/micro.</t>
      </text>
    </comment>
    <comment ref="AW35" authorId="0" shapeId="0">
      <text>
        <t>Chicory root inulin: pure prebiotic soluble fiber. No significant macro/micro.</t>
      </text>
    </comment>
    <comment ref="AX35" authorId="0" shapeId="0">
      <text>
        <t>Chicory root inulin: pure prebiotic soluble fiber. No significant macro/micro.</t>
      </text>
    </comment>
    <comment ref="AY35" authorId="0" shapeId="0">
      <text>
        <t>Chicory root inulin: pure prebiotic soluble fiber. No significant macro/micro.</t>
      </text>
    </comment>
    <comment ref="AZ35" authorId="0" shapeId="0">
      <text>
        <t>Chicory root inulin: pure prebiotic soluble fiber. No significant macro/micro.</t>
      </text>
    </comment>
    <comment ref="BA35" authorId="0" shapeId="0">
      <text>
        <t>Chicory root inulin: pure prebiotic soluble fiber. No significant macro/micro.</t>
      </text>
    </comment>
    <comment ref="BB35" authorId="0" shapeId="0">
      <text>
        <t>Chicory root inulin: pure prebiotic soluble fiber. No significant macro/micro.</t>
      </text>
    </comment>
    <comment ref="BC35" authorId="0" shapeId="0">
      <text>
        <t>Chicory root inulin: pure prebiotic soluble fiber. No significant macro/micro.</t>
      </text>
    </comment>
    <comment ref="BD35" authorId="0" shapeId="0">
      <text>
        <t>Chicory root inulin: pure prebiotic soluble fiber. No significant macro/micro.</t>
      </text>
    </comment>
    <comment ref="BE35" authorId="0" shapeId="0">
      <text>
        <t>Chicory root inulin: pure prebiotic soluble fiber. No significant macro/micro.</t>
      </text>
    </comment>
    <comment ref="BF35" authorId="0" shapeId="0">
      <text>
        <t>Chicory root inulin: pure prebiotic soluble fiber. No significant macro/micro.</t>
      </text>
    </comment>
    <comment ref="BG35" authorId="0" shapeId="0">
      <text>
        <t>Chicory root inulin: pure prebiotic soluble fiber. No significant macro/micro.</t>
      </text>
    </comment>
    <comment ref="BH35" authorId="0" shapeId="0">
      <text>
        <t>Chicory root inulin: pure prebiotic soluble fiber. No significant macro/micro.</t>
      </text>
    </comment>
    <comment ref="BI35" authorId="0" shapeId="0">
      <text>
        <t>Chicory root inulin: pure prebiotic soluble fiber. No significant macro/micro.</t>
      </text>
    </comment>
    <comment ref="BJ35" authorId="0" shapeId="0">
      <text>
        <t>Chicory root inulin: pure prebiotic soluble fiber. No significant macro/micro.</t>
      </text>
    </comment>
    <comment ref="BK35" authorId="0" shapeId="0">
      <text>
        <t>Chicory root inulin: pure prebiotic soluble fiber. No significant macro/micro.</t>
      </text>
    </comment>
    <comment ref="BL35" authorId="0" shapeId="0">
      <text>
        <t>Chicory root inulin: pure prebiotic soluble fiber. No significant macro/micro.</t>
      </text>
    </comment>
    <comment ref="BM35" authorId="0" shapeId="0">
      <text>
        <t>Chicory root inulin: pure prebiotic soluble fiber. No significant macro/micro.</t>
      </text>
    </comment>
    <comment ref="BN35" authorId="0" shapeId="0">
      <text>
        <t>Chicory root inulin: pure prebiotic soluble fiber. No significant macro/micro.</t>
      </text>
    </comment>
    <comment ref="BO35" authorId="0" shapeId="0">
      <text>
        <t>Chicory root inulin: pure prebiotic soluble fiber. No significant macro/micro.</t>
      </text>
    </comment>
    <comment ref="BP35" authorId="0" shapeId="0">
      <text>
        <t>Chicory root inulin: pure prebiotic soluble fiber. No significant macro/micro.</t>
      </text>
    </comment>
    <comment ref="BQ35" authorId="0" shapeId="0">
      <text>
        <t>Chicory root inulin: pure prebiotic soluble fiber. No significant macro/micro.</t>
      </text>
    </comment>
    <comment ref="BR35" authorId="0" shapeId="0">
      <text>
        <t>Chicory root inulin: pure prebiotic soluble fiber. No significant macro/micro.</t>
      </text>
    </comment>
    <comment ref="BS35" authorId="0" shapeId="0">
      <text>
        <t>Chicory root inulin: pure prebiotic soluble fiber. No significant macro/micro.</t>
      </text>
    </comment>
    <comment ref="BT35" authorId="0" shapeId="0">
      <text>
        <t>Chicory root inulin: pure prebiotic soluble fiber. No significant macro/micro.</t>
      </text>
    </comment>
    <comment ref="BU35" authorId="0" shapeId="0">
      <text>
        <t>Chicory root inulin: pure prebiotic soluble fiber. No significant macro/micro.</t>
      </text>
    </comment>
    <comment ref="BV35" authorId="0" shapeId="0">
      <text>
        <t>Chicory root inulin: pure prebiotic soluble fiber. No significant macro/micro.</t>
      </text>
    </comment>
    <comment ref="BW35" authorId="0" shapeId="0">
      <text>
        <t>Chicory root inulin: pure prebiotic soluble fiber. No significant macro/micro.</t>
      </text>
    </comment>
    <comment ref="BX35" authorId="0" shapeId="0">
      <text>
        <t>Chicory root inulin: pure prebiotic soluble fiber. No significant macro/micro.</t>
      </text>
    </comment>
    <comment ref="BY35" authorId="0" shapeId="0">
      <text>
        <t>Chicory root inulin: pure prebiotic soluble fiber. No significant macro/micro.</t>
      </text>
    </comment>
    <comment ref="BZ35" authorId="0" shapeId="0">
      <text>
        <t>Chicory root inulin: pure prebiotic soluble fiber. No significant macro/micro.</t>
      </text>
    </comment>
    <comment ref="CA35" authorId="0" shapeId="0">
      <text>
        <t>Chicory root inulin: pure prebiotic soluble fiber. No significant macro/micro.</t>
      </text>
    </comment>
    <comment ref="CB35" authorId="0" shapeId="0">
      <text>
        <t>Chicory root inulin: pure prebiotic soluble fiber. No significant macro/micro.</t>
      </text>
    </comment>
    <comment ref="CC35" authorId="0" shapeId="0">
      <text>
        <t>Chicory root inulin: pure prebiotic soluble fiber. No significant macro/micro.</t>
      </text>
    </comment>
    <comment ref="CD35" authorId="0" shapeId="0">
      <text>
        <t>Chicory root inulin: pure prebiotic soluble fiber. No significant macro/micro.</t>
      </text>
    </comment>
    <comment ref="CE35" authorId="0" shapeId="0">
      <text>
        <t>Chicory root inulin: pure prebiotic soluble fiber. No significant macro/micro.</t>
      </text>
    </comment>
    <comment ref="CF35" authorId="0" shapeId="0">
      <text>
        <t>Chicory root inulin: pure prebiotic soluble fiber. No significant macro/micro.</t>
      </text>
    </comment>
    <comment ref="CG35" authorId="0" shapeId="0">
      <text>
        <t>Chicory root inulin: pure prebiotic soluble fiber. No significant macro/micro.</t>
      </text>
    </comment>
    <comment ref="CH35" authorId="0" shapeId="0">
      <text>
        <t>Chicory root inulin IS a prebiotic fiber (fructooligosaccharide). All 3g is prebiotic-active.</t>
      </text>
    </comment>
    <comment ref="CI35" authorId="0" shapeId="0">
      <text>
        <t>Chicory root inulin: pure prebiotic soluble fiber. No significant macro/micro.</t>
      </text>
    </comment>
    <comment ref="CJ35" authorId="0" shapeId="0">
      <text>
        <t>Chicory root inulin: pure prebiotic soluble fiber. No significant macro/micro.</t>
      </text>
    </comment>
    <comment ref="CK35" authorId="0" shapeId="0">
      <text>
        <t>Chicory root inulin: pure prebiotic soluble fiber. No significant macro/micro.</t>
      </text>
    </comment>
    <comment ref="CL35" authorId="0" shapeId="0">
      <text>
        <t>Chicory root inulin: pure prebiotic soluble fiber. No significant macro/micro.</t>
      </text>
    </comment>
    <comment ref="CM35" authorId="0" shapeId="0">
      <text>
        <t>Chicory root inulin: pure prebiotic soluble fiber. No significant macro/micro.</t>
      </text>
    </comment>
    <comment ref="CN35" authorId="0" shapeId="0">
      <text>
        <t>Chicory root inulin: pure prebiotic soluble fiber. No significant macro/micro.</t>
      </text>
    </comment>
    <comment ref="CO35" authorId="0" shapeId="0">
      <text>
        <t>Chicory root inulin: pure prebiotic soluble fiber. No significant macro/micro.</t>
      </text>
    </comment>
    <comment ref="CP35" authorId="0" shapeId="0">
      <text>
        <t>Chicory root inulin: pure prebiotic soluble fiber. No significant macro/micro.</t>
      </text>
    </comment>
    <comment ref="CQ35" authorId="0" shapeId="0">
      <text>
        <t>Chicory root inulin: pure prebiotic soluble fiber. No significant macro/micro.</t>
      </text>
    </comment>
    <comment ref="CR35" authorId="0" shapeId="0">
      <text>
        <t>Chicory root inulin: pure prebiotic soluble fiber. No significant macro/micro.</t>
      </text>
    </comment>
    <comment ref="CS35" authorId="0" shapeId="0">
      <text>
        <t>Chicory root inulin: pure prebiotic soluble fiber. No significant macro/micro.</t>
      </text>
    </comment>
    <comment ref="CT35" authorId="0" shapeId="0">
      <text>
        <t>Chicory root inulin: pure prebiotic soluble fiber. No significant macro/micro.</t>
      </text>
    </comment>
    <comment ref="CU35" authorId="0" shapeId="0">
      <text>
        <t>Chicory root inulin: pure prebiotic soluble fiber. No significant macro/micro.</t>
      </text>
    </comment>
    <comment ref="CV35" authorId="0" shapeId="0">
      <text>
        <t>Chicory root inulin: pure prebiotic soluble fiber. No significant macro/micro.</t>
      </text>
    </comment>
    <comment ref="C36" authorId="1" shapeId="0">
      <text>
        <t>CHANGED from Heather's Tummy Fiber (not organic, not non-GMO verified). Anthony's: USDA Organic, Non-GMO, batch-tested, gluten-free, single ingredient, no fillers. Same Acacia Senegal species, cleaner supply chain.</t>
      </text>
    </comment>
    <comment ref="O36" authorId="0" shapeId="0">
      <text>
        <t>Acacia fiber: ~1.5 kcal/g (fermentable). 5 × 1.5 = 7.5 → 8 kcal.</t>
      </text>
    </comment>
    <comment ref="P36" authorId="0" shapeId="0">
      <text>
        <t>Acacia fiber: pure soluble fiber. No significant macro/micro.</t>
      </text>
    </comment>
    <comment ref="Q36" authorId="0" shapeId="0">
      <text>
        <t>Acacia fiber: pure soluble fiber. No significant macro/micro.</t>
      </text>
    </comment>
    <comment ref="R36" authorId="0" shapeId="0">
      <text>
        <t>Acacia fiber: pure soluble fiber. No significant macro/micro.</t>
      </text>
    </comment>
    <comment ref="S36" authorId="0" shapeId="0">
      <text>
        <t>Acacia fiber: pure soluble fiber. No significant macro/micro.</t>
      </text>
    </comment>
    <comment ref="T36" authorId="0" shapeId="0">
      <text>
        <t>Acacia fiber: pure soluble fiber. No significant macro/micro.</t>
      </text>
    </comment>
    <comment ref="U36" authorId="0" shapeId="0">
      <text>
        <t>Acacia fiber: pure soluble fiber. No significant macro/micro.</t>
      </text>
    </comment>
    <comment ref="W36" authorId="0" shapeId="0">
      <text>
        <t>Acacia fiber: pure soluble fiber. No significant macro/micro.</t>
      </text>
    </comment>
    <comment ref="X36" authorId="0" shapeId="0">
      <text>
        <t>Acacia fiber: pure soluble fiber. No significant macro/micro.</t>
      </text>
    </comment>
    <comment ref="Y36" authorId="0" shapeId="0">
      <text>
        <t>Acacia fiber: pure soluble fiber. No significant macro/micro.</t>
      </text>
    </comment>
    <comment ref="Z36" authorId="0" shapeId="0">
      <text>
        <t>Acacia fiber: pure soluble fiber. No significant macro/micro.</t>
      </text>
    </comment>
    <comment ref="AA36" authorId="0" shapeId="0">
      <text>
        <t>Acacia fiber: pure soluble fiber. No significant macro/micro.</t>
      </text>
    </comment>
    <comment ref="AB36" authorId="0" shapeId="0">
      <text>
        <t>Acacia fiber: pure soluble fiber. No significant macro/micro.</t>
      </text>
    </comment>
    <comment ref="AC36" authorId="0" shapeId="0">
      <text>
        <t>Acacia fiber: pure soluble fiber. No significant macro/micro.</t>
      </text>
    </comment>
    <comment ref="AD36" authorId="0" shapeId="0">
      <text>
        <t>5g serving = 5g carbs (all fiber).</t>
      </text>
    </comment>
    <comment ref="AE36" authorId="0" shapeId="0">
      <text>
        <t>Acacia fiber: pure soluble fiber. No significant macro/micro.</t>
      </text>
    </comment>
    <comment ref="AF36" authorId="0" shapeId="0">
      <text>
        <t>Acacia fiber: pure soluble fiber. No significant macro/micro.</t>
      </text>
    </comment>
    <comment ref="AG36" authorId="0" shapeId="0">
      <text>
        <t>Formula.</t>
      </text>
    </comment>
    <comment ref="AH36" authorId="0" shapeId="0">
      <text>
        <t>NOW label: "5g dietary fiber per serving". Single ingredient: organic Acacia senegal &amp; seyal gum.</t>
      </text>
    </comment>
    <comment ref="AI36" authorId="0" shapeId="0">
      <text>
        <t>Formula.</t>
      </text>
    </comment>
    <comment ref="AJ36" authorId="0" shapeId="0">
      <text>
        <t>Acacia fiber: pure soluble fiber. No significant macro/micro.</t>
      </text>
    </comment>
    <comment ref="AK36" authorId="0" shapeId="0">
      <text>
        <t>Acacia fiber: pure soluble fiber. No significant macro/micro.</t>
      </text>
    </comment>
    <comment ref="AL36" authorId="0" shapeId="0">
      <text>
        <t>Acacia fiber: pure soluble fiber. No significant macro/micro.</t>
      </text>
    </comment>
    <comment ref="AM36" authorId="0" shapeId="0">
      <text>
        <t>Acacia fiber: pure soluble fiber. No significant macro/micro.</t>
      </text>
    </comment>
    <comment ref="AN36" authorId="0" shapeId="0">
      <text>
        <t>Acacia fiber: pure soluble fiber. No significant macro/micro.</t>
      </text>
    </comment>
    <comment ref="AO36" authorId="0" shapeId="0">
      <text>
        <t>Acacia fiber: pure soluble fiber. No significant macro/micro.</t>
      </text>
    </comment>
    <comment ref="AP36" authorId="0" shapeId="0">
      <text>
        <t>Acacia fiber: pure soluble fiber. No significant macro/micro.</t>
      </text>
    </comment>
    <comment ref="AQ36" authorId="0" shapeId="0">
      <text>
        <t>Acacia fiber: pure soluble fiber. No significant macro/micro.</t>
      </text>
    </comment>
    <comment ref="AR36" authorId="0" shapeId="0">
      <text>
        <t>Acacia fiber: pure soluble fiber. No significant macro/micro.</t>
      </text>
    </comment>
    <comment ref="AS36" authorId="0" shapeId="0">
      <text>
        <t>Acacia fiber: pure soluble fiber. No significant macro/micro.</t>
      </text>
    </comment>
    <comment ref="AT36" authorId="0" shapeId="0">
      <text>
        <t>Acacia fiber: pure soluble fiber. No significant macro/micro.</t>
      </text>
    </comment>
    <comment ref="AU36" authorId="0" shapeId="0">
      <text>
        <t>Acacia fiber: pure soluble fiber. No significant macro/micro.</t>
      </text>
    </comment>
    <comment ref="AV36" authorId="0" shapeId="0">
      <text>
        <t>Acacia fiber: pure soluble fiber. No significant macro/micro.</t>
      </text>
    </comment>
    <comment ref="AW36" authorId="0" shapeId="0">
      <text>
        <t>Acacia fiber: pure soluble fiber. No significant macro/micro.</t>
      </text>
    </comment>
    <comment ref="AX36" authorId="0" shapeId="0">
      <text>
        <t>Acacia fiber: pure soluble fiber. No significant macro/micro.</t>
      </text>
    </comment>
    <comment ref="AY36" authorId="0" shapeId="0">
      <text>
        <t>Acacia fiber: pure soluble fiber. No significant macro/micro.</t>
      </text>
    </comment>
    <comment ref="AZ36" authorId="0" shapeId="0">
      <text>
        <t>Acacia fiber: pure soluble fiber. No significant macro/micro.</t>
      </text>
    </comment>
    <comment ref="BA36" authorId="0" shapeId="0">
      <text>
        <t>Acacia fiber: pure soluble fiber. No significant macro/micro.</t>
      </text>
    </comment>
    <comment ref="BB36" authorId="0" shapeId="0">
      <text>
        <t>Acacia fiber: pure soluble fiber. No significant macro/micro.</t>
      </text>
    </comment>
    <comment ref="BC36" authorId="0" shapeId="0">
      <text>
        <t>Acacia fiber: pure soluble fiber. No significant macro/micro.</t>
      </text>
    </comment>
    <comment ref="BD36" authorId="0" shapeId="0">
      <text>
        <t>Acacia fiber: pure soluble fiber. No significant macro/micro.</t>
      </text>
    </comment>
    <comment ref="BE36" authorId="0" shapeId="0">
      <text>
        <t>Acacia fiber: pure soluble fiber. No significant macro/micro.</t>
      </text>
    </comment>
    <comment ref="BF36" authorId="0" shapeId="0">
      <text>
        <t>Acacia fiber: pure soluble fiber. No significant macro/micro.</t>
      </text>
    </comment>
    <comment ref="BG36" authorId="0" shapeId="0">
      <text>
        <t>Acacia fiber: pure soluble fiber. No significant macro/micro.</t>
      </text>
    </comment>
    <comment ref="BH36" authorId="0" shapeId="0">
      <text>
        <t>Acacia fiber: pure soluble fiber. No significant macro/micro.</t>
      </text>
    </comment>
    <comment ref="BI36" authorId="0" shapeId="0">
      <text>
        <t>Acacia fiber: pure soluble fiber. No significant macro/micro.</t>
      </text>
    </comment>
    <comment ref="BJ36" authorId="0" shapeId="0">
      <text>
        <t>Acacia fiber: pure soluble fiber. No significant macro/micro.</t>
      </text>
    </comment>
    <comment ref="BK36" authorId="0" shapeId="0">
      <text>
        <t>Acacia fiber: pure soluble fiber. No significant macro/micro.</t>
      </text>
    </comment>
    <comment ref="BL36" authorId="0" shapeId="0">
      <text>
        <t>Acacia fiber: pure soluble fiber. No significant macro/micro.</t>
      </text>
    </comment>
    <comment ref="BM36" authorId="0" shapeId="0">
      <text>
        <t>Acacia fiber: pure soluble fiber. No significant macro/micro.</t>
      </text>
    </comment>
    <comment ref="BN36" authorId="0" shapeId="0">
      <text>
        <t>Acacia fiber: pure soluble fiber. No significant macro/micro.</t>
      </text>
    </comment>
    <comment ref="BO36" authorId="0" shapeId="0">
      <text>
        <t>Acacia fiber: pure soluble fiber. No significant macro/micro.</t>
      </text>
    </comment>
    <comment ref="BP36" authorId="0" shapeId="0">
      <text>
        <t>Acacia fiber: pure soluble fiber. No significant macro/micro.</t>
      </text>
    </comment>
    <comment ref="BQ36" authorId="0" shapeId="0">
      <text>
        <t>Acacia fiber: pure soluble fiber. No significant macro/micro.</t>
      </text>
    </comment>
    <comment ref="BR36" authorId="0" shapeId="0">
      <text>
        <t>Acacia fiber: pure soluble fiber. No significant macro/micro.</t>
      </text>
    </comment>
    <comment ref="BS36" authorId="0" shapeId="0">
      <text>
        <t>Acacia fiber: pure soluble fiber. No significant macro/micro.</t>
      </text>
    </comment>
    <comment ref="BT36" authorId="0" shapeId="0">
      <text>
        <t>Acacia fiber: pure soluble fiber. No significant macro/micro.</t>
      </text>
    </comment>
    <comment ref="BU36" authorId="0" shapeId="0">
      <text>
        <t>Acacia fiber: pure soluble fiber. No significant macro/micro.</t>
      </text>
    </comment>
    <comment ref="BV36" authorId="0" shapeId="0">
      <text>
        <t>Acacia fiber: pure soluble fiber. No significant macro/micro.</t>
      </text>
    </comment>
    <comment ref="BW36" authorId="0" shapeId="0">
      <text>
        <t>Acacia fiber: pure soluble fiber. No significant macro/micro.</t>
      </text>
    </comment>
    <comment ref="BX36" authorId="0" shapeId="0">
      <text>
        <t>Acacia fiber: pure soluble fiber. No significant macro/micro.</t>
      </text>
    </comment>
    <comment ref="BY36" authorId="0" shapeId="0">
      <text>
        <t>Acacia fiber: pure soluble fiber. No significant macro/micro.</t>
      </text>
    </comment>
    <comment ref="BZ36" authorId="0" shapeId="0">
      <text>
        <t>Acacia fiber: pure soluble fiber. No significant macro/micro.</t>
      </text>
    </comment>
    <comment ref="CA36" authorId="0" shapeId="0">
      <text>
        <t>Acacia fiber: pure soluble fiber. No significant macro/micro.</t>
      </text>
    </comment>
    <comment ref="CB36" authorId="0" shapeId="0">
      <text>
        <t>Acacia fiber: pure soluble fiber. No significant macro/micro.</t>
      </text>
    </comment>
    <comment ref="CC36" authorId="0" shapeId="0">
      <text>
        <t>Acacia fiber: pure soluble fiber. No significant macro/micro.</t>
      </text>
    </comment>
    <comment ref="CD36" authorId="0" shapeId="0">
      <text>
        <t>Acacia fiber: pure soluble fiber. No significant macro/micro.</t>
      </text>
    </comment>
    <comment ref="CE36" authorId="0" shapeId="0">
      <text>
        <t>Acacia fiber: pure soluble fiber. No significant macro/micro.</t>
      </text>
    </comment>
    <comment ref="CF36" authorId="0" shapeId="0">
      <text>
        <t>Acacia fiber: pure soluble fiber. No significant macro/micro.</t>
      </text>
    </comment>
    <comment ref="CG36" authorId="0" shapeId="0">
      <text>
        <t>Acacia fiber: pure soluble fiber. No significant macro/micro.</t>
      </text>
    </comment>
    <comment ref="CH36" authorId="0" shapeId="0">
      <text>
        <t>Acacia gum IS a prebiotic fiber (slowly fermented by gut microbiota; well-tolerated). All 5g prebiotic.</t>
      </text>
    </comment>
    <comment ref="CI36" authorId="0" shapeId="0">
      <text>
        <t>Acacia fiber: pure soluble fiber. No significant macro/micro.</t>
      </text>
    </comment>
    <comment ref="CJ36" authorId="0" shapeId="0">
      <text>
        <t>Acacia fiber: pure soluble fiber. No significant macro/micro.</t>
      </text>
    </comment>
    <comment ref="CK36" authorId="0" shapeId="0">
      <text>
        <t>Acacia fiber: pure soluble fiber. No significant macro/micro.</t>
      </text>
    </comment>
    <comment ref="CL36" authorId="0" shapeId="0">
      <text>
        <t>Acacia fiber: pure soluble fiber. No significant macro/micro.</t>
      </text>
    </comment>
    <comment ref="CM36" authorId="0" shapeId="0">
      <text>
        <t>Acacia fiber: pure soluble fiber. No significant macro/micro.</t>
      </text>
    </comment>
    <comment ref="CN36" authorId="0" shapeId="0">
      <text>
        <t>Acacia fiber: pure soluble fiber. No significant macro/micro.</t>
      </text>
    </comment>
    <comment ref="CO36" authorId="0" shapeId="0">
      <text>
        <t>Acacia fiber: pure soluble fiber. No significant macro/micro.</t>
      </text>
    </comment>
    <comment ref="CP36" authorId="0" shapeId="0">
      <text>
        <t>Acacia fiber: pure soluble fiber. No significant macro/micro.</t>
      </text>
    </comment>
    <comment ref="CQ36" authorId="0" shapeId="0">
      <text>
        <t>Acacia fiber: pure soluble fiber. No significant macro/micro.</t>
      </text>
    </comment>
    <comment ref="CR36" authorId="0" shapeId="0">
      <text>
        <t>Acacia fiber: pure soluble fiber. No significant macro/micro.</t>
      </text>
    </comment>
    <comment ref="CS36" authorId="0" shapeId="0">
      <text>
        <t>Acacia fiber: pure soluble fiber. No significant macro/micro.</t>
      </text>
    </comment>
    <comment ref="CT36" authorId="0" shapeId="0">
      <text>
        <t>Acacia fiber: pure soluble fiber. No significant macro/micro.</t>
      </text>
    </comment>
    <comment ref="CU36" authorId="0" shapeId="0">
      <text>
        <t>Acacia fiber: pure soluble fiber. No significant macro/micro.</t>
      </text>
    </comment>
    <comment ref="CV36" authorId="0" shapeId="0">
      <text>
        <t>Acacia fiber: pure soluble fiber. No significant macro/micro.</t>
      </text>
    </comment>
    <comment ref="C37" authorId="1" shapeId="0">
      <text>
        <t>RECALIBRATED to Jonny's Good Nature (60% RS2). Key changes:
Cal: 35→7.5 (RS2 is indigestible, contributes ~2 cal/g not 4)
Fiber: 5.5→7.5g (+2g per serving)
Net Carbs: ~3.3→1.25 (lower glycemic impact)
K: 28→102.5mg (banana potassium preserved)
Mg: 4→10mg
P: unlisted on label — set to 0 (Unknown).</t>
      </text>
    </comment>
    <comment ref="O37" authorId="0" shapeId="0">
      <text>
        <t>Green banana flour: ~340 kcal/100g. 340 × 0.10 = 34 kcal. Math-heavy (no label fetched).</t>
      </text>
    </comment>
    <comment ref="P37" authorId="0" shapeId="0">
      <text>
        <t>Green banana flour: ~4g protein/100g. 4 × 0.10 = 0.4 g. TRACE.</t>
      </text>
    </comment>
    <comment ref="Q37" authorId="0" shapeId="0">
      <text>
        <t>Green banana flour: resistant starch source. Minimal protein/fat/vitamins.</t>
      </text>
    </comment>
    <comment ref="R37" authorId="0" shapeId="0">
      <text>
        <t>Green banana flour: resistant starch source. Minimal protein/fat/vitamins.</t>
      </text>
    </comment>
    <comment ref="S37" authorId="0" shapeId="0">
      <text>
        <t>Green banana flour: resistant starch source. Minimal protein/fat/vitamins.</t>
      </text>
    </comment>
    <comment ref="T37" authorId="0" shapeId="0">
      <text>
        <t>Green banana flour: resistant starch source. Minimal protein/fat/vitamins.</t>
      </text>
    </comment>
    <comment ref="U37" authorId="0" shapeId="0">
      <text>
        <t>Plant protein. TRACE.</t>
      </text>
    </comment>
    <comment ref="W37" authorId="0" shapeId="0">
      <text>
        <t>Green banana flour: resistant starch source. Minimal protein/fat/vitamins.</t>
      </text>
    </comment>
    <comment ref="X37" authorId="0" shapeId="0">
      <text>
        <t>Green banana flour: resistant starch source. Minimal protein/fat/vitamins.</t>
      </text>
    </comment>
    <comment ref="Y37" authorId="0" shapeId="0">
      <text>
        <t>Green banana flour: resistant starch source. Minimal protein/fat/vitamins.</t>
      </text>
    </comment>
    <comment ref="Z37" authorId="0" shapeId="0">
      <text>
        <t>Green banana flour: resistant starch source. Minimal protein/fat/vitamins.</t>
      </text>
    </comment>
    <comment ref="AA37" authorId="0" shapeId="0">
      <text>
        <t>Green banana flour: resistant starch source. Minimal protein/fat/vitamins.</t>
      </text>
    </comment>
    <comment ref="AB37" authorId="0" shapeId="0">
      <text>
        <t>Green banana flour: resistant starch source. Minimal protein/fat/vitamins.</t>
      </text>
    </comment>
    <comment ref="AC37" authorId="0" shapeId="0">
      <text>
        <t>Green banana flour: resistant starch source. Minimal protein/fat/vitamins.</t>
      </text>
    </comment>
    <comment ref="AD37" authorId="0" shapeId="0">
      <text>
        <t>Green banana flour: ~85g carbs/100g. 85 × 0.10 = 8.5 g.</t>
      </text>
    </comment>
    <comment ref="AE37" authorId="0" shapeId="0">
      <text>
        <t>Green banana flour: resistant starch source. Minimal protein/fat/vitamins.</t>
      </text>
    </comment>
    <comment ref="AF37" authorId="0" shapeId="0">
      <text>
        <t>Green banana flour: resistant starch source. Minimal protein/fat/vitamins.</t>
      </text>
    </comment>
    <comment ref="AG37" authorId="0" shapeId="0">
      <text>
        <t>Formula.</t>
      </text>
    </comment>
    <comment ref="AH37" authorId="0" shapeId="0">
      <text>
        <t>Green banana flour: ~15g fiber/100g (mostly resistant starch type 2). 15 × 0.10 = 1.5 g.</t>
      </text>
    </comment>
    <comment ref="AI37" authorId="0" shapeId="0">
      <text>
        <t>Formula.</t>
      </text>
    </comment>
    <comment ref="AJ37" authorId="0" shapeId="0">
      <text>
        <t>Green banana flour: resistant starch source. Minimal protein/fat/vitamins.</t>
      </text>
    </comment>
    <comment ref="AK37" authorId="0" shapeId="0">
      <text>
        <t>Green banana flour: resistant starch source. Minimal protein/fat/vitamins.</t>
      </text>
    </comment>
    <comment ref="AL37" authorId="0" shapeId="0">
      <text>
        <t>Green banana flour: resistant starch source. Minimal protein/fat/vitamins.</t>
      </text>
    </comment>
    <comment ref="AM37" authorId="0" shapeId="0">
      <text>
        <t>Green banana: K ~500mg/100g. 500 × 0.10 = 50 mg. Math-heavy estimate from banana flour literature.</t>
      </text>
    </comment>
    <comment ref="AN37" authorId="0" shapeId="0">
      <text>
        <t>Green banana flour: resistant starch source. Minimal protein/fat/vitamins.</t>
      </text>
    </comment>
    <comment ref="AO37" authorId="0" shapeId="0">
      <text>
        <t>Green banana flour: resistant starch source. Minimal protein/fat/vitamins.</t>
      </text>
    </comment>
    <comment ref="AP37" authorId="0" shapeId="0">
      <text>
        <t>Green banana flour: resistant starch source. Minimal protein/fat/vitamins.</t>
      </text>
    </comment>
    <comment ref="AQ37" authorId="0" shapeId="0">
      <text>
        <t>Green banana flour: resistant starch source. Minimal protein/fat/vitamins.</t>
      </text>
    </comment>
    <comment ref="AR37" authorId="0" shapeId="0">
      <text>
        <t>Green banana flour: resistant starch source. Minimal protein/fat/vitamins.</t>
      </text>
    </comment>
    <comment ref="AS37" authorId="0" shapeId="0">
      <text>
        <t>Green banana flour: resistant starch source. Minimal protein/fat/vitamins.</t>
      </text>
    </comment>
    <comment ref="AT37" authorId="0" shapeId="0">
      <text>
        <t>Green banana flour: resistant starch source. Minimal protein/fat/vitamins.</t>
      </text>
    </comment>
    <comment ref="AU37" authorId="0" shapeId="0">
      <text>
        <t>Green banana flour: resistant starch source. Minimal protein/fat/vitamins.</t>
      </text>
    </comment>
    <comment ref="AV37" authorId="0" shapeId="0">
      <text>
        <t>Green banana flour: resistant starch source. Minimal protein/fat/vitamins.</t>
      </text>
    </comment>
    <comment ref="AW37" authorId="0" shapeId="0">
      <text>
        <t>Green banana flour: resistant starch source. Minimal protein/fat/vitamins.</t>
      </text>
    </comment>
    <comment ref="AX37" authorId="0" shapeId="0">
      <text>
        <t>Green banana flour: resistant starch source. Minimal protein/fat/vitamins.</t>
      </text>
    </comment>
    <comment ref="AY37" authorId="0" shapeId="0">
      <text>
        <t>Green banana flour: resistant starch source. Minimal protein/fat/vitamins.</t>
      </text>
    </comment>
    <comment ref="AZ37" authorId="0" shapeId="0">
      <text>
        <t>Green banana flour: resistant starch source. Minimal protein/fat/vitamins.</t>
      </text>
    </comment>
    <comment ref="BA37" authorId="0" shapeId="0">
      <text>
        <t>Green banana flour: resistant starch source. Minimal protein/fat/vitamins.</t>
      </text>
    </comment>
    <comment ref="BB37" authorId="0" shapeId="0">
      <text>
        <t>Green banana flour: resistant starch source. Minimal protein/fat/vitamins.</t>
      </text>
    </comment>
    <comment ref="BC37" authorId="0" shapeId="0">
      <text>
        <t>Green banana flour: resistant starch source. Minimal protein/fat/vitamins.</t>
      </text>
    </comment>
    <comment ref="BD37" authorId="0" shapeId="0">
      <text>
        <t>Green banana flour: resistant starch source. Minimal protein/fat/vitamins.</t>
      </text>
    </comment>
    <comment ref="BE37" authorId="0" shapeId="0">
      <text>
        <t>Green banana flour: resistant starch source. Minimal protein/fat/vitamins.</t>
      </text>
    </comment>
    <comment ref="BF37" authorId="0" shapeId="0">
      <text>
        <t>Green banana flour: resistant starch source. Minimal protein/fat/vitamins.</t>
      </text>
    </comment>
    <comment ref="BG37" authorId="0" shapeId="0">
      <text>
        <t>Green banana flour: resistant starch source. Minimal protein/fat/vitamins.</t>
      </text>
    </comment>
    <comment ref="BH37" authorId="0" shapeId="0">
      <text>
        <t>Green banana flour: resistant starch source. Minimal protein/fat/vitamins.</t>
      </text>
    </comment>
    <comment ref="BI37" authorId="0" shapeId="0">
      <text>
        <t>Green banana flour: resistant starch source. Minimal protein/fat/vitamins.</t>
      </text>
    </comment>
    <comment ref="BJ37" authorId="0" shapeId="0">
      <text>
        <t>Green banana flour: resistant starch source. Minimal protein/fat/vitamins.</t>
      </text>
    </comment>
    <comment ref="BK37" authorId="0" shapeId="0">
      <text>
        <t>Green banana flour: resistant starch source. Minimal protein/fat/vitamins.</t>
      </text>
    </comment>
    <comment ref="BL37" authorId="0" shapeId="0">
      <text>
        <t>Green banana flour: resistant starch source. Minimal protein/fat/vitamins.</t>
      </text>
    </comment>
    <comment ref="BM37" authorId="0" shapeId="0">
      <text>
        <t>Green banana flour: resistant starch source. Minimal protein/fat/vitamins.</t>
      </text>
    </comment>
    <comment ref="BN37" authorId="0" shapeId="0">
      <text>
        <t>Green banana flour: resistant starch source. Minimal protein/fat/vitamins.</t>
      </text>
    </comment>
    <comment ref="BO37" authorId="0" shapeId="0">
      <text>
        <t>Green banana flour: resistant starch source. Minimal protein/fat/vitamins.</t>
      </text>
    </comment>
    <comment ref="BP37" authorId="0" shapeId="0">
      <text>
        <t>Green banana flour: resistant starch source. Minimal protein/fat/vitamins.</t>
      </text>
    </comment>
    <comment ref="BQ37" authorId="0" shapeId="0">
      <text>
        <t>Green banana flour: resistant starch source. Minimal protein/fat/vitamins.</t>
      </text>
    </comment>
    <comment ref="BR37" authorId="0" shapeId="0">
      <text>
        <t>Green banana flour: resistant starch source. Minimal protein/fat/vitamins.</t>
      </text>
    </comment>
    <comment ref="BS37" authorId="0" shapeId="0">
      <text>
        <t>Green banana flour: resistant starch source. Minimal protein/fat/vitamins.</t>
      </text>
    </comment>
    <comment ref="BT37" authorId="0" shapeId="0">
      <text>
        <t>Green banana flour: resistant starch source. Minimal protein/fat/vitamins.</t>
      </text>
    </comment>
    <comment ref="BU37" authorId="0" shapeId="0">
      <text>
        <t>Green banana flour: resistant starch source. Minimal protein/fat/vitamins.</t>
      </text>
    </comment>
    <comment ref="BV37" authorId="0" shapeId="0">
      <text>
        <t>Green banana flour: resistant starch source. Minimal protein/fat/vitamins.</t>
      </text>
    </comment>
    <comment ref="BW37" authorId="0" shapeId="0">
      <text>
        <t>Green banana flour: resistant starch source. Minimal protein/fat/vitamins.</t>
      </text>
    </comment>
    <comment ref="BX37" authorId="0" shapeId="0">
      <text>
        <t>Green banana flour: resistant starch source. Minimal protein/fat/vitamins.</t>
      </text>
    </comment>
    <comment ref="BY37" authorId="0" shapeId="0">
      <text>
        <t>Green banana flour: resistant starch source. Minimal protein/fat/vitamins.</t>
      </text>
    </comment>
    <comment ref="BZ37" authorId="0" shapeId="0">
      <text>
        <t>Green banana flour: resistant starch source. Minimal protein/fat/vitamins.</t>
      </text>
    </comment>
    <comment ref="CA37" authorId="0" shapeId="0">
      <text>
        <t>Green banana flour: resistant starch source. Minimal protein/fat/vitamins.</t>
      </text>
    </comment>
    <comment ref="CB37" authorId="0" shapeId="0">
      <text>
        <t>Green banana flour: resistant starch source. Minimal protein/fat/vitamins.</t>
      </text>
    </comment>
    <comment ref="CC37" authorId="0" shapeId="0">
      <text>
        <t>Green banana flour: resistant starch source. Minimal protein/fat/vitamins.</t>
      </text>
    </comment>
    <comment ref="CD37" authorId="0" shapeId="0">
      <text>
        <t>Green banana flour: resistant starch source. Minimal protein/fat/vitamins.</t>
      </text>
    </comment>
    <comment ref="CE37" authorId="0" shapeId="0">
      <text>
        <t>Green banana flour: resistant starch source. Minimal protein/fat/vitamins.</t>
      </text>
    </comment>
    <comment ref="CF37" authorId="0" shapeId="0">
      <text>
        <t>Green banana flour: resistant starch source. Minimal protein/fat/vitamins.</t>
      </text>
    </comment>
    <comment ref="CG37" authorId="0" shapeId="0">
      <text>
        <t>Green banana flour: resistant starch source. Minimal protein/fat/vitamins.</t>
      </text>
    </comment>
    <comment ref="CH37" authorId="0" shapeId="0">
      <text>
        <t>Green banana flour is ~50% resistant starch (RS2) which functions as prebiotic. 10g × 0.50 = 5g prebiotic-active resistant starch. This is its primary purpose in the shake.</t>
      </text>
    </comment>
    <comment ref="CI37" authorId="0" shapeId="0">
      <text>
        <t>Green banana flour: resistant starch source. Minimal protein/fat/vitamins.</t>
      </text>
    </comment>
    <comment ref="CJ37" authorId="0" shapeId="0">
      <text>
        <t>Green banana flour: resistant starch source. Minimal protein/fat/vitamins.</t>
      </text>
    </comment>
    <comment ref="CK37" authorId="0" shapeId="0">
      <text>
        <t>Green banana flour: resistant starch source. Minimal protein/fat/vitamins.</t>
      </text>
    </comment>
    <comment ref="CL37" authorId="0" shapeId="0">
      <text>
        <t>Green banana flour: resistant starch source. Minimal protein/fat/vitamins.</t>
      </text>
    </comment>
    <comment ref="CM37" authorId="0" shapeId="0">
      <text>
        <t>Green banana flour: resistant starch source. Minimal protein/fat/vitamins.</t>
      </text>
    </comment>
    <comment ref="CN37" authorId="0" shapeId="0">
      <text>
        <t>Green banana flour: resistant starch source. Minimal protein/fat/vitamins.</t>
      </text>
    </comment>
    <comment ref="CO37" authorId="0" shapeId="0">
      <text>
        <t>Green banana flour: resistant starch source. Minimal protein/fat/vitamins.</t>
      </text>
    </comment>
    <comment ref="CP37" authorId="0" shapeId="0">
      <text>
        <t>Green banana flour: resistant starch source. Minimal protein/fat/vitamins.</t>
      </text>
    </comment>
    <comment ref="CQ37" authorId="0" shapeId="0">
      <text>
        <t>Green banana flour: resistant starch source. Minimal protein/fat/vitamins.</t>
      </text>
    </comment>
    <comment ref="CR37" authorId="0" shapeId="0">
      <text>
        <t>Green banana flour: resistant starch source. Minimal protein/fat/vitamins.</t>
      </text>
    </comment>
    <comment ref="CS37" authorId="0" shapeId="0">
      <text>
        <t>Green banana flour: resistant starch source. Minimal protein/fat/vitamins.</t>
      </text>
    </comment>
    <comment ref="CT37" authorId="0" shapeId="0">
      <text>
        <t>Green banana flour: resistant starch source. Minimal protein/fat/vitamins.</t>
      </text>
    </comment>
    <comment ref="CU37" authorId="0" shapeId="0">
      <text>
        <t>Green banana flour: resistant starch source. Minimal protein/fat/vitamins.</t>
      </text>
    </comment>
    <comment ref="CV37" authorId="0" shapeId="0">
      <text>
        <t>Green banana flour: resistant starch source. Minimal protein/fat/vitamins.</t>
      </text>
    </comment>
    <comment ref="C38" authorId="1" shapeId="0">
      <text>
        <t>CHANGED from NOW Oat Bran to isolated concentrate (user request). Anthony's Oat Beta-Glucan Powder = ~70% pure beta-glucan concentrate, Non-GMO, batch-tested, single ingredient. At 3g AMT: ~2.1g beta-glucan. Original assumed ~2.5g at 3g. Increase AMT to 3.6g to match exact original beta-glucan dose if needed.</t>
      </text>
    </comment>
    <comment ref="C39" authorId="1" shapeId="0">
      <text>
        <t>CHANGED from Medaglia d'Oro (not organic, no certifications). Mount Hagen: USDA Organic + Fairtrade (world's first instant to hold both). 100% Arabica, Papua New Guinea highlands, freeze-dried. Non-GMO, Kosher, Vegan. Lead/arsenic tested Dec 2025 (Lead Safe Mama): levels present but lowest of all tested instant coffees — well within safe range after dilution in shake. Alternative: Purity Coffee Instant (2026, mold/mycotoxin/heavy metal tested) if available — puritycoffee.com</t>
      </text>
    </comment>
    <comment ref="O39" authorId="0" shapeId="0">
      <text>
        <t>Instant coffee: ~353 kcal/100g. 353 × 0.01 = 3.5 → 2 kcal (mostly from trace carbs). TRACE.</t>
      </text>
    </comment>
    <comment ref="P39" authorId="0" shapeId="0">
      <text>
        <t>Instant espresso at 1g: negligible nutrition except caffeine.</t>
      </text>
    </comment>
    <comment ref="Q39" authorId="0" shapeId="0">
      <text>
        <t>Instant espresso at 1g: negligible nutrition except caffeine.</t>
      </text>
    </comment>
    <comment ref="R39" authorId="0" shapeId="0">
      <text>
        <t>Instant espresso at 1g: negligible nutrition except caffeine.</t>
      </text>
    </comment>
    <comment ref="S39" authorId="0" shapeId="0">
      <text>
        <t>Instant espresso at 1g: negligible nutrition except caffeine.</t>
      </text>
    </comment>
    <comment ref="T39" authorId="0" shapeId="0">
      <text>
        <t>Instant espresso at 1g: negligible nutrition except caffeine.</t>
      </text>
    </comment>
    <comment ref="U39" authorId="0" shapeId="0">
      <text>
        <t>Instant espresso at 1g: negligible nutrition except caffeine.</t>
      </text>
    </comment>
    <comment ref="W39" authorId="0" shapeId="0">
      <text>
        <t>Instant espresso at 1g: negligible nutrition except caffeine.</t>
      </text>
    </comment>
    <comment ref="X39" authorId="0" shapeId="0">
      <text>
        <t>Instant espresso at 1g: negligible nutrition except caffeine.</t>
      </text>
    </comment>
    <comment ref="Y39" authorId="0" shapeId="0">
      <text>
        <t>Instant espresso at 1g: negligible nutrition except caffeine.</t>
      </text>
    </comment>
    <comment ref="Z39" authorId="0" shapeId="0">
      <text>
        <t>Instant espresso at 1g: negligible nutrition except caffeine.</t>
      </text>
    </comment>
    <comment ref="AA39" authorId="0" shapeId="0">
      <text>
        <t>Instant espresso at 1g: negligible nutrition except caffeine.</t>
      </text>
    </comment>
    <comment ref="AB39" authorId="0" shapeId="0">
      <text>
        <t>Instant espresso at 1g: negligible nutrition except caffeine.</t>
      </text>
    </comment>
    <comment ref="AC39" authorId="0" shapeId="0">
      <text>
        <t>Instant espresso at 1g: negligible nutrition except caffeine.</t>
      </text>
    </comment>
    <comment ref="AD39" authorId="0" shapeId="0">
      <text>
        <t>Instant espresso at 1g: negligible nutrition except caffeine.</t>
      </text>
    </comment>
    <comment ref="AE39" authorId="0" shapeId="0">
      <text>
        <t>Instant espresso at 1g: negligible nutrition except caffeine.</t>
      </text>
    </comment>
    <comment ref="AF39" authorId="0" shapeId="0">
      <text>
        <t>Instant espresso at 1g: negligible nutrition except caffeine.</t>
      </text>
    </comment>
    <comment ref="AG39" authorId="0" shapeId="0">
      <text>
        <t>Formula.</t>
      </text>
    </comment>
    <comment ref="AH39" authorId="0" shapeId="0">
      <text>
        <t>Instant espresso at 1g: negligible nutrition except caffeine.</t>
      </text>
    </comment>
    <comment ref="AI39" authorId="0" shapeId="0">
      <text>
        <t>Formula.</t>
      </text>
    </comment>
    <comment ref="AJ39" authorId="0" shapeId="0">
      <text>
        <t>Instant espresso at 1g: negligible nutrition except caffeine.</t>
      </text>
    </comment>
    <comment ref="AK39" authorId="0" shapeId="0">
      <text>
        <t>Instant espresso at 1g: negligible nutrition except caffeine.</t>
      </text>
    </comment>
    <comment ref="AL39" authorId="0" shapeId="0">
      <text>
        <t>Instant espresso at 1g: negligible nutrition except caffeine.</t>
      </text>
    </comment>
    <comment ref="AM39" authorId="0" shapeId="0">
      <text>
        <t>Instant espresso at 1g: negligible nutrition except caffeine.</t>
      </text>
    </comment>
    <comment ref="AN39" authorId="0" shapeId="0">
      <text>
        <t>Instant espresso at 1g: negligible nutrition except caffeine.</t>
      </text>
    </comment>
    <comment ref="AO39" authorId="0" shapeId="0">
      <text>
        <t>Instant espresso at 1g: negligible nutrition except caffeine.</t>
      </text>
    </comment>
    <comment ref="AP39" authorId="0" shapeId="0">
      <text>
        <t>Instant espresso at 1g: negligible nutrition except caffeine.</t>
      </text>
    </comment>
    <comment ref="AQ39" authorId="0" shapeId="0">
      <text>
        <t>Instant espresso at 1g: negligible nutrition except caffeine.</t>
      </text>
    </comment>
    <comment ref="AR39" authorId="0" shapeId="0">
      <text>
        <t>Instant espresso at 1g: negligible nutrition except caffeine.</t>
      </text>
    </comment>
    <comment ref="AS39" authorId="0" shapeId="0">
      <text>
        <t>Instant espresso at 1g: negligible nutrition except caffeine.</t>
      </text>
    </comment>
    <comment ref="AT39" authorId="0" shapeId="0">
      <text>
        <t>Instant espresso at 1g: negligible nutrition except caffeine.</t>
      </text>
    </comment>
    <comment ref="AU39" authorId="0" shapeId="0">
      <text>
        <t>Instant espresso at 1g: negligible nutrition except caffeine.</t>
      </text>
    </comment>
    <comment ref="AV39" authorId="0" shapeId="0">
      <text>
        <t>Instant espresso at 1g: negligible nutrition except caffeine.</t>
      </text>
    </comment>
    <comment ref="AW39" authorId="0" shapeId="0">
      <text>
        <t>Instant espresso at 1g: negligible nutrition except caffeine.</t>
      </text>
    </comment>
    <comment ref="AX39" authorId="0" shapeId="0">
      <text>
        <t>Instant espresso at 1g: negligible nutrition except caffeine.</t>
      </text>
    </comment>
    <comment ref="AY39" authorId="0" shapeId="0">
      <text>
        <t>Instant espresso at 1g: negligible nutrition except caffeine.</t>
      </text>
    </comment>
    <comment ref="AZ39" authorId="0" shapeId="0">
      <text>
        <t>Instant espresso at 1g: negligible nutrition except caffeine.</t>
      </text>
    </comment>
    <comment ref="BA39" authorId="0" shapeId="0">
      <text>
        <t>Instant espresso at 1g: negligible nutrition except caffeine.</t>
      </text>
    </comment>
    <comment ref="BB39" authorId="0" shapeId="0">
      <text>
        <t>Instant espresso at 1g: negligible nutrition except caffeine.</t>
      </text>
    </comment>
    <comment ref="BC39" authorId="0" shapeId="0">
      <text>
        <t>Instant espresso at 1g: negligible nutrition except caffeine.</t>
      </text>
    </comment>
    <comment ref="BD39" authorId="0" shapeId="0">
      <text>
        <t>Instant espresso at 1g: negligible nutrition except caffeine.</t>
      </text>
    </comment>
    <comment ref="BE39" authorId="0" shapeId="0">
      <text>
        <t>Instant espresso at 1g: negligible nutrition except caffeine.</t>
      </text>
    </comment>
    <comment ref="BF39" authorId="0" shapeId="0">
      <text>
        <t>Instant espresso at 1g: negligible nutrition except caffeine.</t>
      </text>
    </comment>
    <comment ref="BG39" authorId="0" shapeId="0">
      <text>
        <t>Instant espresso at 1g: negligible nutrition except caffeine.</t>
      </text>
    </comment>
    <comment ref="BH39" authorId="0" shapeId="0">
      <text>
        <t>Instant espresso at 1g: negligible nutrition except caffeine.</t>
      </text>
    </comment>
    <comment ref="BI39" authorId="0" shapeId="0">
      <text>
        <t>Instant espresso at 1g: negligible nutrition except caffeine.</t>
      </text>
    </comment>
    <comment ref="BJ39" authorId="0" shapeId="0">
      <text>
        <t>Instant espresso at 1g: negligible nutrition except caffeine.</t>
      </text>
    </comment>
    <comment ref="BK39" authorId="0" shapeId="0">
      <text>
        <t>Instant espresso at 1g: negligible nutrition except caffeine.</t>
      </text>
    </comment>
    <comment ref="BL39" authorId="0" shapeId="0">
      <text>
        <t>Instant espresso at 1g: negligible nutrition except caffeine.</t>
      </text>
    </comment>
    <comment ref="BM39" authorId="0" shapeId="0">
      <text>
        <t>Instant espresso at 1g: negligible nutrition except caffeine.</t>
      </text>
    </comment>
    <comment ref="BN39" authorId="0" shapeId="0">
      <text>
        <t>Instant espresso at 1g: negligible nutrition except caffeine.</t>
      </text>
    </comment>
    <comment ref="BO39" authorId="0" shapeId="0">
      <text>
        <t>Instant espresso at 1g: negligible nutrition except caffeine.</t>
      </text>
    </comment>
    <comment ref="BP39" authorId="0" shapeId="0">
      <text>
        <t>Instant espresso at 1g: negligible nutrition except caffeine.</t>
      </text>
    </comment>
    <comment ref="BQ39" authorId="0" shapeId="0">
      <text>
        <t>Instant espresso at 1g: negligible nutrition except caffeine.</t>
      </text>
    </comment>
    <comment ref="BR39" authorId="0" shapeId="0">
      <text>
        <t>Instant espresso at 1g: negligible nutrition except caffeine.</t>
      </text>
    </comment>
    <comment ref="BS39" authorId="0" shapeId="0">
      <text>
        <t>Instant espresso at 1g: negligible nutrition except caffeine.</t>
      </text>
    </comment>
    <comment ref="BT39" authorId="0" shapeId="0">
      <text>
        <t>Instant espresso at 1g: negligible nutrition except caffeine.</t>
      </text>
    </comment>
    <comment ref="BU39" authorId="0" shapeId="0">
      <text>
        <t>Instant espresso at 1g: negligible nutrition except caffeine.</t>
      </text>
    </comment>
    <comment ref="BV39" authorId="0" shapeId="0">
      <text>
        <t>Instant espresso at 1g: negligible nutrition except caffeine.</t>
      </text>
    </comment>
    <comment ref="BW39" authorId="0" shapeId="0">
      <text>
        <t>Instant espresso at 1g: negligible nutrition except caffeine.</t>
      </text>
    </comment>
    <comment ref="BX39" authorId="0" shapeId="0">
      <text>
        <t>Instant espresso at 1g: negligible nutrition except caffeine.</t>
      </text>
    </comment>
    <comment ref="BY39" authorId="0" shapeId="0">
      <text>
        <t>Instant espresso at 1g: negligible nutrition except caffeine.</t>
      </text>
    </comment>
    <comment ref="BZ39" authorId="0" shapeId="0">
      <text>
        <t>Instant espresso at 1g: negligible nutrition except caffeine.</t>
      </text>
    </comment>
    <comment ref="CA39" authorId="0" shapeId="0">
      <text>
        <t>Instant espresso at 1g: negligible nutrition except caffeine.</t>
      </text>
    </comment>
    <comment ref="CB39" authorId="0" shapeId="0">
      <text>
        <t>Instant espresso at 1g: negligible nutrition except caffeine.</t>
      </text>
    </comment>
    <comment ref="CC39" authorId="0" shapeId="0">
      <text>
        <t>Instant espresso at 1g: negligible nutrition except caffeine.</t>
      </text>
    </comment>
    <comment ref="CD39" authorId="0" shapeId="0">
      <text>
        <t>Instant espresso at 1g: negligible nutrition except caffeine.</t>
      </text>
    </comment>
    <comment ref="CE39" authorId="0" shapeId="0">
      <text>
        <t>Instant espresso at 1g: negligible nutrition except caffeine.</t>
      </text>
    </comment>
    <comment ref="CF39" authorId="0" shapeId="0">
      <text>
        <t>Instant espresso at 1g: negligible nutrition except caffeine.</t>
      </text>
    </comment>
    <comment ref="CG39" authorId="0" shapeId="0">
      <text>
        <t>Instant espresso at 1g: negligible nutrition except caffeine.</t>
      </text>
    </comment>
    <comment ref="CH39" authorId="0" shapeId="0">
      <text>
        <t>Instant espresso at 1g: negligible nutrition except caffeine.</t>
      </text>
    </comment>
    <comment ref="CI39" authorId="0" shapeId="0">
      <text>
        <t>Instant espresso at 1g: negligible nutrition except caffeine.</t>
      </text>
    </comment>
    <comment ref="CJ39" authorId="0" shapeId="0">
      <text>
        <t>Instant espresso at 1g: negligible nutrition except caffeine.</t>
      </text>
    </comment>
    <comment ref="CK39" authorId="0" shapeId="0">
      <text>
        <t>Instant espresso at 1g: negligible nutrition except caffeine.</t>
      </text>
    </comment>
    <comment ref="CL39" authorId="0" shapeId="0">
      <text>
        <t>Instant espresso at 1g: negligible nutrition except caffeine.</t>
      </text>
    </comment>
    <comment ref="CM39" authorId="0" shapeId="0">
      <text>
        <t>Instant espresso at 1g: negligible nutrition except caffeine.</t>
      </text>
    </comment>
    <comment ref="CN39" authorId="0" shapeId="0">
      <text>
        <t>Mount Hagen FAQ (mounthagencoffee.com, search-verified): Espresso coffee contains 0.07g caffeine per 2g (1 tsp) = 70mg/2g = 35 mg per 1g. Tier 1 brand data. CORRECTION: prior value 63mg was unsourced estimate. Brand FAQ is authoritative.</t>
      </text>
    </comment>
    <comment ref="CO39" authorId="0" shapeId="0">
      <text>
        <t>Instant espresso at 1g: negligible nutrition except caffeine.</t>
      </text>
    </comment>
    <comment ref="CP39" authorId="0" shapeId="0">
      <text>
        <t>Instant espresso at 1g: negligible nutrition except caffeine.</t>
      </text>
    </comment>
    <comment ref="CQ39" authorId="0" shapeId="0">
      <text>
        <t>Instant espresso at 1g: negligible nutrition except caffeine.</t>
      </text>
    </comment>
    <comment ref="CR39" authorId="0" shapeId="0">
      <text>
        <t>Instant espresso at 1g: negligible nutrition except caffeine.</t>
      </text>
    </comment>
    <comment ref="CS39" authorId="0" shapeId="0">
      <text>
        <t>Instant espresso at 1g: negligible nutrition except caffeine.</t>
      </text>
    </comment>
    <comment ref="CT39" authorId="0" shapeId="0">
      <text>
        <t>Instant espresso at 1g: negligible nutrition except caffeine.</t>
      </text>
    </comment>
    <comment ref="CU39" authorId="0" shapeId="0">
      <text>
        <t>Instant espresso at 1g: negligible nutrition except caffeine.</t>
      </text>
    </comment>
    <comment ref="CV39" authorId="0" shapeId="0">
      <text>
        <t>Instant espresso at 1g: negligible nutrition except caffeine.</t>
      </text>
    </comment>
    <comment ref="O40" authorId="0" shapeId="0">
      <text>
        <t>Organic India label (search-verified): "18 kcal per 5g (1 tbsp)". 18 × (7/5) = 25.2 → 25 kcal for 7g.</t>
      </text>
    </comment>
    <comment ref="P40" authorId="0" shapeId="0">
      <text>
        <t>Organic India label: 0g protein. Psyllium husk is essentially pure fiber.</t>
      </text>
    </comment>
    <comment ref="Q40" authorId="0" shapeId="0">
      <text>
        <t>No protein in psyllium husk.</t>
      </text>
    </comment>
    <comment ref="R40" authorId="0" shapeId="0">
      <text>
        <t>No protein in psyllium husk.</t>
      </text>
    </comment>
    <comment ref="S40" authorId="0" shapeId="0">
      <text>
        <t>No protein in psyllium husk.</t>
      </text>
    </comment>
    <comment ref="T40" authorId="0" shapeId="0">
      <text>
        <t>No protein in psyllium husk.</t>
      </text>
    </comment>
    <comment ref="U40" authorId="0" shapeId="0">
      <text>
        <t>No protein in psyllium husk.</t>
      </text>
    </comment>
    <comment ref="V40" authorId="0" shapeId="0">
      <text>
        <t>No protein = no DIAAS score applicable.</t>
      </text>
    </comment>
    <comment ref="W40" authorId="0" shapeId="0">
      <text>
        <t>Organic India: 0g fat per label.</t>
      </text>
    </comment>
    <comment ref="X40" authorId="0" shapeId="0">
      <text>
        <t>No fat in psyllium husk.</t>
      </text>
    </comment>
    <comment ref="Y40" authorId="0" shapeId="0">
      <text>
        <t>No fat in psyllium husk.</t>
      </text>
    </comment>
    <comment ref="Z40" authorId="0" shapeId="0">
      <text>
        <t>No fat in psyllium husk.</t>
      </text>
    </comment>
    <comment ref="AA40" authorId="0" shapeId="0">
      <text>
        <t>No fat in psyllium husk.</t>
      </text>
    </comment>
    <comment ref="AB40" authorId="0" shapeId="0">
      <text>
        <t>No fat in psyllium husk.</t>
      </text>
    </comment>
    <comment ref="AC40" authorId="0" shapeId="0">
      <text>
        <t>No fat in psyllium husk.</t>
      </text>
    </comment>
    <comment ref="AD40" authorId="0" shapeId="0">
      <text>
        <t>Organic India label: "4g Total Carbohydrate per 5g". 4 × (7/5) = 5.6 g for 7g. All carbs are fiber (net carbs = 0).</t>
      </text>
    </comment>
    <comment ref="AE40" authorId="0" shapeId="0">
      <text>
        <t>0g sugars per label.</t>
      </text>
    </comment>
    <comment ref="AF40" authorId="0" shapeId="0">
      <text>
        <t>No sugar alcohols.</t>
      </text>
    </comment>
    <comment ref="AG40" authorId="0" shapeId="0">
      <text>
        <t>Formula. Resolves to 0 (all carbs = fiber).</t>
      </text>
    </comment>
    <comment ref="AH40" authorId="0" shapeId="0">
      <text>
        <t>Organic India label: "4g Dietary Fiber per 5g" (3g soluble + 1g insoluble). 4 × (7/5) = 5.6 g total fiber for 7g. Psyllium is ~75% soluble fiber.</t>
      </text>
    </comment>
    <comment ref="AI40" authorId="0" shapeId="0">
      <text>
        <t>Formula. Net carbs = 0 for psyllium.</t>
      </text>
    </comment>
    <comment ref="AJ40" authorId="0" shapeId="0">
      <text>
        <t>No choline in psyllium husk fiber.</t>
      </text>
    </comment>
    <comment ref="AK40" authorId="0" shapeId="0">
      <text>
        <t>Organic India label: minerals not listed / negligible at 7g fiber supplement.</t>
      </text>
    </comment>
    <comment ref="AL40" authorId="0" shapeId="0">
      <text>
        <t>Organic India label: minerals not listed / negligible at 7g fiber supplement.</t>
      </text>
    </comment>
    <comment ref="AM40" authorId="0" shapeId="0">
      <text>
        <t>Organic India label: minerals not listed / negligible at 7g fiber supplement.</t>
      </text>
    </comment>
    <comment ref="AN40" authorId="0" shapeId="0">
      <text>
        <t>Organic India label: minerals not listed / negligible at 7g fiber supplement.</t>
      </text>
    </comment>
    <comment ref="AO40" authorId="0" shapeId="0">
      <text>
        <t>Organic India label: "Sodium 0 mg".</t>
      </text>
    </comment>
    <comment ref="AP40" authorId="0" shapeId="0">
      <text>
        <t>Mo not tracked for psyllium. Unknown.</t>
      </text>
    </comment>
    <comment ref="AQ40" authorId="0" shapeId="0">
      <text>
        <t>Organic India label: "Iron 0 mg".</t>
      </text>
    </comment>
    <comment ref="AR40" authorId="0" shapeId="0">
      <text>
        <t>Trace minerals negligible at 7g psyllium husk.</t>
      </text>
    </comment>
    <comment ref="AS40" authorId="0" shapeId="0">
      <text>
        <t>Trace minerals negligible at 7g psyllium husk.</t>
      </text>
    </comment>
    <comment ref="AT40" authorId="0" shapeId="0">
      <text>
        <t>Trace minerals negligible at 7g psyllium husk.</t>
      </text>
    </comment>
    <comment ref="AU40" authorId="0" shapeId="0">
      <text>
        <t>Trace minerals negligible at 7g psyllium husk.</t>
      </text>
    </comment>
    <comment ref="AV40" authorId="0" shapeId="0">
      <text>
        <t>Chromium unknown.</t>
      </text>
    </comment>
    <comment ref="AW40" authorId="0" shapeId="0">
      <text>
        <t>No iodine in psyllium.</t>
      </text>
    </comment>
    <comment ref="AX40" authorId="0" shapeId="0">
      <text>
        <t>Boron unknown.</t>
      </text>
    </comment>
    <comment ref="AY40" authorId="0" shapeId="0">
      <text>
        <t>No vitamins in psyllium husk fiber.</t>
      </text>
    </comment>
    <comment ref="AZ40" authorId="0" shapeId="0">
      <text>
        <t>No vitamins in psyllium husk fiber.</t>
      </text>
    </comment>
    <comment ref="BA40" authorId="0" shapeId="0">
      <text>
        <t>No vitamins in psyllium husk fiber.</t>
      </text>
    </comment>
    <comment ref="BB40" authorId="0" shapeId="0">
      <text>
        <t>No vitamins in psyllium husk fiber.</t>
      </text>
    </comment>
    <comment ref="BC40" authorId="0" shapeId="0">
      <text>
        <t>No vitamins in psyllium husk fiber.</t>
      </text>
    </comment>
    <comment ref="BD40" authorId="0" shapeId="0">
      <text>
        <t>No vitamins in psyllium husk fiber.</t>
      </text>
    </comment>
    <comment ref="BE40" authorId="0" shapeId="0">
      <text>
        <t>No vitamins in psyllium husk fiber.</t>
      </text>
    </comment>
    <comment ref="BF40" authorId="0" shapeId="0">
      <text>
        <t>No vitamins in psyllium husk fiber.</t>
      </text>
    </comment>
    <comment ref="BG40" authorId="0" shapeId="0">
      <text>
        <t>No vitamins in psyllium husk fiber.</t>
      </text>
    </comment>
    <comment ref="BH40" authorId="0" shapeId="0">
      <text>
        <t>No vitamins in psyllium husk fiber.</t>
      </text>
    </comment>
    <comment ref="BI40" authorId="0" shapeId="0">
      <text>
        <t>No vitamins in psyllium husk fiber.</t>
      </text>
    </comment>
    <comment ref="BJ40" authorId="0" shapeId="0">
      <text>
        <t>No vitamins in psyllium husk fiber.</t>
      </text>
    </comment>
    <comment ref="BK40" authorId="0" shapeId="0">
      <text>
        <t>No vitamins in psyllium husk fiber.</t>
      </text>
    </comment>
    <comment ref="BL40" authorId="0" shapeId="0">
      <text>
        <t>No vitamins in psyllium husk fiber.</t>
      </text>
    </comment>
    <comment ref="BM40" authorId="0" shapeId="0">
      <text>
        <t>No vitamins in psyllium husk fiber.</t>
      </text>
    </comment>
    <comment ref="BN40" authorId="0" shapeId="0">
      <text>
        <t>No phytonutrients/performance compounds in psyllium husk (pure fiber supplement).</t>
      </text>
    </comment>
    <comment ref="BO40" authorId="0" shapeId="0">
      <text>
        <t>No phytonutrients/performance compounds in psyllium husk (pure fiber supplement).</t>
      </text>
    </comment>
    <comment ref="BP40" authorId="0" shapeId="0">
      <text>
        <t>No phytonutrients/performance compounds in psyllium husk (pure fiber supplement).</t>
      </text>
    </comment>
    <comment ref="BQ40" authorId="0" shapeId="0">
      <text>
        <t>No phytonutrients/performance compounds in psyllium husk (pure fiber supplement).</t>
      </text>
    </comment>
    <comment ref="BR40" authorId="0" shapeId="0">
      <text>
        <t>No phytonutrients/performance compounds in psyllium husk (pure fiber supplement).</t>
      </text>
    </comment>
    <comment ref="BS40" authorId="0" shapeId="0">
      <text>
        <t>No phytonutrients/performance compounds in psyllium husk (pure fiber supplement).</t>
      </text>
    </comment>
    <comment ref="BT40" authorId="0" shapeId="0">
      <text>
        <t>No phytonutrients/performance compounds in psyllium husk (pure fiber supplement).</t>
      </text>
    </comment>
    <comment ref="BU40" authorId="0" shapeId="0">
      <text>
        <t>No phytonutrients/performance compounds in psyllium husk (pure fiber supplement).</t>
      </text>
    </comment>
    <comment ref="BV40" authorId="0" shapeId="0">
      <text>
        <t>No phytonutrients/performance compounds in psyllium husk (pure fiber supplement).</t>
      </text>
    </comment>
    <comment ref="BW40" authorId="0" shapeId="0">
      <text>
        <t>No phytonutrients/performance compounds in psyllium husk (pure fiber supplement).</t>
      </text>
    </comment>
    <comment ref="BX40" authorId="0" shapeId="0">
      <text>
        <t>No phytonutrients/performance compounds in psyllium husk (pure fiber supplement).</t>
      </text>
    </comment>
    <comment ref="BY40" authorId="0" shapeId="0">
      <text>
        <t>No phytonutrients/performance compounds in psyllium husk (pure fiber supplement).</t>
      </text>
    </comment>
    <comment ref="BZ40" authorId="0" shapeId="0">
      <text>
        <t>No phytonutrients/performance compounds in psyllium husk (pure fiber supplement).</t>
      </text>
    </comment>
    <comment ref="CA40" authorId="0" shapeId="0">
      <text>
        <t>No phytonutrients/performance compounds in psyllium husk (pure fiber supplement).</t>
      </text>
    </comment>
    <comment ref="CB40" authorId="0" shapeId="0">
      <text>
        <t>No phytonutrients/performance compounds in psyllium husk (pure fiber supplement).</t>
      </text>
    </comment>
    <comment ref="CC40" authorId="0" shapeId="0">
      <text>
        <t>No phytonutrients/performance compounds in psyllium husk (pure fiber supplement).</t>
      </text>
    </comment>
    <comment ref="CD40" authorId="0" shapeId="0">
      <text>
        <t>No phytonutrients/performance compounds in psyllium husk (pure fiber supplement).</t>
      </text>
    </comment>
    <comment ref="CE40" authorId="0" shapeId="0">
      <text>
        <t>No phytonutrients/performance compounds in psyllium husk (pure fiber supplement).</t>
      </text>
    </comment>
    <comment ref="CF40" authorId="0" shapeId="0">
      <text>
        <t>No phytonutrients/performance compounds in psyllium husk (pure fiber supplement).</t>
      </text>
    </comment>
    <comment ref="CG40" authorId="0" shapeId="0">
      <text>
        <t>No phytonutrients/performance compounds in psyllium husk (pure fiber supplement).</t>
      </text>
    </comment>
    <comment ref="CH40" authorId="0" shapeId="0">
      <text>
        <t>Organic India label: "3g Soluble Fiber + 1g Insoluble Fiber per 5g". Soluble fraction (prebiotic-active, fermented by gut bacteria): 3 × (7/5) = 4.2 g.
Insoluble fraction (1.4g) adds bulk but is not significantly prebiotic.</t>
      </text>
    </comment>
    <comment ref="CI40" authorId="0" shapeId="0">
      <text>
        <t>Not applicable to fiber supplement.</t>
      </text>
    </comment>
    <comment ref="CJ40" authorId="0" shapeId="0">
      <text>
        <t>Not applicable to fiber supplement.</t>
      </text>
    </comment>
    <comment ref="CK40" authorId="0" shapeId="0">
      <text>
        <t>Not applicable to fiber supplement.</t>
      </text>
    </comment>
    <comment ref="CL40" authorId="0" shapeId="0">
      <text>
        <t>Lithium unknown.</t>
      </text>
    </comment>
    <comment ref="CM40" authorId="0" shapeId="0">
      <text>
        <t>Not applicable.</t>
      </text>
    </comment>
    <comment ref="CN40" authorId="0" shapeId="0">
      <text>
        <t>Not applicable.</t>
      </text>
    </comment>
    <comment ref="CO40" authorId="0" shapeId="0">
      <text>
        <t>Not applicable.</t>
      </text>
    </comment>
    <comment ref="CP40" authorId="0" shapeId="0">
      <text>
        <t>Not applicable.</t>
      </text>
    </comment>
    <comment ref="CQ40" authorId="0" shapeId="0">
      <text>
        <t>Not applicable.</t>
      </text>
    </comment>
    <comment ref="CR40" authorId="0" shapeId="0">
      <text>
        <t>Not applicable.</t>
      </text>
    </comment>
    <comment ref="CS40" authorId="0" shapeId="0">
      <text>
        <t>Organic India does not publish a public heavy metals COA for psyllium. Psyllium is grown primarily in India (Rajasthan) where soil HM levels vary. USDA Organic certification requires compliance but does not mandate HM testing. Lead Safe Mama has not tested Organic India Psyllium. Unknown.</t>
      </text>
    </comment>
    <comment ref="CT40" authorId="0" shapeId="0">
      <text>
        <t>Organic India does not publish a public heavy metals COA for psyllium. Psyllium is grown primarily in India (Rajasthan) where soil HM levels vary. USDA Organic certification requires compliance but does not mandate HM testing. Lead Safe Mama has not tested Organic India Psyllium. Unknown.</t>
      </text>
    </comment>
    <comment ref="CU40" authorId="0" shapeId="0">
      <text>
        <t>Organic India does not publish a public heavy metals COA for psyllium. Psyllium is grown primarily in India (Rajasthan) where soil HM levels vary. USDA Organic certification requires compliance but does not mandate HM testing. Lead Safe Mama has not tested Organic India Psyllium. Unknown.</t>
      </text>
    </comment>
    <comment ref="CV40" authorId="0" shapeId="0">
      <text>
        <t>Organic India does not publish a public heavy metals COA for psyllium. Psyllium is grown primarily in India (Rajasthan) where soil HM levels vary. USDA Organic certification requires compliance but does not mandate HM testing. Lead Safe Mama has not tested Organic India Psyllium. Unknown.</t>
      </text>
    </comment>
    <comment ref="O41" authorId="0" shapeId="0">
      <text>
        <t>USDA SR Legacy 168463: Spinach, cooked, boiled, drained. 23 kcal/100g x 0.5 = 11.5 kcal.</t>
      </text>
    </comment>
    <comment ref="P41" authorId="0" shapeId="0">
      <text>
        <t>USDA SR Legacy 168463: Spinach, cooked, boiled, drained. Protein 2.97g/100g x 0.5 = 1.49g.</t>
      </text>
    </comment>
    <comment ref="Q41" authorId="0" shapeId="0">
      <text>
        <t>Plant food. No whey protein.</t>
      </text>
    </comment>
    <comment ref="R41" authorId="0" shapeId="0">
      <text>
        <t>Plant food. No casein.</t>
      </text>
    </comment>
    <comment ref="S41" authorId="0" shapeId="0">
      <text>
        <t>Plant food. No egg protein.</t>
      </text>
    </comment>
    <comment ref="T41" authorId="0" shapeId="0">
      <text>
        <t>Plant food. No collagen.</t>
      </text>
    </comment>
    <comment ref="U41" authorId="0" shapeId="0">
      <text>
        <t>USDA SR Legacy 168463: Spinach, cooked, boiled, drained. All protein is plant-based. 2.97 x 0.5 = 1.49g.</t>
      </text>
    </comment>
    <comment ref="W41" authorId="0" shapeId="0">
      <text>
        <t>USDA SR Legacy 168463: Spinach, cooked, boiled, drained. Total fat 0.26g/100g x 0.5 = 0.13g.</t>
      </text>
    </comment>
    <comment ref="X41" authorId="0" shapeId="0">
      <text>
        <t>USDA SR Legacy 168463: Spinach, cooked, boiled, drained. Sat fat 0.043g/100g x 0.5 = 0.02g. TRACE.</t>
      </text>
    </comment>
    <comment ref="Y41" authorId="0" shapeId="0">
      <text>
        <t>USDA SR Legacy 168463: Spinach, cooked, boiled, drained. MUFA 0.006g/100g x 0.5 = 0.003g. TRACE.</t>
      </text>
    </comment>
    <comment ref="Z41" authorId="0" shapeId="0">
      <text>
        <t>USDA SR Legacy 168463: Spinach, cooked, boiled, drained. PUFA 0.109g/100g x 0.5 = 0.05g.</t>
      </text>
    </comment>
    <comment ref="AA41" authorId="0" shapeId="0">
      <text>
        <t>USDA SR Legacy 168463: Spinach, cooked, boiled, drained. ALA (18:3) 0.092g/100g x 0.5 = 0.046g.</t>
      </text>
    </comment>
    <comment ref="AB41" authorId="0" shapeId="0">
      <text>
        <t>USDA SR Legacy 168463: Spinach, cooked, boiled, drained. Linoleic (18:2) 0.017g/100g x 0.5 = 0.009g. TRACE.</t>
      </text>
    </comment>
    <comment ref="AC41" authorId="0" shapeId="0">
      <text>
        <t>No trans fat in spinach.</t>
      </text>
    </comment>
    <comment ref="AD41" authorId="0" shapeId="0">
      <text>
        <t>USDA SR Legacy 168463: Spinach, cooked, boiled, drained. Carbs 3.75g/100g x 0.5 = 1.88g.</t>
      </text>
    </comment>
    <comment ref="AE41" authorId="0" shapeId="0">
      <text>
        <t>USDA SR Legacy 168463: Spinach, cooked, boiled, drained. Sugars 0.43g/100g x 0.5 = 0.22g.</t>
      </text>
    </comment>
    <comment ref="AF41" authorId="0" shapeId="0">
      <text>
        <t>No sugar alcohols in spinach.</t>
      </text>
    </comment>
    <comment ref="AH41" authorId="0" shapeId="0">
      <text>
        <t>USDA SR Legacy 168463: Spinach, cooked, boiled, drained. Fiber 2.4g/100g x 0.5 = 1.2g.</t>
      </text>
    </comment>
    <comment ref="AJ41" authorId="0" shapeId="0">
      <text>
        <t>USDA SR Legacy 168463: Spinach, cooked, boiled, drained. Choline 19.7mg/100g x 0.5 = 9.85mg.</t>
      </text>
    </comment>
    <comment ref="AK41" authorId="0" shapeId="0">
      <text>
        <t>USDA SR Legacy 168463: Spinach, cooked, boiled, drained. Calcium 136mg/100g x 0.5 = 68mg.</t>
      </text>
    </comment>
    <comment ref="AL41" authorId="0" shapeId="0">
      <text>
        <t>USDA SR Legacy 168463: Spinach, cooked, boiled, drained. Magnesium 87mg/100g x 0.5 = 43.5mg.</t>
      </text>
    </comment>
    <comment ref="AM41" authorId="0" shapeId="0">
      <text>
        <t>USDA SR Legacy 168463: Spinach, cooked, boiled, drained. Potassium 466mg/100g x 0.5 = 233mg.</t>
      </text>
    </comment>
    <comment ref="AN41" authorId="0" shapeId="0">
      <text>
        <t>USDA SR Legacy 168463: Spinach, cooked, boiled, drained. Phosphorus 56mg/100g x 0.5 = 28mg.</t>
      </text>
    </comment>
    <comment ref="AO41" authorId="0" shapeId="0">
      <text>
        <t>USDA SR Legacy 168463: Spinach, cooked, boiled, drained. Sodium 70mg/100g x 0.5 = 35mg.</t>
      </text>
    </comment>
    <comment ref="AP41" authorId="0" shapeId="0">
      <text>
        <t>Spinach Mo ~5mcg/100g (Pennington 2015, J Food Comp Anal). 5 x 0.5 = 2.5mcg.</t>
      </text>
    </comment>
    <comment ref="AQ41" authorId="0" shapeId="0">
      <text>
        <t>USDA SR Legacy 168463: Spinach, cooked, boiled, drained. Iron 3.57mg/100g x 0.5 = 1.79mg.</t>
      </text>
    </comment>
    <comment ref="AR41" authorId="0" shapeId="0">
      <text>
        <t>USDA SR Legacy 168463: Spinach, cooked, boiled, drained. Zinc 0.76mg/100g x 0.5 = 0.38mg.</t>
      </text>
    </comment>
    <comment ref="AS41" authorId="0" shapeId="0">
      <text>
        <t>USDA SR Legacy 168463: Spinach, cooked, boiled, drained. Selenium 1.5mcg/100g x 0.5 = 0.75mcg. TRACE.</t>
      </text>
    </comment>
    <comment ref="AT41" authorId="0" shapeId="0">
      <text>
        <t>USDA SR Legacy 168463: Spinach, cooked, boiled, drained. Copper 0.174mg/100g = 174mcg x 0.5 = 87mcg.</t>
      </text>
    </comment>
    <comment ref="AU41" authorId="0" shapeId="0">
      <text>
        <t>USDA SR Legacy 168463: Spinach, cooked, boiled, drained. Manganese 0.935mg/100g x 0.5 = 0.47mg.</t>
      </text>
    </comment>
    <comment ref="AV41" authorId="0" shapeId="0">
      <text>
        <t>Spinach chromium negligible at 50g serving. TRACE.</t>
      </text>
    </comment>
    <comment ref="AW41" authorId="0" shapeId="0">
      <text>
        <t>Spinach iodine ~2mcg/100g (USDA Iodine DB 2020). 2 x 0.5 = 1mcg. TRACE.</t>
      </text>
    </comment>
    <comment ref="AX41" authorId="0" shapeId="0">
      <text>
        <t>Spinach boron ~0.6mg/100g (USDA provisional). 0.6 x 0.5 = 0.3mg.</t>
      </text>
    </comment>
    <comment ref="AY41" authorId="0" shapeId="0">
      <text>
        <t>USDA SR Legacy 168463: Spinach, cooked, boiled, drained. Vitamin A 524mcg RAE/100g x 0.5 = 262mcg.</t>
      </text>
    </comment>
    <comment ref="AZ41" authorId="0" shapeId="0">
      <text>
        <t>USDA SR Legacy 168463: Spinach, cooked, boiled, drained. Vitamin C 9.8mg/100g x 0.5 = 4.9mg.</t>
      </text>
    </comment>
    <comment ref="BA41" authorId="0" shapeId="0">
      <text>
        <t>No vitamin D in spinach. Plant food, no D3 or D2.</t>
      </text>
    </comment>
    <comment ref="BB41" authorId="0" shapeId="0">
      <text>
        <t>USDA SR Legacy 168463: Spinach, cooked, boiled, drained. Vitamin E 2.08mg/100g x 0.5 = 1.04mg.</t>
      </text>
    </comment>
    <comment ref="BC41" authorId="0" shapeId="0">
      <text>
        <t>USDA SR Legacy 168463: Spinach, cooked, boiled, drained. Vitamin K (phylloquinone) 493.6mcg/100g x 0.5 = 246.8mcg.</t>
      </text>
    </comment>
    <comment ref="BD41" authorId="0" shapeId="0">
      <text>
        <t>Plant food. K2 MK-4 is animal-sourced.</t>
      </text>
    </comment>
    <comment ref="BE41" authorId="0" shapeId="0">
      <text>
        <t>Not a fermented food. MK-7 from bacterial fermentation only.</t>
      </text>
    </comment>
    <comment ref="BF41" authorId="0" shapeId="0">
      <text>
        <t>USDA SR Legacy 168463: Spinach, cooked, boiled, drained. Thiamin 0.095mg/100g x 0.5 = 0.048mg. TRACE.</t>
      </text>
    </comment>
    <comment ref="BG41" authorId="0" shapeId="0">
      <text>
        <t>USDA SR Legacy 168463: Spinach, cooked, boiled, drained. Riboflavin 0.236mg/100g x 0.5 = 0.118mg.</t>
      </text>
    </comment>
    <comment ref="BH41" authorId="0" shapeId="0">
      <text>
        <t>USDA SR Legacy 168463: Spinach, cooked, boiled, drained. Niacin 0.49mg/100g x 0.5 = 0.25mg. TRACE.</t>
      </text>
    </comment>
    <comment ref="BI41" authorId="0" shapeId="0">
      <text>
        <t>USDA SR Legacy 168463: Spinach, cooked, boiled, drained. B6 0.242mg/100g x 0.5 = 0.121mg.</t>
      </text>
    </comment>
    <comment ref="BJ41" authorId="0" shapeId="0">
      <text>
        <t>USDA SR Legacy 168463: Spinach, cooked, boiled, drained. Folate 146mcg DFE/100g x 0.5 = 73mcg.</t>
      </text>
    </comment>
    <comment ref="BK41" authorId="0" shapeId="0">
      <text>
        <t>Plant food. No B12.</t>
      </text>
    </comment>
    <comment ref="BL41" authorId="0" shapeId="0">
      <text>
        <t>Spinach biotin ~1.5mcg/100g (limited data). 1.5 x 0.5 = 0.75mcg. TRACE.</t>
      </text>
    </comment>
    <comment ref="BM41" authorId="0" shapeId="0">
      <text>
        <t>USDA SR Legacy 168463: Spinach, cooked, boiled, drained. Pantothenic acid 0.145mg/100g x 0.5 = 0.073mg. TRACE.</t>
      </text>
    </comment>
    <comment ref="BN41" authorId="0" shapeId="0">
      <text>
        <t>Plant food. No EPA (marine omega-3).</t>
      </text>
    </comment>
    <comment ref="BO41" authorId="0" shapeId="0">
      <text>
        <t>Plant food. No DHA (marine omega-3).</t>
      </text>
    </comment>
    <comment ref="BP41" authorId="0" shapeId="0">
      <text>
        <t>Spinach contains no anthocyanins (green, not red/blue pigmented).</t>
      </text>
    </comment>
    <comment ref="BQ41" authorId="0" shapeId="0">
      <text>
        <t>Not a tea product. EGCG is tea-specific.</t>
      </text>
    </comment>
    <comment ref="BR41" authorId="0" shapeId="0">
      <text>
        <t>Not cocoa. Cocoa flavanols are cocoa-specific.</t>
      </text>
    </comment>
    <comment ref="BS41" authorId="0" shapeId="0">
      <text>
        <t>Spinach contains no ellagic acid. Berry/pomegranate-specific.</t>
      </text>
    </comment>
    <comment ref="BT41" authorId="0" shapeId="0">
      <text>
        <t>Spinach has negligible proanthocyanidins per USDA PA DB.</t>
      </text>
    </comment>
    <comment ref="BU41" authorId="0" shapeId="0">
      <text>
        <t>Spinach contains trace hydroxycinnamic acids (~1mg/100g ferulic+caffeic). 1 x 0.5 = 0.5mg. TRACE.</t>
      </text>
    </comment>
    <comment ref="BV41" authorId="0" shapeId="0">
      <text>
        <t>USDA Flavonoid DB 3.3: Spinach cooked quercetin ~4mg/100g. 4 x 0.5 = 2mg.</t>
      </text>
    </comment>
    <comment ref="BW41" authorId="0" shapeId="0">
      <text>
        <t>Spinach has negligible lignan content.</t>
      </text>
    </comment>
    <comment ref="BX41" authorId="0" shapeId="0">
      <text>
        <t>USDA SR Legacy 168463: Spinach, cooked, boiled, drained. Lutein+Zeaxanthin 11,308mcg/100g x 0.5 = 5,654mcg. Primary reason for adding spinach.</t>
      </text>
    </comment>
    <comment ref="BY41" authorId="0" shapeId="0">
      <text>
        <t>Spinach L:Z ratio ~47:1. Of 11,308mcg total, ~240mcg is zeaxanthin. 240 x 0.5 = 120mcg.</t>
      </text>
    </comment>
    <comment ref="BZ41" authorId="0" shapeId="0">
      <text>
        <t>No lycopene in spinach (green, not red).</t>
      </text>
    </comment>
    <comment ref="CA41" authorId="0" shapeId="0">
      <text>
        <t>No astaxanthin in spinach (marine/algae-specific).</t>
      </text>
    </comment>
    <comment ref="CB41" authorId="0" shapeId="0">
      <text>
        <t>Spinach is Amaranthaceae, not Brassicaceae. No glucosinolates/sulforaphane.</t>
      </text>
    </comment>
    <comment ref="CC41" authorId="0" shapeId="0">
      <text>
        <t>USDA SR Legacy 168463: Spinach, cooked, boiled, drained. Spinach phytosterols ~6mg/100g (beta-sitosterol). 6 x 0.5 = 3mg. TRACE.</t>
      </text>
    </comment>
    <comment ref="CD41" authorId="0" shapeId="0">
      <text>
        <t>Spinach is a high-nitrate vegetable: 2000-3000 mg/kg fresh weight (EFSA 2008). Midpoint 2500 mg/kg = 250mg/100g. 250 x 0.5 = 125mg.</t>
      </text>
    </comment>
    <comment ref="CE41" authorId="0" shapeId="0">
      <text>
        <t>Spinach spermidine is negligible per Atiya Ali (2011). Not a significant source.</t>
      </text>
    </comment>
    <comment ref="CF41" authorId="0" shapeId="0">
      <text>
        <t>USDA SR Legacy 168463: Spinach, cooked, boiled, drained. Leucine 0.231g/100g x 0.5 = 0.12g. TRACE.</t>
      </text>
    </comment>
    <comment ref="CG41" authorId="0" shapeId="0">
      <text>
        <t>Plant food. No collagen.</t>
      </text>
    </comment>
    <comment ref="CH41" authorId="0" shapeId="0">
      <text>
        <t>Spinach fiber is mostly insoluble cellulose. Not a prebiotic fiber source.</t>
      </text>
    </comment>
    <comment ref="CI41" authorId="0" shapeId="0">
      <text>
        <t>Plant food. Taurine is animal-tissue only.</t>
      </text>
    </comment>
    <comment ref="CJ41" authorId="0" shapeId="0">
      <text>
        <t>Spinach CoQ10 ~0.1mg/100g (Mattila &amp; Kumpulainen 2001). 0.1 x 0.5 = 0.05mg. TRACE.</t>
      </text>
    </comment>
    <comment ref="CK41" authorId="0" shapeId="0">
      <text>
        <t>Plant food. Creatine is muscle-tissue only.</t>
      </text>
    </comment>
    <comment ref="CL41" authorId="0" shapeId="0">
      <text>
        <t>Spinach lithium negligible at 50g serving.</t>
      </text>
    </comment>
    <comment ref="CM41" authorId="0" shapeId="0">
      <text>
        <t>Not a fermented food. No probiotics.</t>
      </text>
    </comment>
    <comment ref="CN41" authorId="0" shapeId="0">
      <text>
        <t>No caffeine in spinach.</t>
      </text>
    </comment>
    <comment ref="CO41" authorId="0" shapeId="0">
      <text>
        <t>Not turmeric. No curcumin.</t>
      </text>
    </comment>
    <comment ref="CP41" authorId="0" shapeId="0">
      <text>
        <t>Not tea. No green tea polyphenols.</t>
      </text>
    </comment>
    <comment ref="CQ41" authorId="0" shapeId="0">
      <text>
        <t>USDA SR Legacy 168463: Spinach, cooked, boiled, drained. Spinach gamma-tocopherol ~0.3mg/100g. 0.3 x 0.5 = 0.15mg. TRACE.</t>
      </text>
    </comment>
    <comment ref="CR41" authorId="0" shapeId="0">
      <text>
        <t>Not a proprietary blend supplement.</t>
      </text>
    </comment>
    <comment ref="CS41" authorId="0" shapeId="0">
      <text>
        <t>FDA TDS 2018-2020: frozen spinach (50g) -- 68% of food samples had no detectable HMs. Organic spinach, low serving size. Writing 0 based on category-level FDA data.</t>
      </text>
    </comment>
    <comment ref="CT41" authorId="0" shapeId="0">
      <text>
        <t>FDA TDS 2018-2020: frozen spinach (50g) -- 68% of food samples had no detectable HMs. Organic spinach, low serving size. Writing 0 based on category-level FDA data.</t>
      </text>
    </comment>
    <comment ref="CU41" authorId="0" shapeId="0">
      <text>
        <t>FDA TDS 2018-2020: frozen spinach (50g) -- 68% of food samples had no detectable HMs. Organic spinach, low serving size. Writing 0 based on category-level FDA data.</t>
      </text>
    </comment>
    <comment ref="CV41" authorId="0" shapeId="0">
      <text>
        <t>FDA TDS 2018-2020: frozen spinach (50g) -- 68% of food samples had no detectable HMs. Organic spinach, low serving size. Writing 0 based on category-level FDA data.</t>
      </text>
    </comment>
    <comment ref="O46" authorId="0" shapeId="0">
      <text>
        <t>Supplement capsules: ~5 kcal per 3 caps × 2 = ~10 kcal. TRACE.</t>
      </text>
    </comment>
    <comment ref="P46" authorId="0" shapeId="0">
      <text>
        <t>Thorne Multi-Vitamin Elite AM+PM combined daily dose.</t>
      </text>
    </comment>
    <comment ref="Q46" authorId="0" shapeId="0">
      <text>
        <t>Thorne Multi-Vitamin Elite AM+PM combined daily dose.</t>
      </text>
    </comment>
    <comment ref="R46" authorId="0" shapeId="0">
      <text>
        <t>Thorne Multi-Vitamin Elite AM+PM combined daily dose.</t>
      </text>
    </comment>
    <comment ref="S46" authorId="0" shapeId="0">
      <text>
        <t>Thorne Multi-Vitamin Elite AM+PM combined daily dose.</t>
      </text>
    </comment>
    <comment ref="T46" authorId="0" shapeId="0">
      <text>
        <t>Thorne Multi-Vitamin Elite AM+PM combined daily dose.</t>
      </text>
    </comment>
    <comment ref="U46" authorId="0" shapeId="0">
      <text>
        <t>Thorne Multi-Vitamin Elite AM+PM combined daily dose.</t>
      </text>
    </comment>
    <comment ref="W46" authorId="0" shapeId="0">
      <text>
        <t>Thorne Multi-Vitamin Elite AM+PM combined daily dose.</t>
      </text>
    </comment>
    <comment ref="X46" authorId="0" shapeId="0">
      <text>
        <t>Thorne Multi-Vitamin Elite AM+PM combined daily dose.</t>
      </text>
    </comment>
    <comment ref="Y46" authorId="0" shapeId="0">
      <text>
        <t>Thorne Multi-Vitamin Elite AM+PM combined daily dose.</t>
      </text>
    </comment>
    <comment ref="Z46" authorId="0" shapeId="0">
      <text>
        <t>Thorne Multi-Vitamin Elite AM+PM combined daily dose.</t>
      </text>
    </comment>
    <comment ref="AA46" authorId="0" shapeId="0">
      <text>
        <t>Thorne Multi-Vitamin Elite AM+PM combined daily dose.</t>
      </text>
    </comment>
    <comment ref="AB46" authorId="0" shapeId="0">
      <text>
        <t>Thorne Multi-Vitamin Elite AM+PM combined daily dose.</t>
      </text>
    </comment>
    <comment ref="AC46" authorId="0" shapeId="0">
      <text>
        <t>Thorne Multi-Vitamin Elite AM+PM combined daily dose.</t>
      </text>
    </comment>
    <comment ref="AD46" authorId="0" shapeId="0">
      <text>
        <t>Thorne Multi-Vitamin Elite AM+PM combined daily dose.</t>
      </text>
    </comment>
    <comment ref="AE46" authorId="0" shapeId="0">
      <text>
        <t>Thorne Multi-Vitamin Elite AM+PM combined daily dose.</t>
      </text>
    </comment>
    <comment ref="AF46" authorId="0" shapeId="0">
      <text>
        <t>Thorne Multi-Vitamin Elite AM+PM combined daily dose.</t>
      </text>
    </comment>
    <comment ref="AG46" authorId="0" shapeId="0">
      <text>
        <t>Formula.</t>
      </text>
    </comment>
    <comment ref="AH46" authorId="0" shapeId="0">
      <text>
        <t>Thorne Multi-Vitamin Elite AM+PM combined daily dose.</t>
      </text>
    </comment>
    <comment ref="AI46" authorId="0" shapeId="0">
      <text>
        <t>Formula.</t>
      </text>
    </comment>
    <comment ref="AJ46" authorId="0" shapeId="0">
      <text>
        <t>Thorne AM 18 + PM 36 = 54 mg choline.</t>
      </text>
    </comment>
    <comment ref="AK46" authorId="0" shapeId="0">
      <text>
        <t>Thorne AM 38 + PM 50 = 88 mg calcium.</t>
      </text>
    </comment>
    <comment ref="AL46" authorId="0" shapeId="0">
      <text>
        <t>Thorne AM 63 + PM 107 = 170 mg magnesium.</t>
      </text>
    </comment>
    <comment ref="AM46" authorId="0" shapeId="0">
      <text>
        <t>Thorne Multi-Vitamin Elite AM+PM combined daily dose.</t>
      </text>
    </comment>
    <comment ref="AN46" authorId="0" shapeId="0">
      <text>
        <t>Thorne Multi-Vitamin Elite AM+PM combined daily dose.</t>
      </text>
    </comment>
    <comment ref="AO46" authorId="0" shapeId="0">
      <text>
        <t>Thorne Multi-Vitamin Elite AM+PM combined daily dose.</t>
      </text>
    </comment>
    <comment ref="AP46" authorId="0" shapeId="0">
      <text>
        <t>Per user instruction: current Thorne Multi-Vitamin Elite formula does NOT contain molybdenum. NOTE: supplementfirst.com label (possibly outdated) lists Mo 50µg in AM+PM. Setting to 0 per user knowledge of current formula. Verify against physical label.</t>
      </text>
    </comment>
    <comment ref="AQ46" authorId="0" shapeId="0">
      <text>
        <t>Thorne Multi-Vitamin Elite AM+PM combined daily dose.</t>
      </text>
    </comment>
    <comment ref="AR46" authorId="0" shapeId="0">
      <text>
        <t>Thorne AM 10 + PM 20 = 30 mg zinc.</t>
      </text>
    </comment>
    <comment ref="AS46" authorId="0" shapeId="0">
      <text>
        <t>Thorne AM 100 + PM 100 = 200 µg selenium.</t>
      </text>
    </comment>
    <comment ref="AT46" authorId="0" shapeId="0">
      <text>
        <t>Thorne AM 750 + PM 750 = 1500 µg copper.</t>
      </text>
    </comment>
    <comment ref="AU46" authorId="0" shapeId="0">
      <text>
        <t>Thorne AM 1.5 + PM 1.5 = 3 mg manganese.</t>
      </text>
    </comment>
    <comment ref="AV46" authorId="0" shapeId="0">
      <text>
        <t>Thorne AM 200 + PM 200 = 400 µg chromium.</t>
      </text>
    </comment>
    <comment ref="AW46" authorId="0" shapeId="0">
      <text>
        <t>Thorne AM 75 + PM 75 = 150 µg iodine (potassium iodide).</t>
      </text>
    </comment>
    <comment ref="AX46" authorId="0" shapeId="0">
      <text>
        <t>Thorne AM 1 + PM 2 = 3 mg boron.</t>
      </text>
    </comment>
    <comment ref="AY46" authorId="0" shapeId="0">
      <text>
        <t>Thorne AM 1050 + PM 210 = 1260 µg Vit A (450+90 beta-carotene + 600+120 palmitate).</t>
      </text>
    </comment>
    <comment ref="AZ46" authorId="0" shapeId="0">
      <text>
        <t>Thorne AM 250 + PM 150 = 400 mg Vit C.</t>
      </text>
    </comment>
    <comment ref="BA46" authorId="0" shapeId="0">
      <text>
        <t>Thorne AM D3 50µg (2000IU) + PM 12.5µg (500IU) = 62.5 µg (2500 IU total).</t>
      </text>
    </comment>
    <comment ref="BB46" authorId="0" shapeId="0">
      <text>
        <t>Thorne AM 13.5 + PM 13.5 = 27 mg Vit E (d-alpha tocopheryl).</t>
      </text>
    </comment>
    <comment ref="BC46" authorId="0" shapeId="0">
      <text>
        <t>Thorne AM K1 100µg + PM K1 100µg = 200 µg phylloquinone.</t>
      </text>
    </comment>
    <comment ref="BD46" authorId="0" shapeId="0">
      <text>
        <t>Thorne AM K2 MK-4 100µg + PM K2 MK-4 100µg = 200 µg menaquinone-4.</t>
      </text>
    </comment>
    <comment ref="BE46" authorId="0" shapeId="0">
      <text>
        <t>Thorne Multi-Vitamin Elite AM+PM combined daily dose.</t>
      </text>
    </comment>
    <comment ref="BF46" authorId="0" shapeId="0">
      <text>
        <t>Thorne AM: Thiamin 50 mg (B1). PM: 0.</t>
      </text>
    </comment>
    <comment ref="BG46" authorId="0" shapeId="0">
      <text>
        <t>Thorne AM: Riboflavin 12 mg (B2).</t>
      </text>
    </comment>
    <comment ref="BH46" authorId="0" shapeId="0">
      <text>
        <t>Thorne AM: Niacin 60 mg (B3).</t>
      </text>
    </comment>
    <comment ref="BI46" authorId="0" shapeId="0">
      <text>
        <t>Thorne AM: Vitamin B6 20 mg.</t>
      </text>
    </comment>
    <comment ref="BJ46" authorId="0" shapeId="0">
      <text>
        <t>Thorne AM 667 + PM 667 = 1334 µg DFE folate (as L-5-MTHF glucosamine salt).</t>
      </text>
    </comment>
    <comment ref="BK46" authorId="0" shapeId="0">
      <text>
        <t>Thorne AM: Vitamin B12 600 µg (methylcobalamin).</t>
      </text>
    </comment>
    <comment ref="BL46" authorId="0" shapeId="0">
      <text>
        <t>Thorne AM 500 + PM 500 = 1000 µg biotin.</t>
      </text>
    </comment>
    <comment ref="BM46" authorId="0" shapeId="0">
      <text>
        <t>Thorne AM: Pantothenic acid 45 mg (B5).</t>
      </text>
    </comment>
    <comment ref="BN46" authorId="0" shapeId="0">
      <text>
        <t>Thorne Multi-Vitamin Elite AM+PM combined daily dose.</t>
      </text>
    </comment>
    <comment ref="BO46" authorId="0" shapeId="0">
      <text>
        <t>Thorne Multi-Vitamin Elite AM+PM combined daily dose.</t>
      </text>
    </comment>
    <comment ref="BP46" authorId="0" shapeId="0">
      <text>
        <t>Thorne Multi-Vitamin Elite AM+PM combined daily dose.</t>
      </text>
    </comment>
    <comment ref="BQ46" authorId="0" shapeId="0">
      <text>
        <t>Thorne Multi-Vitamin Elite AM+PM combined daily dose.</t>
      </text>
    </comment>
    <comment ref="BR46" authorId="0" shapeId="0">
      <text>
        <t>Thorne Multi-Vitamin Elite AM+PM combined daily dose.</t>
      </text>
    </comment>
    <comment ref="BS46" authorId="0" shapeId="0">
      <text>
        <t>Thorne Multi-Vitamin Elite AM+PM combined daily dose.</t>
      </text>
    </comment>
    <comment ref="BT46" authorId="0" shapeId="0">
      <text>
        <t>Thorne Multi-Vitamin Elite AM+PM combined daily dose.</t>
      </text>
    </comment>
    <comment ref="BU46" authorId="0" shapeId="0">
      <text>
        <t>Thorne Multi-Vitamin Elite AM+PM combined daily dose.</t>
      </text>
    </comment>
    <comment ref="BV46" authorId="0" shapeId="0">
      <text>
        <t>Thorne Multi-Vitamin Elite AM+PM combined daily dose.</t>
      </text>
    </comment>
    <comment ref="BW46" authorId="0" shapeId="0">
      <text>
        <t>Thorne Multi-Vitamin Elite AM+PM combined daily dose.</t>
      </text>
    </comment>
    <comment ref="BX46" authorId="0" shapeId="0">
      <text>
        <t>Thorne AM 300 + PM 600 = 900 µg lutein.</t>
      </text>
    </comment>
    <comment ref="BY46" authorId="0" shapeId="0">
      <text>
        <t>Thorne Multi-Vitamin Elite AM+PM combined daily dose.</t>
      </text>
    </comment>
    <comment ref="BZ46" authorId="0" shapeId="0">
      <text>
        <t>Thorne Multi-Vitamin Elite AM+PM combined daily dose.</t>
      </text>
    </comment>
    <comment ref="CA46" authorId="0" shapeId="0">
      <text>
        <t>Thorne Multi-Vitamin Elite AM+PM combined daily dose.</t>
      </text>
    </comment>
    <comment ref="CB46" authorId="0" shapeId="0">
      <text>
        <t>Thorne Multi-Vitamin Elite AM+PM combined daily dose.</t>
      </text>
    </comment>
    <comment ref="CC46" authorId="0" shapeId="0">
      <text>
        <t>Thorne Multi-Vitamin Elite AM+PM combined daily dose.</t>
      </text>
    </comment>
    <comment ref="CD46" authorId="0" shapeId="0">
      <text>
        <t>Thorne Multi-Vitamin Elite AM+PM combined daily dose.</t>
      </text>
    </comment>
    <comment ref="CE46" authorId="0" shapeId="0">
      <text>
        <t>Thorne Multi-Vitamin Elite AM+PM combined daily dose.</t>
      </text>
    </comment>
    <comment ref="CF46" authorId="0" shapeId="0">
      <text>
        <t>Thorne Multi-Vitamin Elite AM+PM combined daily dose.</t>
      </text>
    </comment>
    <comment ref="CG46" authorId="0" shapeId="0">
      <text>
        <t>Thorne Multi-Vitamin Elite AM+PM combined daily dose.</t>
      </text>
    </comment>
    <comment ref="CH46" authorId="0" shapeId="0">
      <text>
        <t>Thorne Multi-Vitamin Elite AM+PM combined daily dose.</t>
      </text>
    </comment>
    <comment ref="CI46" authorId="0" shapeId="0">
      <text>
        <t>Thorne Multi-Vitamin Elite AM+PM combined daily dose.</t>
      </text>
    </comment>
    <comment ref="CJ46" authorId="0" shapeId="0">
      <text>
        <t>Thorne Multi-Vitamin Elite AM+PM combined daily dose.</t>
      </text>
    </comment>
    <comment ref="CK46" authorId="0" shapeId="0">
      <text>
        <t>Thorne Multi-Vitamin Elite AM+PM combined daily dose.</t>
      </text>
    </comment>
    <comment ref="CL46" authorId="0" shapeId="0">
      <text>
        <t>Thorne Multi-Vitamin Elite AM+PM combined daily dose.</t>
      </text>
    </comment>
    <comment ref="CM46" authorId="0" shapeId="0">
      <text>
        <t>Thorne Multi-Vitamin Elite AM+PM combined daily dose.</t>
      </text>
    </comment>
    <comment ref="CN46" authorId="0" shapeId="0">
      <text>
        <t>Thorne Multi-Vitamin Elite AM+PM combined daily dose.</t>
      </text>
    </comment>
    <comment ref="CO46" authorId="0" shapeId="0">
      <text>
        <t>Thorne AM: Curcumin Phytosome (Meriva®) 200 mg. Maps to Curcumin Phyto column.</t>
      </text>
    </comment>
    <comment ref="CP46" authorId="0" shapeId="0">
      <text>
        <t>Thorne AM: Green Tea Phytosome 75 mg. Maps to GreenTea Phyto column.</t>
      </text>
    </comment>
    <comment ref="CQ46" authorId="0" shapeId="0">
      <text>
        <t>Thorne AM 24 + PM 24 = 48 mg d-gamma tocopherol.</t>
      </text>
    </comment>
    <comment ref="CR46" authorId="0" shapeId="0">
      <text>
        <t>Thorne PM: Proprietary Blend 200 mg (Magnolia officinalis bark + Phellodendron amurense bark = Relora®). Individual amounts undisclosed.</t>
      </text>
    </comment>
    <comment ref="CS46" authorId="0" shapeId="0">
      <text>
        <t>Thorne Multi-Vitamin Elite AM+PM combined daily dose.</t>
      </text>
    </comment>
    <comment ref="CT46" authorId="0" shapeId="0">
      <text>
        <t>Thorne Multi-Vitamin Elite AM+PM combined daily dose.</t>
      </text>
    </comment>
    <comment ref="CU46" authorId="0" shapeId="0">
      <text>
        <t>Thorne Multi-Vitamin Elite AM+PM combined daily dose.</t>
      </text>
    </comment>
    <comment ref="CV46" authorId="0" shapeId="0">
      <text>
        <t>Thorne Multi-Vitamin Elite AM+PM combined daily dose.</t>
      </text>
    </comment>
    <comment ref="O47" authorId="0" shapeId="0">
      <text>
        <t>2 softgels: ~2g fish oil = ~18-20 kcal from fat. TRACE.</t>
      </text>
    </comment>
    <comment ref="P47" authorId="0" shapeId="0">
      <text>
        <t>Nordic Naturals Omega-D3 Sport: fish oil supplement providing EPA+DHA+D3.</t>
      </text>
    </comment>
    <comment ref="Q47" authorId="0" shapeId="0">
      <text>
        <t>Nordic Naturals Omega-D3 Sport: fish oil supplement providing EPA+DHA+D3.</t>
      </text>
    </comment>
    <comment ref="R47" authorId="0" shapeId="0">
      <text>
        <t>Nordic Naturals Omega-D3 Sport: fish oil supplement providing EPA+DHA+D3.</t>
      </text>
    </comment>
    <comment ref="S47" authorId="0" shapeId="0">
      <text>
        <t>Nordic Naturals Omega-D3 Sport: fish oil supplement providing EPA+DHA+D3.</t>
      </text>
    </comment>
    <comment ref="T47" authorId="0" shapeId="0">
      <text>
        <t>Nordic Naturals Omega-D3 Sport: fish oil supplement providing EPA+DHA+D3.</t>
      </text>
    </comment>
    <comment ref="U47" authorId="0" shapeId="0">
      <text>
        <t>Nordic Naturals Omega-D3 Sport: fish oil supplement providing EPA+DHA+D3.</t>
      </text>
    </comment>
    <comment ref="W47" authorId="0" shapeId="0">
      <text>
        <t>2 softgels contain ~2g fish oil (total fat). Per label.</t>
      </text>
    </comment>
    <comment ref="X47" authorId="0" shapeId="0">
      <text>
        <t>Nordic Naturals Omega-D3 Sport: fish oil supplement providing EPA+DHA+D3.</t>
      </text>
    </comment>
    <comment ref="Y47" authorId="0" shapeId="0">
      <text>
        <t>Nordic Naturals Omega-D3 Sport: fish oil supplement providing EPA+DHA+D3.</t>
      </text>
    </comment>
    <comment ref="Z47" authorId="0" shapeId="0">
      <text>
        <t>Nordic Naturals Omega-D3 Sport: fish oil supplement providing EPA+DHA+D3.</t>
      </text>
    </comment>
    <comment ref="AA47" authorId="0" shapeId="0">
      <text>
        <t>Nordic Naturals Omega-D3 Sport: fish oil supplement providing EPA+DHA+D3.</t>
      </text>
    </comment>
    <comment ref="AB47" authorId="0" shapeId="0">
      <text>
        <t>Nordic Naturals Omega-D3 Sport: fish oil supplement providing EPA+DHA+D3.</t>
      </text>
    </comment>
    <comment ref="AC47" authorId="0" shapeId="0">
      <text>
        <t>Nordic Naturals Omega-D3 Sport: fish oil supplement providing EPA+DHA+D3.</t>
      </text>
    </comment>
    <comment ref="AD47" authorId="0" shapeId="0">
      <text>
        <t>Nordic Naturals Omega-D3 Sport: fish oil supplement providing EPA+DHA+D3.</t>
      </text>
    </comment>
    <comment ref="AE47" authorId="0" shapeId="0">
      <text>
        <t>Nordic Naturals Omega-D3 Sport: fish oil supplement providing EPA+DHA+D3.</t>
      </text>
    </comment>
    <comment ref="AF47" authorId="0" shapeId="0">
      <text>
        <t>Nordic Naturals Omega-D3 Sport: fish oil supplement providing EPA+DHA+D3.</t>
      </text>
    </comment>
    <comment ref="AG47" authorId="0" shapeId="0">
      <text>
        <t>Formula.</t>
      </text>
    </comment>
    <comment ref="AH47" authorId="0" shapeId="0">
      <text>
        <t>Nordic Naturals Omega-D3 Sport: fish oil supplement providing EPA+DHA+D3.</t>
      </text>
    </comment>
    <comment ref="AI47" authorId="0" shapeId="0">
      <text>
        <t>Formula.</t>
      </text>
    </comment>
    <comment ref="AJ47" authorId="0" shapeId="0">
      <text>
        <t>Nordic Naturals Omega-D3 Sport: fish oil supplement providing EPA+DHA+D3.</t>
      </text>
    </comment>
    <comment ref="AK47" authorId="0" shapeId="0">
      <text>
        <t>Nordic Naturals Omega-D3 Sport: fish oil supplement providing EPA+DHA+D3.</t>
      </text>
    </comment>
    <comment ref="AL47" authorId="0" shapeId="0">
      <text>
        <t>Nordic Naturals Omega-D3 Sport: fish oil supplement providing EPA+DHA+D3.</t>
      </text>
    </comment>
    <comment ref="AM47" authorId="0" shapeId="0">
      <text>
        <t>Nordic Naturals Omega-D3 Sport: fish oil supplement providing EPA+DHA+D3.</t>
      </text>
    </comment>
    <comment ref="AN47" authorId="0" shapeId="0">
      <text>
        <t>Nordic Naturals Omega-D3 Sport: fish oil supplement providing EPA+DHA+D3.</t>
      </text>
    </comment>
    <comment ref="AO47" authorId="0" shapeId="0">
      <text>
        <t>Nordic Naturals Omega-D3 Sport: fish oil supplement providing EPA+DHA+D3.</t>
      </text>
    </comment>
    <comment ref="AP47" authorId="0" shapeId="0">
      <text>
        <t>Nordic Naturals Omega-D3 Sport: fish oil supplement providing EPA+DHA+D3.</t>
      </text>
    </comment>
    <comment ref="AQ47" authorId="0" shapeId="0">
      <text>
        <t>Nordic Naturals Omega-D3 Sport: fish oil supplement providing EPA+DHA+D3.</t>
      </text>
    </comment>
    <comment ref="AR47" authorId="0" shapeId="0">
      <text>
        <t>Nordic Naturals Omega-D3 Sport: fish oil supplement providing EPA+DHA+D3.</t>
      </text>
    </comment>
    <comment ref="AS47" authorId="0" shapeId="0">
      <text>
        <t>Nordic Naturals Omega-D3 Sport: fish oil supplement providing EPA+DHA+D3.</t>
      </text>
    </comment>
    <comment ref="AT47" authorId="0" shapeId="0">
      <text>
        <t>Nordic Naturals Omega-D3 Sport: fish oil supplement providing EPA+DHA+D3.</t>
      </text>
    </comment>
    <comment ref="AU47" authorId="0" shapeId="0">
      <text>
        <t>Nordic Naturals Omega-D3 Sport: fish oil supplement providing EPA+DHA+D3.</t>
      </text>
    </comment>
    <comment ref="AV47" authorId="0" shapeId="0">
      <text>
        <t>Nordic Naturals Omega-D3 Sport: fish oil supplement providing EPA+DHA+D3.</t>
      </text>
    </comment>
    <comment ref="AW47" authorId="0" shapeId="0">
      <text>
        <t>Nordic Naturals Omega-D3 Sport: fish oil supplement providing EPA+DHA+D3.</t>
      </text>
    </comment>
    <comment ref="AX47" authorId="0" shapeId="0">
      <text>
        <t>Nordic Naturals Omega-D3 Sport: fish oil supplement providing EPA+DHA+D3.</t>
      </text>
    </comment>
    <comment ref="AY47" authorId="0" shapeId="0">
      <text>
        <t>Nordic Naturals Omega-D3 Sport: fish oil supplement providing EPA+DHA+D3.</t>
      </text>
    </comment>
    <comment ref="AZ47" authorId="0" shapeId="0">
      <text>
        <t>Nordic Naturals Omega-D3 Sport: fish oil supplement providing EPA+DHA+D3.</t>
      </text>
    </comment>
    <comment ref="BA47" authorId="0" shapeId="0">
      <text>
        <t>Nordic Naturals label: Vitamin D3 25mcg (1000 IU) per 2 softgels = 12.5mcg/softgel. 3 softgels x 12.5 = 37.5mcg D3.</t>
      </text>
    </comment>
    <comment ref="BB47" authorId="0" shapeId="0">
      <text>
        <t>Nordic Naturals Omega-D3 Sport: fish oil supplement providing EPA+DHA+D3.</t>
      </text>
    </comment>
    <comment ref="BC47" authorId="0" shapeId="0">
      <text>
        <t>Nordic Naturals Omega-D3 Sport: fish oil supplement providing EPA+DHA+D3.</t>
      </text>
    </comment>
    <comment ref="BD47" authorId="0" shapeId="0">
      <text>
        <t>Nordic Naturals Omega-D3 Sport: fish oil supplement providing EPA+DHA+D3.</t>
      </text>
    </comment>
    <comment ref="BE47" authorId="0" shapeId="0">
      <text>
        <t>Nordic Naturals Omega-D3 Sport: fish oil supplement providing EPA+DHA+D3.</t>
      </text>
    </comment>
    <comment ref="BF47" authorId="0" shapeId="0">
      <text>
        <t>Nordic Naturals Omega-D3 Sport: fish oil supplement providing EPA+DHA+D3.</t>
      </text>
    </comment>
    <comment ref="BG47" authorId="0" shapeId="0">
      <text>
        <t>Nordic Naturals Omega-D3 Sport: fish oil supplement providing EPA+DHA+D3.</t>
      </text>
    </comment>
    <comment ref="BH47" authorId="0" shapeId="0">
      <text>
        <t>Nordic Naturals Omega-D3 Sport: fish oil supplement providing EPA+DHA+D3.</t>
      </text>
    </comment>
    <comment ref="BI47" authorId="0" shapeId="0">
      <text>
        <t>Nordic Naturals Omega-D3 Sport: fish oil supplement providing EPA+DHA+D3.</t>
      </text>
    </comment>
    <comment ref="BJ47" authorId="0" shapeId="0">
      <text>
        <t>Nordic Naturals Omega-D3 Sport: fish oil supplement providing EPA+DHA+D3.</t>
      </text>
    </comment>
    <comment ref="BK47" authorId="0" shapeId="0">
      <text>
        <t>Nordic Naturals Omega-D3 Sport: fish oil supplement providing EPA+DHA+D3.</t>
      </text>
    </comment>
    <comment ref="BL47" authorId="0" shapeId="0">
      <text>
        <t>Nordic Naturals Omega-D3 Sport: fish oil supplement providing EPA+DHA+D3.</t>
      </text>
    </comment>
    <comment ref="BM47" authorId="0" shapeId="0">
      <text>
        <t>Nordic Naturals Omega-D3 Sport: fish oil supplement providing EPA+DHA+D3.</t>
      </text>
    </comment>
    <comment ref="BN47" authorId="0" shapeId="0">
      <text>
        <t>Nordic Naturals label: EPA 850mg per 2 softgels = 425mg/softgel. 3 softgels x 425 = 1275mg EPA.</t>
      </text>
    </comment>
    <comment ref="BO47" authorId="0" shapeId="0">
      <text>
        <t>Nordic Naturals label: DHA 450mg per 2 softgels = 225mg/softgel. 3 softgels x 225 = 675mg DHA.</t>
      </text>
    </comment>
    <comment ref="BP47" authorId="0" shapeId="0">
      <text>
        <t>Nordic Naturals Omega-D3 Sport: fish oil supplement providing EPA+DHA+D3.</t>
      </text>
    </comment>
    <comment ref="BQ47" authorId="0" shapeId="0">
      <text>
        <t>Nordic Naturals Omega-D3 Sport: fish oil supplement providing EPA+DHA+D3.</t>
      </text>
    </comment>
    <comment ref="BR47" authorId="0" shapeId="0">
      <text>
        <t>Nordic Naturals Omega-D3 Sport: fish oil supplement providing EPA+DHA+D3.</t>
      </text>
    </comment>
    <comment ref="BS47" authorId="0" shapeId="0">
      <text>
        <t>Nordic Naturals Omega-D3 Sport: fish oil supplement providing EPA+DHA+D3.</t>
      </text>
    </comment>
    <comment ref="BT47" authorId="0" shapeId="0">
      <text>
        <t>Nordic Naturals Omega-D3 Sport: fish oil supplement providing EPA+DHA+D3.</t>
      </text>
    </comment>
    <comment ref="BU47" authorId="0" shapeId="0">
      <text>
        <t>Nordic Naturals Omega-D3 Sport: fish oil supplement providing EPA+DHA+D3.</t>
      </text>
    </comment>
    <comment ref="BV47" authorId="0" shapeId="0">
      <text>
        <t>Nordic Naturals Omega-D3 Sport: fish oil supplement providing EPA+DHA+D3.</t>
      </text>
    </comment>
    <comment ref="BW47" authorId="0" shapeId="0">
      <text>
        <t>Nordic Naturals Omega-D3 Sport: fish oil supplement providing EPA+DHA+D3.</t>
      </text>
    </comment>
    <comment ref="BX47" authorId="0" shapeId="0">
      <text>
        <t>Nordic Naturals Omega-D3 Sport: fish oil supplement providing EPA+DHA+D3.</t>
      </text>
    </comment>
    <comment ref="BY47" authorId="0" shapeId="0">
      <text>
        <t>Nordic Naturals Omega-D3 Sport: fish oil supplement providing EPA+DHA+D3.</t>
      </text>
    </comment>
    <comment ref="BZ47" authorId="0" shapeId="0">
      <text>
        <t>Nordic Naturals Omega-D3 Sport: fish oil supplement providing EPA+DHA+D3.</t>
      </text>
    </comment>
    <comment ref="CA47" authorId="0" shapeId="0">
      <text>
        <t>Nordic Naturals Omega-D3 Sport: fish oil supplement providing EPA+DHA+D3.</t>
      </text>
    </comment>
    <comment ref="CB47" authorId="0" shapeId="0">
      <text>
        <t>Nordic Naturals Omega-D3 Sport: fish oil supplement providing EPA+DHA+D3.</t>
      </text>
    </comment>
    <comment ref="CC47" authorId="0" shapeId="0">
      <text>
        <t>Nordic Naturals Omega-D3 Sport: fish oil supplement providing EPA+DHA+D3.</t>
      </text>
    </comment>
    <comment ref="CD47" authorId="0" shapeId="0">
      <text>
        <t>Nordic Naturals Omega-D3 Sport: fish oil supplement providing EPA+DHA+D3.</t>
      </text>
    </comment>
    <comment ref="CE47" authorId="0" shapeId="0">
      <text>
        <t>Nordic Naturals Omega-D3 Sport: fish oil supplement providing EPA+DHA+D3.</t>
      </text>
    </comment>
    <comment ref="CF47" authorId="0" shapeId="0">
      <text>
        <t>Nordic Naturals Omega-D3 Sport: fish oil supplement providing EPA+DHA+D3.</t>
      </text>
    </comment>
    <comment ref="CG47" authorId="0" shapeId="0">
      <text>
        <t>Nordic Naturals Omega-D3 Sport: fish oil supplement providing EPA+DHA+D3.</t>
      </text>
    </comment>
    <comment ref="CH47" authorId="0" shapeId="0">
      <text>
        <t>Nordic Naturals Omega-D3 Sport: fish oil supplement providing EPA+DHA+D3.</t>
      </text>
    </comment>
    <comment ref="CI47" authorId="0" shapeId="0">
      <text>
        <t>Nordic Naturals Omega-D3 Sport: fish oil supplement providing EPA+DHA+D3.</t>
      </text>
    </comment>
    <comment ref="CJ47" authorId="0" shapeId="0">
      <text>
        <t>Nordic Naturals Omega-D3 Sport: fish oil supplement providing EPA+DHA+D3.</t>
      </text>
    </comment>
    <comment ref="CK47" authorId="0" shapeId="0">
      <text>
        <t>Nordic Naturals Omega-D3 Sport: fish oil supplement providing EPA+DHA+D3.</t>
      </text>
    </comment>
    <comment ref="CL47" authorId="0" shapeId="0">
      <text>
        <t>Nordic Naturals Omega-D3 Sport: fish oil supplement providing EPA+DHA+D3.</t>
      </text>
    </comment>
    <comment ref="CM47" authorId="0" shapeId="0">
      <text>
        <t>Nordic Naturals Omega-D3 Sport: fish oil supplement providing EPA+DHA+D3.</t>
      </text>
    </comment>
    <comment ref="CN47" authorId="0" shapeId="0">
      <text>
        <t>Nordic Naturals Omega-D3 Sport: fish oil supplement providing EPA+DHA+D3.</t>
      </text>
    </comment>
    <comment ref="CO47" authorId="0" shapeId="0">
      <text>
        <t>Nordic Naturals Omega-D3 Sport: fish oil supplement providing EPA+DHA+D3.</t>
      </text>
    </comment>
    <comment ref="CP47" authorId="0" shapeId="0">
      <text>
        <t>Nordic Naturals Omega-D3 Sport: fish oil supplement providing EPA+DHA+D3.</t>
      </text>
    </comment>
    <comment ref="CQ47" authorId="0" shapeId="0">
      <text>
        <t>Nordic Naturals Omega-D3 Sport: fish oil supplement providing EPA+DHA+D3.</t>
      </text>
    </comment>
    <comment ref="CR47" authorId="0" shapeId="0">
      <text>
        <t>Nordic Naturals Omega-D3 Sport: fish oil supplement providing EPA+DHA+D3.</t>
      </text>
    </comment>
    <comment ref="CS47" authorId="0" shapeId="0">
      <text>
        <t>Nordic Naturals Omega-D3 Sport: fish oil supplement providing EPA+DHA+D3.</t>
      </text>
    </comment>
    <comment ref="CT47" authorId="0" shapeId="0">
      <text>
        <t>Nordic Naturals Omega-D3 Sport: fish oil supplement providing EPA+DHA+D3.</t>
      </text>
    </comment>
    <comment ref="CU47" authorId="0" shapeId="0">
      <text>
        <t>Nordic Naturals Omega-D3 Sport: fish oil supplement providing EPA+DHA+D3.</t>
      </text>
    </comment>
    <comment ref="CV47" authorId="0" shapeId="0">
      <text>
        <t>Nordic Naturals Omega-D3 Sport: fish oil supplement providing EPA+DHA+D3.</t>
      </text>
    </comment>
    <comment ref="O48" authorId="0" shapeId="0">
      <text>
        <t>Seed DS-01: probiotic/prebiotic synbiotic supplement. No macro/micro nutrients.</t>
      </text>
    </comment>
    <comment ref="P48" authorId="0" shapeId="0">
      <text>
        <t>Seed DS-01: probiotic/prebiotic synbiotic supplement. No macro/micro nutrients.</t>
      </text>
    </comment>
    <comment ref="Q48" authorId="0" shapeId="0">
      <text>
        <t>Seed DS-01: probiotic/prebiotic synbiotic supplement. No macro/micro nutrients.</t>
      </text>
    </comment>
    <comment ref="R48" authorId="0" shapeId="0">
      <text>
        <t>Seed DS-01: probiotic/prebiotic synbiotic supplement. No macro/micro nutrients.</t>
      </text>
    </comment>
    <comment ref="S48" authorId="0" shapeId="0">
      <text>
        <t>Seed DS-01: probiotic/prebiotic synbiotic supplement. No macro/micro nutrients.</t>
      </text>
    </comment>
    <comment ref="T48" authorId="0" shapeId="0">
      <text>
        <t>Seed DS-01: probiotic/prebiotic synbiotic supplement. No macro/micro nutrients.</t>
      </text>
    </comment>
    <comment ref="U48" authorId="0" shapeId="0">
      <text>
        <t>Seed DS-01: probiotic/prebiotic synbiotic supplement. No macro/micro nutrients.</t>
      </text>
    </comment>
    <comment ref="W48" authorId="0" shapeId="0">
      <text>
        <t>Seed DS-01: probiotic/prebiotic synbiotic supplement. No macro/micro nutrients.</t>
      </text>
    </comment>
    <comment ref="X48" authorId="0" shapeId="0">
      <text>
        <t>Seed DS-01: probiotic/prebiotic synbiotic supplement. No macro/micro nutrients.</t>
      </text>
    </comment>
    <comment ref="Y48" authorId="0" shapeId="0">
      <text>
        <t>Seed DS-01: probiotic/prebiotic synbiotic supplement. No macro/micro nutrients.</t>
      </text>
    </comment>
    <comment ref="Z48" authorId="0" shapeId="0">
      <text>
        <t>Seed DS-01: probiotic/prebiotic synbiotic supplement. No macro/micro nutrients.</t>
      </text>
    </comment>
    <comment ref="AA48" authorId="0" shapeId="0">
      <text>
        <t>Seed DS-01: probiotic/prebiotic synbiotic supplement. No macro/micro nutrients.</t>
      </text>
    </comment>
    <comment ref="AB48" authorId="0" shapeId="0">
      <text>
        <t>Seed DS-01: probiotic/prebiotic synbiotic supplement. No macro/micro nutrients.</t>
      </text>
    </comment>
    <comment ref="AC48" authorId="0" shapeId="0">
      <text>
        <t>Seed DS-01: probiotic/prebiotic synbiotic supplement. No macro/micro nutrients.</t>
      </text>
    </comment>
    <comment ref="AD48" authorId="0" shapeId="0">
      <text>
        <t>Seed DS-01: probiotic/prebiotic synbiotic supplement. No macro/micro nutrients.</t>
      </text>
    </comment>
    <comment ref="AE48" authorId="0" shapeId="0">
      <text>
        <t>Seed DS-01: probiotic/prebiotic synbiotic supplement. No macro/micro nutrients.</t>
      </text>
    </comment>
    <comment ref="AF48" authorId="0" shapeId="0">
      <text>
        <t>Seed DS-01: probiotic/prebiotic synbiotic supplement. No macro/micro nutrients.</t>
      </text>
    </comment>
    <comment ref="AG48" authorId="0" shapeId="0">
      <text>
        <t>Formula.</t>
      </text>
    </comment>
    <comment ref="AH48" authorId="0" shapeId="0">
      <text>
        <t>Seed DS-01: probiotic/prebiotic synbiotic supplement. No macro/micro nutrients.</t>
      </text>
    </comment>
    <comment ref="AI48" authorId="0" shapeId="0">
      <text>
        <t>Formula.</t>
      </text>
    </comment>
    <comment ref="AJ48" authorId="0" shapeId="0">
      <text>
        <t>Seed DS-01: probiotic/prebiotic synbiotic supplement. No macro/micro nutrients.</t>
      </text>
    </comment>
    <comment ref="AK48" authorId="0" shapeId="0">
      <text>
        <t>Seed DS-01: probiotic/prebiotic synbiotic supplement. No macro/micro nutrients.</t>
      </text>
    </comment>
    <comment ref="AL48" authorId="0" shapeId="0">
      <text>
        <t>Seed DS-01: probiotic/prebiotic synbiotic supplement. No macro/micro nutrients.</t>
      </text>
    </comment>
    <comment ref="AM48" authorId="0" shapeId="0">
      <text>
        <t>Seed DS-01: probiotic/prebiotic synbiotic supplement. No macro/micro nutrients.</t>
      </text>
    </comment>
    <comment ref="AN48" authorId="0" shapeId="0">
      <text>
        <t>Seed DS-01: probiotic/prebiotic synbiotic supplement. No macro/micro nutrients.</t>
      </text>
    </comment>
    <comment ref="AO48" authorId="0" shapeId="0">
      <text>
        <t>Seed DS-01: probiotic/prebiotic synbiotic supplement. No macro/micro nutrients.</t>
      </text>
    </comment>
    <comment ref="AP48" authorId="0" shapeId="0">
      <text>
        <t>Seed DS-01: probiotic/prebiotic synbiotic supplement. No macro/micro nutrients.</t>
      </text>
    </comment>
    <comment ref="AQ48" authorId="0" shapeId="0">
      <text>
        <t>Seed DS-01: probiotic/prebiotic synbiotic supplement. No macro/micro nutrients.</t>
      </text>
    </comment>
    <comment ref="AR48" authorId="0" shapeId="0">
      <text>
        <t>Seed DS-01: probiotic/prebiotic synbiotic supplement. No macro/micro nutrients.</t>
      </text>
    </comment>
    <comment ref="AS48" authorId="0" shapeId="0">
      <text>
        <t>Seed DS-01: probiotic/prebiotic synbiotic supplement. No macro/micro nutrients.</t>
      </text>
    </comment>
    <comment ref="AT48" authorId="0" shapeId="0">
      <text>
        <t>Seed DS-01: probiotic/prebiotic synbiotic supplement. No macro/micro nutrients.</t>
      </text>
    </comment>
    <comment ref="AU48" authorId="0" shapeId="0">
      <text>
        <t>Seed DS-01: probiotic/prebiotic synbiotic supplement. No macro/micro nutrients.</t>
      </text>
    </comment>
    <comment ref="AV48" authorId="0" shapeId="0">
      <text>
        <t>Seed DS-01: probiotic/prebiotic synbiotic supplement. No macro/micro nutrients.</t>
      </text>
    </comment>
    <comment ref="AW48" authorId="0" shapeId="0">
      <text>
        <t>Seed DS-01: probiotic/prebiotic synbiotic supplement. No macro/micro nutrients.</t>
      </text>
    </comment>
    <comment ref="AX48" authorId="0" shapeId="0">
      <text>
        <t>Seed DS-01: probiotic/prebiotic synbiotic supplement. No macro/micro nutrients.</t>
      </text>
    </comment>
    <comment ref="AY48" authorId="0" shapeId="0">
      <text>
        <t>Seed DS-01: probiotic/prebiotic synbiotic supplement. No macro/micro nutrients.</t>
      </text>
    </comment>
    <comment ref="AZ48" authorId="0" shapeId="0">
      <text>
        <t>Seed DS-01: probiotic/prebiotic synbiotic supplement. No macro/micro nutrients.</t>
      </text>
    </comment>
    <comment ref="BA48" authorId="0" shapeId="0">
      <text>
        <t>Seed DS-01: probiotic/prebiotic synbiotic supplement. No macro/micro nutrients.</t>
      </text>
    </comment>
    <comment ref="BB48" authorId="0" shapeId="0">
      <text>
        <t>Seed DS-01: probiotic/prebiotic synbiotic supplement. No macro/micro nutrients.</t>
      </text>
    </comment>
    <comment ref="BC48" authorId="0" shapeId="0">
      <text>
        <t>Seed DS-01: probiotic/prebiotic synbiotic supplement. No macro/micro nutrients.</t>
      </text>
    </comment>
    <comment ref="BD48" authorId="0" shapeId="0">
      <text>
        <t>Seed DS-01: probiotic/prebiotic synbiotic supplement. No macro/micro nutrients.</t>
      </text>
    </comment>
    <comment ref="BE48" authorId="0" shapeId="0">
      <text>
        <t>Seed DS-01: probiotic/prebiotic synbiotic supplement. No macro/micro nutrients.</t>
      </text>
    </comment>
    <comment ref="BF48" authorId="0" shapeId="0">
      <text>
        <t>Seed DS-01: probiotic/prebiotic synbiotic supplement. No macro/micro nutrients.</t>
      </text>
    </comment>
    <comment ref="BG48" authorId="0" shapeId="0">
      <text>
        <t>Seed DS-01: probiotic/prebiotic synbiotic supplement. No macro/micro nutrients.</t>
      </text>
    </comment>
    <comment ref="BH48" authorId="0" shapeId="0">
      <text>
        <t>Seed DS-01: probiotic/prebiotic synbiotic supplement. No macro/micro nutrients.</t>
      </text>
    </comment>
    <comment ref="BI48" authorId="0" shapeId="0">
      <text>
        <t>Seed DS-01: probiotic/prebiotic synbiotic supplement. No macro/micro nutrients.</t>
      </text>
    </comment>
    <comment ref="BJ48" authorId="0" shapeId="0">
      <text>
        <t>Seed DS-01: probiotic/prebiotic synbiotic supplement. No macro/micro nutrients.</t>
      </text>
    </comment>
    <comment ref="BK48" authorId="0" shapeId="0">
      <text>
        <t>Seed DS-01: probiotic/prebiotic synbiotic supplement. No macro/micro nutrients.</t>
      </text>
    </comment>
    <comment ref="BL48" authorId="0" shapeId="0">
      <text>
        <t>Seed DS-01: probiotic/prebiotic synbiotic supplement. No macro/micro nutrients.</t>
      </text>
    </comment>
    <comment ref="BM48" authorId="0" shapeId="0">
      <text>
        <t>Seed DS-01: probiotic/prebiotic synbiotic supplement. No macro/micro nutrients.</t>
      </text>
    </comment>
    <comment ref="BN48" authorId="0" shapeId="0">
      <text>
        <t>Seed DS-01: probiotic/prebiotic synbiotic supplement. No macro/micro nutrients.</t>
      </text>
    </comment>
    <comment ref="BO48" authorId="0" shapeId="0">
      <text>
        <t>Seed DS-01: probiotic/prebiotic synbiotic supplement. No macro/micro nutrients.</t>
      </text>
    </comment>
    <comment ref="BP48" authorId="0" shapeId="0">
      <text>
        <t>Seed DS-01: probiotic/prebiotic synbiotic supplement. No macro/micro nutrients.</t>
      </text>
    </comment>
    <comment ref="BQ48" authorId="0" shapeId="0">
      <text>
        <t>Seed DS-01: probiotic/prebiotic synbiotic supplement. No macro/micro nutrients.</t>
      </text>
    </comment>
    <comment ref="BR48" authorId="0" shapeId="0">
      <text>
        <t>Seed DS-01: probiotic/prebiotic synbiotic supplement. No macro/micro nutrients.</t>
      </text>
    </comment>
    <comment ref="BS48" authorId="0" shapeId="0">
      <text>
        <t>Seed DS-01: probiotic/prebiotic synbiotic supplement. No macro/micro nutrients.</t>
      </text>
    </comment>
    <comment ref="BT48" authorId="0" shapeId="0">
      <text>
        <t>Seed DS-01: probiotic/prebiotic synbiotic supplement. No macro/micro nutrients.</t>
      </text>
    </comment>
    <comment ref="BU48" authorId="0" shapeId="0">
      <text>
        <t>Seed DS-01: probiotic/prebiotic synbiotic supplement. No macro/micro nutrients.</t>
      </text>
    </comment>
    <comment ref="BV48" authorId="0" shapeId="0">
      <text>
        <t>Seed DS-01: probiotic/prebiotic synbiotic supplement. No macro/micro nutrients.</t>
      </text>
    </comment>
    <comment ref="BW48" authorId="0" shapeId="0">
      <text>
        <t>Seed DS-01: probiotic/prebiotic synbiotic supplement. No macro/micro nutrients.</t>
      </text>
    </comment>
    <comment ref="BX48" authorId="0" shapeId="0">
      <text>
        <t>Seed DS-01: probiotic/prebiotic synbiotic supplement. No macro/micro nutrients.</t>
      </text>
    </comment>
    <comment ref="BY48" authorId="0" shapeId="0">
      <text>
        <t>Seed DS-01: probiotic/prebiotic synbiotic supplement. No macro/micro nutrients.</t>
      </text>
    </comment>
    <comment ref="BZ48" authorId="0" shapeId="0">
      <text>
        <t>Seed DS-01: probiotic/prebiotic synbiotic supplement. No macro/micro nutrients.</t>
      </text>
    </comment>
    <comment ref="CA48" authorId="0" shapeId="0">
      <text>
        <t>Seed DS-01: probiotic/prebiotic synbiotic supplement. No macro/micro nutrients.</t>
      </text>
    </comment>
    <comment ref="CB48" authorId="0" shapeId="0">
      <text>
        <t>Seed DS-01: probiotic/prebiotic synbiotic supplement. No macro/micro nutrients.</t>
      </text>
    </comment>
    <comment ref="CC48" authorId="0" shapeId="0">
      <text>
        <t>Seed DS-01: probiotic/prebiotic synbiotic supplement. No macro/micro nutrients.</t>
      </text>
    </comment>
    <comment ref="CD48" authorId="0" shapeId="0">
      <text>
        <t>Seed DS-01: probiotic/prebiotic synbiotic supplement. No macro/micro nutrients.</t>
      </text>
    </comment>
    <comment ref="CE48" authorId="0" shapeId="0">
      <text>
        <t>Seed DS-01: probiotic/prebiotic synbiotic supplement. No macro/micro nutrients.</t>
      </text>
    </comment>
    <comment ref="CF48" authorId="0" shapeId="0">
      <text>
        <t>Seed DS-01: probiotic/prebiotic synbiotic supplement. No macro/micro nutrients.</t>
      </text>
    </comment>
    <comment ref="CG48" authorId="0" shapeId="0">
      <text>
        <t>Seed DS-01: probiotic/prebiotic synbiotic supplement. No macro/micro nutrients.</t>
      </text>
    </comment>
    <comment ref="CH48" authorId="0" shapeId="0">
      <text>
        <t>Seed DS-01: probiotic/prebiotic synbiotic supplement. No macro/micro nutrients.</t>
      </text>
    </comment>
    <comment ref="CI48" authorId="0" shapeId="0">
      <text>
        <t>Seed DS-01: probiotic/prebiotic synbiotic supplement. No macro/micro nutrients.</t>
      </text>
    </comment>
    <comment ref="CJ48" authorId="0" shapeId="0">
      <text>
        <t>Seed DS-01: probiotic/prebiotic synbiotic supplement. No macro/micro nutrients.</t>
      </text>
    </comment>
    <comment ref="CK48" authorId="0" shapeId="0">
      <text>
        <t>Seed DS-01: probiotic/prebiotic synbiotic supplement. No macro/micro nutrients.</t>
      </text>
    </comment>
    <comment ref="CL48" authorId="0" shapeId="0">
      <text>
        <t>Seed DS-01: probiotic/prebiotic synbiotic supplement. No macro/micro nutrients.</t>
      </text>
    </comment>
    <comment ref="CM48" authorId="0" shapeId="0">
      <text>
        <t>Seed DS-01 label: "53.6 Billion AFU per 2-capsule serving" (24 strains across 4 health targets). ViaCap capsule-in-capsule acid protection delivery.</t>
      </text>
    </comment>
    <comment ref="CN48" authorId="0" shapeId="0">
      <text>
        <t>Seed DS-01: probiotic/prebiotic synbiotic supplement. No macro/micro nutrients.</t>
      </text>
    </comment>
    <comment ref="CO48" authorId="0" shapeId="0">
      <text>
        <t>Seed DS-01: probiotic/prebiotic synbiotic supplement. No macro/micro nutrients.</t>
      </text>
    </comment>
    <comment ref="CP48" authorId="0" shapeId="0">
      <text>
        <t>Seed DS-01: probiotic/prebiotic synbiotic supplement. No macro/micro nutrients.</t>
      </text>
    </comment>
    <comment ref="CQ48" authorId="0" shapeId="0">
      <text>
        <t>Seed DS-01: probiotic/prebiotic synbiotic supplement. No macro/micro nutrients.</t>
      </text>
    </comment>
    <comment ref="CR48" authorId="0" shapeId="0">
      <text>
        <t>Seed DS-01: probiotic/prebiotic synbiotic supplement. No macro/micro nutrients.</t>
      </text>
    </comment>
    <comment ref="CS48" authorId="0" shapeId="0">
      <text>
        <t>Seed DS-01: probiotic/prebiotic synbiotic supplement. No macro/micro nutrients.</t>
      </text>
    </comment>
    <comment ref="CT48" authorId="0" shapeId="0">
      <text>
        <t>Seed DS-01: probiotic/prebiotic synbiotic supplement. No macro/micro nutrients.</t>
      </text>
    </comment>
    <comment ref="CU48" authorId="0" shapeId="0">
      <text>
        <t>Seed DS-01: probiotic/prebiotic synbiotic supplement. No macro/micro nutrients.</t>
      </text>
    </comment>
    <comment ref="CV48" authorId="0" shapeId="0">
      <text>
        <t>Seed DS-01: probiotic/prebiotic synbiotic supplement. No macro/micro nutrients.</t>
      </text>
    </comment>
    <comment ref="O49" authorId="0" shapeId="0">
      <text>
        <t>Jarrow Citicoline: choline supplement (Cognizin® CDP-choline).</t>
      </text>
    </comment>
    <comment ref="P49" authorId="0" shapeId="0">
      <text>
        <t>Jarrow Citicoline: choline supplement (Cognizin® CDP-choline).</t>
      </text>
    </comment>
    <comment ref="Q49" authorId="0" shapeId="0">
      <text>
        <t>Jarrow Citicoline: choline supplement (Cognizin® CDP-choline).</t>
      </text>
    </comment>
    <comment ref="R49" authorId="0" shapeId="0">
      <text>
        <t>Jarrow Citicoline: choline supplement (Cognizin® CDP-choline).</t>
      </text>
    </comment>
    <comment ref="S49" authorId="0" shapeId="0">
      <text>
        <t>Jarrow Citicoline: choline supplement (Cognizin® CDP-choline).</t>
      </text>
    </comment>
    <comment ref="T49" authorId="0" shapeId="0">
      <text>
        <t>Jarrow Citicoline: choline supplement (Cognizin® CDP-choline).</t>
      </text>
    </comment>
    <comment ref="U49" authorId="0" shapeId="0">
      <text>
        <t>Jarrow Citicoline: choline supplement (Cognizin® CDP-choline).</t>
      </text>
    </comment>
    <comment ref="W49" authorId="0" shapeId="0">
      <text>
        <t>Jarrow Citicoline: choline supplement (Cognizin® CDP-choline).</t>
      </text>
    </comment>
    <comment ref="X49" authorId="0" shapeId="0">
      <text>
        <t>Jarrow Citicoline: choline supplement (Cognizin® CDP-choline).</t>
      </text>
    </comment>
    <comment ref="Y49" authorId="0" shapeId="0">
      <text>
        <t>Jarrow Citicoline: choline supplement (Cognizin® CDP-choline).</t>
      </text>
    </comment>
    <comment ref="Z49" authorId="0" shapeId="0">
      <text>
        <t>Jarrow Citicoline: choline supplement (Cognizin® CDP-choline).</t>
      </text>
    </comment>
    <comment ref="AA49" authorId="0" shapeId="0">
      <text>
        <t>Jarrow Citicoline: choline supplement (Cognizin® CDP-choline).</t>
      </text>
    </comment>
    <comment ref="AB49" authorId="0" shapeId="0">
      <text>
        <t>Jarrow Citicoline: choline supplement (Cognizin® CDP-choline).</t>
      </text>
    </comment>
    <comment ref="AC49" authorId="0" shapeId="0">
      <text>
        <t>Jarrow Citicoline: choline supplement (Cognizin® CDP-choline).</t>
      </text>
    </comment>
    <comment ref="AD49" authorId="0" shapeId="0">
      <text>
        <t>Jarrow Citicoline: choline supplement (Cognizin® CDP-choline).</t>
      </text>
    </comment>
    <comment ref="AE49" authorId="0" shapeId="0">
      <text>
        <t>Jarrow Citicoline: choline supplement (Cognizin® CDP-choline).</t>
      </text>
    </comment>
    <comment ref="AF49" authorId="0" shapeId="0">
      <text>
        <t>Jarrow Citicoline: choline supplement (Cognizin® CDP-choline).</t>
      </text>
    </comment>
    <comment ref="AG49" authorId="0" shapeId="0">
      <text>
        <t>Formula.</t>
      </text>
    </comment>
    <comment ref="AH49" authorId="0" shapeId="0">
      <text>
        <t>Jarrow Citicoline: choline supplement (Cognizin® CDP-choline).</t>
      </text>
    </comment>
    <comment ref="AI49" authorId="0" shapeId="0">
      <text>
        <t>Formula.</t>
      </text>
    </comment>
    <comment ref="AJ49" authorId="0" shapeId="0">
      <text>
        <t>Jarrow label: "250 mg Citicoline (Cognizin®) per capsule × 2 = 500 mg CDP-choline". CDP-choline is ~18.5% choline by molecular weight (citicoline mw 488, choline moiety 104/488). 500 × 0.185 = 92.5 → 93 mg choline contribution.</t>
      </text>
    </comment>
    <comment ref="AK49" authorId="0" shapeId="0">
      <text>
        <t>Jarrow Citicoline: choline supplement (Cognizin® CDP-choline).</t>
      </text>
    </comment>
    <comment ref="AL49" authorId="0" shapeId="0">
      <text>
        <t>Jarrow Citicoline: choline supplement (Cognizin® CDP-choline).</t>
      </text>
    </comment>
    <comment ref="AM49" authorId="0" shapeId="0">
      <text>
        <t>Jarrow Citicoline: choline supplement (Cognizin® CDP-choline).</t>
      </text>
    </comment>
    <comment ref="AN49" authorId="0" shapeId="0">
      <text>
        <t>Jarrow Citicoline: choline supplement (Cognizin® CDP-choline).</t>
      </text>
    </comment>
    <comment ref="AO49" authorId="0" shapeId="0">
      <text>
        <t>Jarrow Citicoline: choline supplement (Cognizin® CDP-choline).</t>
      </text>
    </comment>
    <comment ref="AP49" authorId="0" shapeId="0">
      <text>
        <t>Jarrow Citicoline: choline supplement (Cognizin® CDP-choline).</t>
      </text>
    </comment>
    <comment ref="AQ49" authorId="0" shapeId="0">
      <text>
        <t>Jarrow Citicoline: choline supplement (Cognizin® CDP-choline).</t>
      </text>
    </comment>
    <comment ref="AR49" authorId="0" shapeId="0">
      <text>
        <t>Jarrow Citicoline: choline supplement (Cognizin® CDP-choline).</t>
      </text>
    </comment>
    <comment ref="AS49" authorId="0" shapeId="0">
      <text>
        <t>Jarrow Citicoline: choline supplement (Cognizin® CDP-choline).</t>
      </text>
    </comment>
    <comment ref="AT49" authorId="0" shapeId="0">
      <text>
        <t>Jarrow Citicoline: choline supplement (Cognizin® CDP-choline).</t>
      </text>
    </comment>
    <comment ref="AU49" authorId="0" shapeId="0">
      <text>
        <t>Jarrow Citicoline: choline supplement (Cognizin® CDP-choline).</t>
      </text>
    </comment>
    <comment ref="AV49" authorId="0" shapeId="0">
      <text>
        <t>Jarrow Citicoline: choline supplement (Cognizin® CDP-choline).</t>
      </text>
    </comment>
    <comment ref="AW49" authorId="0" shapeId="0">
      <text>
        <t>Jarrow Citicoline: choline supplement (Cognizin® CDP-choline).</t>
      </text>
    </comment>
    <comment ref="AX49" authorId="0" shapeId="0">
      <text>
        <t>Jarrow Citicoline: choline supplement (Cognizin® CDP-choline).</t>
      </text>
    </comment>
    <comment ref="AY49" authorId="0" shapeId="0">
      <text>
        <t>Jarrow Citicoline: choline supplement (Cognizin® CDP-choline).</t>
      </text>
    </comment>
    <comment ref="AZ49" authorId="0" shapeId="0">
      <text>
        <t>Jarrow Citicoline: choline supplement (Cognizin® CDP-choline).</t>
      </text>
    </comment>
    <comment ref="BA49" authorId="0" shapeId="0">
      <text>
        <t>Jarrow Citicoline: choline supplement (Cognizin® CDP-choline).</t>
      </text>
    </comment>
    <comment ref="BB49" authorId="0" shapeId="0">
      <text>
        <t>Jarrow Citicoline: choline supplement (Cognizin® CDP-choline).</t>
      </text>
    </comment>
    <comment ref="BC49" authorId="0" shapeId="0">
      <text>
        <t>Jarrow Citicoline: choline supplement (Cognizin® CDP-choline).</t>
      </text>
    </comment>
    <comment ref="BD49" authorId="0" shapeId="0">
      <text>
        <t>Jarrow Citicoline: choline supplement (Cognizin® CDP-choline).</t>
      </text>
    </comment>
    <comment ref="BE49" authorId="0" shapeId="0">
      <text>
        <t>Jarrow Citicoline: choline supplement (Cognizin® CDP-choline).</t>
      </text>
    </comment>
    <comment ref="BF49" authorId="0" shapeId="0">
      <text>
        <t>Jarrow Citicoline: choline supplement (Cognizin® CDP-choline).</t>
      </text>
    </comment>
    <comment ref="BG49" authorId="0" shapeId="0">
      <text>
        <t>Jarrow Citicoline: choline supplement (Cognizin® CDP-choline).</t>
      </text>
    </comment>
    <comment ref="BH49" authorId="0" shapeId="0">
      <text>
        <t>Jarrow Citicoline: choline supplement (Cognizin® CDP-choline).</t>
      </text>
    </comment>
    <comment ref="BI49" authorId="0" shapeId="0">
      <text>
        <t>Jarrow Citicoline: choline supplement (Cognizin® CDP-choline).</t>
      </text>
    </comment>
    <comment ref="BJ49" authorId="0" shapeId="0">
      <text>
        <t>Jarrow Citicoline: choline supplement (Cognizin® CDP-choline).</t>
      </text>
    </comment>
    <comment ref="BK49" authorId="0" shapeId="0">
      <text>
        <t>Jarrow Citicoline: choline supplement (Cognizin® CDP-choline).</t>
      </text>
    </comment>
    <comment ref="BL49" authorId="0" shapeId="0">
      <text>
        <t>Jarrow Citicoline: choline supplement (Cognizin® CDP-choline).</t>
      </text>
    </comment>
    <comment ref="BM49" authorId="0" shapeId="0">
      <text>
        <t>Jarrow Citicoline: choline supplement (Cognizin® CDP-choline).</t>
      </text>
    </comment>
    <comment ref="BN49" authorId="0" shapeId="0">
      <text>
        <t>Jarrow Citicoline: choline supplement (Cognizin® CDP-choline).</t>
      </text>
    </comment>
    <comment ref="BO49" authorId="0" shapeId="0">
      <text>
        <t>Jarrow Citicoline: choline supplement (Cognizin® CDP-choline).</t>
      </text>
    </comment>
    <comment ref="BP49" authorId="0" shapeId="0">
      <text>
        <t>Jarrow Citicoline: choline supplement (Cognizin® CDP-choline).</t>
      </text>
    </comment>
    <comment ref="BQ49" authorId="0" shapeId="0">
      <text>
        <t>Jarrow Citicoline: choline supplement (Cognizin® CDP-choline).</t>
      </text>
    </comment>
    <comment ref="BR49" authorId="0" shapeId="0">
      <text>
        <t>Jarrow Citicoline: choline supplement (Cognizin® CDP-choline).</t>
      </text>
    </comment>
    <comment ref="BS49" authorId="0" shapeId="0">
      <text>
        <t>Jarrow Citicoline: choline supplement (Cognizin® CDP-choline).</t>
      </text>
    </comment>
    <comment ref="BT49" authorId="0" shapeId="0">
      <text>
        <t>Jarrow Citicoline: choline supplement (Cognizin® CDP-choline).</t>
      </text>
    </comment>
    <comment ref="BU49" authorId="0" shapeId="0">
      <text>
        <t>Jarrow Citicoline: choline supplement (Cognizin® CDP-choline).</t>
      </text>
    </comment>
    <comment ref="BV49" authorId="0" shapeId="0">
      <text>
        <t>Jarrow Citicoline: choline supplement (Cognizin® CDP-choline).</t>
      </text>
    </comment>
    <comment ref="BW49" authorId="0" shapeId="0">
      <text>
        <t>Jarrow Citicoline: choline supplement (Cognizin® CDP-choline).</t>
      </text>
    </comment>
    <comment ref="BX49" authorId="0" shapeId="0">
      <text>
        <t>Jarrow Citicoline: choline supplement (Cognizin® CDP-choline).</t>
      </text>
    </comment>
    <comment ref="BY49" authorId="0" shapeId="0">
      <text>
        <t>Jarrow Citicoline: choline supplement (Cognizin® CDP-choline).</t>
      </text>
    </comment>
    <comment ref="BZ49" authorId="0" shapeId="0">
      <text>
        <t>Jarrow Citicoline: choline supplement (Cognizin® CDP-choline).</t>
      </text>
    </comment>
    <comment ref="CA49" authorId="0" shapeId="0">
      <text>
        <t>Jarrow Citicoline: choline supplement (Cognizin® CDP-choline).</t>
      </text>
    </comment>
    <comment ref="CB49" authorId="0" shapeId="0">
      <text>
        <t>Jarrow Citicoline: choline supplement (Cognizin® CDP-choline).</t>
      </text>
    </comment>
    <comment ref="CC49" authorId="0" shapeId="0">
      <text>
        <t>Jarrow Citicoline: choline supplement (Cognizin® CDP-choline).</t>
      </text>
    </comment>
    <comment ref="CD49" authorId="0" shapeId="0">
      <text>
        <t>Jarrow Citicoline: choline supplement (Cognizin® CDP-choline).</t>
      </text>
    </comment>
    <comment ref="CE49" authorId="0" shapeId="0">
      <text>
        <t>Jarrow Citicoline: choline supplement (Cognizin® CDP-choline).</t>
      </text>
    </comment>
    <comment ref="CF49" authorId="0" shapeId="0">
      <text>
        <t>Jarrow Citicoline: choline supplement (Cognizin® CDP-choline).</t>
      </text>
    </comment>
    <comment ref="CG49" authorId="0" shapeId="0">
      <text>
        <t>Jarrow Citicoline: choline supplement (Cognizin® CDP-choline).</t>
      </text>
    </comment>
    <comment ref="CH49" authorId="0" shapeId="0">
      <text>
        <t>Jarrow Citicoline: choline supplement (Cognizin® CDP-choline).</t>
      </text>
    </comment>
    <comment ref="CI49" authorId="0" shapeId="0">
      <text>
        <t>Jarrow Citicoline: choline supplement (Cognizin® CDP-choline).</t>
      </text>
    </comment>
    <comment ref="CJ49" authorId="0" shapeId="0">
      <text>
        <t>Jarrow Citicoline: choline supplement (Cognizin® CDP-choline).</t>
      </text>
    </comment>
    <comment ref="CK49" authorId="0" shapeId="0">
      <text>
        <t>Jarrow Citicoline: choline supplement (Cognizin® CDP-choline).</t>
      </text>
    </comment>
    <comment ref="CL49" authorId="0" shapeId="0">
      <text>
        <t>Jarrow Citicoline: choline supplement (Cognizin® CDP-choline).</t>
      </text>
    </comment>
    <comment ref="CM49" authorId="0" shapeId="0">
      <text>
        <t>Jarrow Citicoline: choline supplement (Cognizin® CDP-choline).</t>
      </text>
    </comment>
    <comment ref="CN49" authorId="0" shapeId="0">
      <text>
        <t>Jarrow Citicoline: choline supplement (Cognizin® CDP-choline).</t>
      </text>
    </comment>
    <comment ref="CO49" authorId="0" shapeId="0">
      <text>
        <t>Jarrow Citicoline: choline supplement (Cognizin® CDP-choline).</t>
      </text>
    </comment>
    <comment ref="CP49" authorId="0" shapeId="0">
      <text>
        <t>Jarrow Citicoline: choline supplement (Cognizin® CDP-choline).</t>
      </text>
    </comment>
    <comment ref="CQ49" authorId="0" shapeId="0">
      <text>
        <t>Jarrow Citicoline: choline supplement (Cognizin® CDP-choline).</t>
      </text>
    </comment>
    <comment ref="CR49" authorId="0" shapeId="0">
      <text>
        <t>Jarrow Citicoline: choline supplement (Cognizin® CDP-choline).</t>
      </text>
    </comment>
    <comment ref="CS49" authorId="0" shapeId="0">
      <text>
        <t>Jarrow Citicoline: choline supplement (Cognizin® CDP-choline).</t>
      </text>
    </comment>
    <comment ref="CT49" authorId="0" shapeId="0">
      <text>
        <t>Jarrow Citicoline: choline supplement (Cognizin® CDP-choline).</t>
      </text>
    </comment>
    <comment ref="CU49" authorId="0" shapeId="0">
      <text>
        <t>Jarrow Citicoline: choline supplement (Cognizin® CDP-choline).</t>
      </text>
    </comment>
    <comment ref="CV49" authorId="0" shapeId="0">
      <text>
        <t>Jarrow Citicoline: choline supplement (Cognizin® CDP-choline).</t>
      </text>
    </comment>
    <comment ref="O50" authorId="0" shapeId="0">
      <text>
        <t>Qunol Ultra CoQ10: pure CoQ10 ubiquinone supplement.</t>
      </text>
    </comment>
    <comment ref="P50" authorId="0" shapeId="0">
      <text>
        <t>Qunol Ultra CoQ10: pure CoQ10 ubiquinone supplement.</t>
      </text>
    </comment>
    <comment ref="Q50" authorId="0" shapeId="0">
      <text>
        <t>Qunol Ultra CoQ10: pure CoQ10 ubiquinone supplement.</t>
      </text>
    </comment>
    <comment ref="R50" authorId="0" shapeId="0">
      <text>
        <t>Qunol Ultra CoQ10: pure CoQ10 ubiquinone supplement.</t>
      </text>
    </comment>
    <comment ref="S50" authorId="0" shapeId="0">
      <text>
        <t>Qunol Ultra CoQ10: pure CoQ10 ubiquinone supplement.</t>
      </text>
    </comment>
    <comment ref="T50" authorId="0" shapeId="0">
      <text>
        <t>Qunol Ultra CoQ10: pure CoQ10 ubiquinone supplement.</t>
      </text>
    </comment>
    <comment ref="U50" authorId="0" shapeId="0">
      <text>
        <t>Qunol Ultra CoQ10: pure CoQ10 ubiquinone supplement.</t>
      </text>
    </comment>
    <comment ref="W50" authorId="0" shapeId="0">
      <text>
        <t>Qunol Ultra CoQ10: pure CoQ10 ubiquinone supplement.</t>
      </text>
    </comment>
    <comment ref="X50" authorId="0" shapeId="0">
      <text>
        <t>Qunol Ultra CoQ10: pure CoQ10 ubiquinone supplement.</t>
      </text>
    </comment>
    <comment ref="Y50" authorId="0" shapeId="0">
      <text>
        <t>Qunol Ultra CoQ10: pure CoQ10 ubiquinone supplement.</t>
      </text>
    </comment>
    <comment ref="Z50" authorId="0" shapeId="0">
      <text>
        <t>Qunol Ultra CoQ10: pure CoQ10 ubiquinone supplement.</t>
      </text>
    </comment>
    <comment ref="AA50" authorId="0" shapeId="0">
      <text>
        <t>Qunol Ultra CoQ10: pure CoQ10 ubiquinone supplement.</t>
      </text>
    </comment>
    <comment ref="AB50" authorId="0" shapeId="0">
      <text>
        <t>Qunol Ultra CoQ10: pure CoQ10 ubiquinone supplement.</t>
      </text>
    </comment>
    <comment ref="AC50" authorId="0" shapeId="0">
      <text>
        <t>Qunol Ultra CoQ10: pure CoQ10 ubiquinone supplement.</t>
      </text>
    </comment>
    <comment ref="AD50" authorId="0" shapeId="0">
      <text>
        <t>Qunol Ultra CoQ10: pure CoQ10 ubiquinone supplement.</t>
      </text>
    </comment>
    <comment ref="AE50" authorId="0" shapeId="0">
      <text>
        <t>Qunol Ultra CoQ10: pure CoQ10 ubiquinone supplement.</t>
      </text>
    </comment>
    <comment ref="AF50" authorId="0" shapeId="0">
      <text>
        <t>Qunol Ultra CoQ10: pure CoQ10 ubiquinone supplement.</t>
      </text>
    </comment>
    <comment ref="AG50" authorId="0" shapeId="0">
      <text>
        <t>Formula.</t>
      </text>
    </comment>
    <comment ref="AH50" authorId="0" shapeId="0">
      <text>
        <t>Qunol Ultra CoQ10: pure CoQ10 ubiquinone supplement.</t>
      </text>
    </comment>
    <comment ref="AI50" authorId="0" shapeId="0">
      <text>
        <t>Formula.</t>
      </text>
    </comment>
    <comment ref="AJ50" authorId="0" shapeId="0">
      <text>
        <t>Qunol Ultra CoQ10: pure CoQ10 ubiquinone supplement.</t>
      </text>
    </comment>
    <comment ref="AK50" authorId="0" shapeId="0">
      <text>
        <t>Qunol Ultra CoQ10: pure CoQ10 ubiquinone supplement.</t>
      </text>
    </comment>
    <comment ref="AL50" authorId="0" shapeId="0">
      <text>
        <t>Qunol Ultra CoQ10: pure CoQ10 ubiquinone supplement.</t>
      </text>
    </comment>
    <comment ref="AM50" authorId="0" shapeId="0">
      <text>
        <t>Qunol Ultra CoQ10: pure CoQ10 ubiquinone supplement.</t>
      </text>
    </comment>
    <comment ref="AN50" authorId="0" shapeId="0">
      <text>
        <t>Qunol Ultra CoQ10: pure CoQ10 ubiquinone supplement.</t>
      </text>
    </comment>
    <comment ref="AO50" authorId="0" shapeId="0">
      <text>
        <t>Qunol Ultra CoQ10: pure CoQ10 ubiquinone supplement.</t>
      </text>
    </comment>
    <comment ref="AP50" authorId="0" shapeId="0">
      <text>
        <t>Qunol Ultra CoQ10: pure CoQ10 ubiquinone supplement.</t>
      </text>
    </comment>
    <comment ref="AQ50" authorId="0" shapeId="0">
      <text>
        <t>Qunol Ultra CoQ10: pure CoQ10 ubiquinone supplement.</t>
      </text>
    </comment>
    <comment ref="AR50" authorId="0" shapeId="0">
      <text>
        <t>Qunol Ultra CoQ10: pure CoQ10 ubiquinone supplement.</t>
      </text>
    </comment>
    <comment ref="AS50" authorId="0" shapeId="0">
      <text>
        <t>Qunol Ultra CoQ10: pure CoQ10 ubiquinone supplement.</t>
      </text>
    </comment>
    <comment ref="AT50" authorId="0" shapeId="0">
      <text>
        <t>Qunol Ultra CoQ10: pure CoQ10 ubiquinone supplement.</t>
      </text>
    </comment>
    <comment ref="AU50" authorId="0" shapeId="0">
      <text>
        <t>Qunol Ultra CoQ10: pure CoQ10 ubiquinone supplement.</t>
      </text>
    </comment>
    <comment ref="AV50" authorId="0" shapeId="0">
      <text>
        <t>Qunol Ultra CoQ10: pure CoQ10 ubiquinone supplement.</t>
      </text>
    </comment>
    <comment ref="AW50" authorId="0" shapeId="0">
      <text>
        <t>Qunol Ultra CoQ10: pure CoQ10 ubiquinone supplement.</t>
      </text>
    </comment>
    <comment ref="AX50" authorId="0" shapeId="0">
      <text>
        <t>Qunol Ultra CoQ10: pure CoQ10 ubiquinone supplement.</t>
      </text>
    </comment>
    <comment ref="AY50" authorId="0" shapeId="0">
      <text>
        <t>Qunol Ultra CoQ10: pure CoQ10 ubiquinone supplement.</t>
      </text>
    </comment>
    <comment ref="AZ50" authorId="0" shapeId="0">
      <text>
        <t>Qunol Ultra CoQ10: pure CoQ10 ubiquinone supplement.</t>
      </text>
    </comment>
    <comment ref="BA50" authorId="0" shapeId="0">
      <text>
        <t>Qunol Ultra CoQ10: pure CoQ10 ubiquinone supplement.</t>
      </text>
    </comment>
    <comment ref="BB50" authorId="0" shapeId="0">
      <text>
        <t>Qunol Ultra CoQ10: pure CoQ10 ubiquinone supplement.</t>
      </text>
    </comment>
    <comment ref="BC50" authorId="0" shapeId="0">
      <text>
        <t>Qunol Ultra CoQ10: pure CoQ10 ubiquinone supplement.</t>
      </text>
    </comment>
    <comment ref="BD50" authorId="0" shapeId="0">
      <text>
        <t>Qunol Ultra CoQ10: pure CoQ10 ubiquinone supplement.</t>
      </text>
    </comment>
    <comment ref="BE50" authorId="0" shapeId="0">
      <text>
        <t>Qunol Ultra CoQ10: pure CoQ10 ubiquinone supplement.</t>
      </text>
    </comment>
    <comment ref="BF50" authorId="0" shapeId="0">
      <text>
        <t>Qunol Ultra CoQ10: pure CoQ10 ubiquinone supplement.</t>
      </text>
    </comment>
    <comment ref="BG50" authorId="0" shapeId="0">
      <text>
        <t>Qunol Ultra CoQ10: pure CoQ10 ubiquinone supplement.</t>
      </text>
    </comment>
    <comment ref="BH50" authorId="0" shapeId="0">
      <text>
        <t>Qunol Ultra CoQ10: pure CoQ10 ubiquinone supplement.</t>
      </text>
    </comment>
    <comment ref="BI50" authorId="0" shapeId="0">
      <text>
        <t>Qunol Ultra CoQ10: pure CoQ10 ubiquinone supplement.</t>
      </text>
    </comment>
    <comment ref="BJ50" authorId="0" shapeId="0">
      <text>
        <t>Qunol Ultra CoQ10: pure CoQ10 ubiquinone supplement.</t>
      </text>
    </comment>
    <comment ref="BK50" authorId="0" shapeId="0">
      <text>
        <t>Qunol Ultra CoQ10: pure CoQ10 ubiquinone supplement.</t>
      </text>
    </comment>
    <comment ref="BL50" authorId="0" shapeId="0">
      <text>
        <t>Qunol Ultra CoQ10: pure CoQ10 ubiquinone supplement.</t>
      </text>
    </comment>
    <comment ref="BM50" authorId="0" shapeId="0">
      <text>
        <t>Qunol Ultra CoQ10: pure CoQ10 ubiquinone supplement.</t>
      </text>
    </comment>
    <comment ref="BN50" authorId="0" shapeId="0">
      <text>
        <t>Qunol Ultra CoQ10: pure CoQ10 ubiquinone supplement.</t>
      </text>
    </comment>
    <comment ref="BO50" authorId="0" shapeId="0">
      <text>
        <t>Qunol Ultra CoQ10: pure CoQ10 ubiquinone supplement.</t>
      </text>
    </comment>
    <comment ref="BP50" authorId="0" shapeId="0">
      <text>
        <t>Qunol Ultra CoQ10: pure CoQ10 ubiquinone supplement.</t>
      </text>
    </comment>
    <comment ref="BQ50" authorId="0" shapeId="0">
      <text>
        <t>Qunol Ultra CoQ10: pure CoQ10 ubiquinone supplement.</t>
      </text>
    </comment>
    <comment ref="BR50" authorId="0" shapeId="0">
      <text>
        <t>Qunol Ultra CoQ10: pure CoQ10 ubiquinone supplement.</t>
      </text>
    </comment>
    <comment ref="BS50" authorId="0" shapeId="0">
      <text>
        <t>Qunol Ultra CoQ10: pure CoQ10 ubiquinone supplement.</t>
      </text>
    </comment>
    <comment ref="BT50" authorId="0" shapeId="0">
      <text>
        <t>Qunol Ultra CoQ10: pure CoQ10 ubiquinone supplement.</t>
      </text>
    </comment>
    <comment ref="BU50" authorId="0" shapeId="0">
      <text>
        <t>Qunol Ultra CoQ10: pure CoQ10 ubiquinone supplement.</t>
      </text>
    </comment>
    <comment ref="BV50" authorId="0" shapeId="0">
      <text>
        <t>Qunol Ultra CoQ10: pure CoQ10 ubiquinone supplement.</t>
      </text>
    </comment>
    <comment ref="BW50" authorId="0" shapeId="0">
      <text>
        <t>Qunol Ultra CoQ10: pure CoQ10 ubiquinone supplement.</t>
      </text>
    </comment>
    <comment ref="BX50" authorId="0" shapeId="0">
      <text>
        <t>Qunol Ultra CoQ10: pure CoQ10 ubiquinone supplement.</t>
      </text>
    </comment>
    <comment ref="BY50" authorId="0" shapeId="0">
      <text>
        <t>Qunol Ultra CoQ10: pure CoQ10 ubiquinone supplement.</t>
      </text>
    </comment>
    <comment ref="BZ50" authorId="0" shapeId="0">
      <text>
        <t>Qunol Ultra CoQ10: pure CoQ10 ubiquinone supplement.</t>
      </text>
    </comment>
    <comment ref="CA50" authorId="0" shapeId="0">
      <text>
        <t>Qunol Ultra CoQ10: pure CoQ10 ubiquinone supplement.</t>
      </text>
    </comment>
    <comment ref="CB50" authorId="0" shapeId="0">
      <text>
        <t>Qunol Ultra CoQ10: pure CoQ10 ubiquinone supplement.</t>
      </text>
    </comment>
    <comment ref="CC50" authorId="0" shapeId="0">
      <text>
        <t>Qunol Ultra CoQ10: pure CoQ10 ubiquinone supplement.</t>
      </text>
    </comment>
    <comment ref="CD50" authorId="0" shapeId="0">
      <text>
        <t>Qunol Ultra CoQ10: pure CoQ10 ubiquinone supplement.</t>
      </text>
    </comment>
    <comment ref="CE50" authorId="0" shapeId="0">
      <text>
        <t>Qunol Ultra CoQ10: pure CoQ10 ubiquinone supplement.</t>
      </text>
    </comment>
    <comment ref="CF50" authorId="0" shapeId="0">
      <text>
        <t>Qunol Ultra CoQ10: pure CoQ10 ubiquinone supplement.</t>
      </text>
    </comment>
    <comment ref="CG50" authorId="0" shapeId="0">
      <text>
        <t>Qunol Ultra CoQ10: pure CoQ10 ubiquinone supplement.</t>
      </text>
    </comment>
    <comment ref="CH50" authorId="0" shapeId="0">
      <text>
        <t>Qunol Ultra CoQ10: pure CoQ10 ubiquinone supplement.</t>
      </text>
    </comment>
    <comment ref="CI50" authorId="0" shapeId="0">
      <text>
        <t>Qunol Ultra CoQ10: pure CoQ10 ubiquinone supplement.</t>
      </text>
    </comment>
    <comment ref="CJ50" authorId="0" shapeId="0">
      <text>
        <t>Qunol label: "100 mg CoQ10 (Ubiquinone) per softgel". 3× better absorption than standard.</t>
      </text>
    </comment>
    <comment ref="CK50" authorId="0" shapeId="0">
      <text>
        <t>Qunol Ultra CoQ10: pure CoQ10 ubiquinone supplement.</t>
      </text>
    </comment>
    <comment ref="CL50" authorId="0" shapeId="0">
      <text>
        <t>Qunol Ultra CoQ10: pure CoQ10 ubiquinone supplement.</t>
      </text>
    </comment>
    <comment ref="CM50" authorId="0" shapeId="0">
      <text>
        <t>Qunol Ultra CoQ10: pure CoQ10 ubiquinone supplement.</t>
      </text>
    </comment>
    <comment ref="CN50" authorId="0" shapeId="0">
      <text>
        <t>Qunol Ultra CoQ10: pure CoQ10 ubiquinone supplement.</t>
      </text>
    </comment>
    <comment ref="CO50" authorId="0" shapeId="0">
      <text>
        <t>Qunol Ultra CoQ10: pure CoQ10 ubiquinone supplement.</t>
      </text>
    </comment>
    <comment ref="CP50" authorId="0" shapeId="0">
      <text>
        <t>Qunol Ultra CoQ10: pure CoQ10 ubiquinone supplement.</t>
      </text>
    </comment>
    <comment ref="CQ50" authorId="0" shapeId="0">
      <text>
        <t>Qunol Ultra CoQ10: pure CoQ10 ubiquinone supplement.</t>
      </text>
    </comment>
    <comment ref="CR50" authorId="0" shapeId="0">
      <text>
        <t>Qunol Ultra CoQ10: pure CoQ10 ubiquinone supplement.</t>
      </text>
    </comment>
    <comment ref="CS50" authorId="0" shapeId="0">
      <text>
        <t>Qunol Ultra CoQ10: pure CoQ10 ubiquinone supplement.</t>
      </text>
    </comment>
    <comment ref="CT50" authorId="0" shapeId="0">
      <text>
        <t>Qunol Ultra CoQ10: pure CoQ10 ubiquinone supplement.</t>
      </text>
    </comment>
    <comment ref="CU50" authorId="0" shapeId="0">
      <text>
        <t>Qunol Ultra CoQ10: pure CoQ10 ubiquinone supplement.</t>
      </text>
    </comment>
    <comment ref="CV50" authorId="0" shapeId="0">
      <text>
        <t>Qunol Ultra CoQ10: pure CoQ10 ubiquinone supplement.</t>
      </text>
    </comment>
    <comment ref="O51" authorId="0" shapeId="0">
      <text>
        <t>InnovixLabs K2: Vitamin K2 supplement (MK-4 + trans MK-7).</t>
      </text>
    </comment>
    <comment ref="P51" authorId="0" shapeId="0">
      <text>
        <t>InnovixLabs K2: Vitamin K2 supplement (MK-4 + trans MK-7).</t>
      </text>
    </comment>
    <comment ref="Q51" authorId="0" shapeId="0">
      <text>
        <t>InnovixLabs K2: Vitamin K2 supplement (MK-4 + trans MK-7).</t>
      </text>
    </comment>
    <comment ref="R51" authorId="0" shapeId="0">
      <text>
        <t>InnovixLabs K2: Vitamin K2 supplement (MK-4 + trans MK-7).</t>
      </text>
    </comment>
    <comment ref="S51" authorId="0" shapeId="0">
      <text>
        <t>InnovixLabs K2: Vitamin K2 supplement (MK-4 + trans MK-7).</t>
      </text>
    </comment>
    <comment ref="T51" authorId="0" shapeId="0">
      <text>
        <t>InnovixLabs K2: Vitamin K2 supplement (MK-4 + trans MK-7).</t>
      </text>
    </comment>
    <comment ref="U51" authorId="0" shapeId="0">
      <text>
        <t>InnovixLabs K2: Vitamin K2 supplement (MK-4 + trans MK-7).</t>
      </text>
    </comment>
    <comment ref="W51" authorId="0" shapeId="0">
      <text>
        <t>InnovixLabs K2: Vitamin K2 supplement (MK-4 + trans MK-7).</t>
      </text>
    </comment>
    <comment ref="X51" authorId="0" shapeId="0">
      <text>
        <t>InnovixLabs K2: Vitamin K2 supplement (MK-4 + trans MK-7).</t>
      </text>
    </comment>
    <comment ref="Y51" authorId="0" shapeId="0">
      <text>
        <t>InnovixLabs K2: Vitamin K2 supplement (MK-4 + trans MK-7).</t>
      </text>
    </comment>
    <comment ref="Z51" authorId="0" shapeId="0">
      <text>
        <t>InnovixLabs K2: Vitamin K2 supplement (MK-4 + trans MK-7).</t>
      </text>
    </comment>
    <comment ref="AA51" authorId="0" shapeId="0">
      <text>
        <t>InnovixLabs K2: Vitamin K2 supplement (MK-4 + trans MK-7).</t>
      </text>
    </comment>
    <comment ref="AB51" authorId="0" shapeId="0">
      <text>
        <t>InnovixLabs K2: Vitamin K2 supplement (MK-4 + trans MK-7).</t>
      </text>
    </comment>
    <comment ref="AC51" authorId="0" shapeId="0">
      <text>
        <t>InnovixLabs K2: Vitamin K2 supplement (MK-4 + trans MK-7).</t>
      </text>
    </comment>
    <comment ref="AD51" authorId="0" shapeId="0">
      <text>
        <t>InnovixLabs K2: Vitamin K2 supplement (MK-4 + trans MK-7).</t>
      </text>
    </comment>
    <comment ref="AE51" authorId="0" shapeId="0">
      <text>
        <t>InnovixLabs K2: Vitamin K2 supplement (MK-4 + trans MK-7).</t>
      </text>
    </comment>
    <comment ref="AF51" authorId="0" shapeId="0">
      <text>
        <t>InnovixLabs K2: Vitamin K2 supplement (MK-4 + trans MK-7).</t>
      </text>
    </comment>
    <comment ref="AG51" authorId="0" shapeId="0">
      <text>
        <t>Formula.</t>
      </text>
    </comment>
    <comment ref="AH51" authorId="0" shapeId="0">
      <text>
        <t>InnovixLabs K2: Vitamin K2 supplement (MK-4 + trans MK-7).</t>
      </text>
    </comment>
    <comment ref="AI51" authorId="0" shapeId="0">
      <text>
        <t>Formula.</t>
      </text>
    </comment>
    <comment ref="AJ51" authorId="0" shapeId="0">
      <text>
        <t>InnovixLabs K2: Vitamin K2 supplement (MK-4 + trans MK-7).</t>
      </text>
    </comment>
    <comment ref="AK51" authorId="0" shapeId="0">
      <text>
        <t>InnovixLabs K2: Vitamin K2 supplement (MK-4 + trans MK-7).</t>
      </text>
    </comment>
    <comment ref="AL51" authorId="0" shapeId="0">
      <text>
        <t>InnovixLabs K2: Vitamin K2 supplement (MK-4 + trans MK-7).</t>
      </text>
    </comment>
    <comment ref="AM51" authorId="0" shapeId="0">
      <text>
        <t>InnovixLabs K2: Vitamin K2 supplement (MK-4 + trans MK-7).</t>
      </text>
    </comment>
    <comment ref="AN51" authorId="0" shapeId="0">
      <text>
        <t>InnovixLabs K2: Vitamin K2 supplement (MK-4 + trans MK-7).</t>
      </text>
    </comment>
    <comment ref="AO51" authorId="0" shapeId="0">
      <text>
        <t>InnovixLabs K2: Vitamin K2 supplement (MK-4 + trans MK-7).</t>
      </text>
    </comment>
    <comment ref="AP51" authorId="0" shapeId="0">
      <text>
        <t>InnovixLabs K2: Vitamin K2 supplement (MK-4 + trans MK-7).</t>
      </text>
    </comment>
    <comment ref="AQ51" authorId="0" shapeId="0">
      <text>
        <t>InnovixLabs K2: Vitamin K2 supplement (MK-4 + trans MK-7).</t>
      </text>
    </comment>
    <comment ref="AR51" authorId="0" shapeId="0">
      <text>
        <t>InnovixLabs K2: Vitamin K2 supplement (MK-4 + trans MK-7).</t>
      </text>
    </comment>
    <comment ref="AS51" authorId="0" shapeId="0">
      <text>
        <t>InnovixLabs K2: Vitamin K2 supplement (MK-4 + trans MK-7).</t>
      </text>
    </comment>
    <comment ref="AT51" authorId="0" shapeId="0">
      <text>
        <t>InnovixLabs K2: Vitamin K2 supplement (MK-4 + trans MK-7).</t>
      </text>
    </comment>
    <comment ref="AU51" authorId="0" shapeId="0">
      <text>
        <t>InnovixLabs K2: Vitamin K2 supplement (MK-4 + trans MK-7).</t>
      </text>
    </comment>
    <comment ref="AV51" authorId="0" shapeId="0">
      <text>
        <t>InnovixLabs K2: Vitamin K2 supplement (MK-4 + trans MK-7).</t>
      </text>
    </comment>
    <comment ref="AW51" authorId="0" shapeId="0">
      <text>
        <t>InnovixLabs K2: Vitamin K2 supplement (MK-4 + trans MK-7).</t>
      </text>
    </comment>
    <comment ref="AX51" authorId="0" shapeId="0">
      <text>
        <t>InnovixLabs K2: Vitamin K2 supplement (MK-4 + trans MK-7).</t>
      </text>
    </comment>
    <comment ref="AY51" authorId="0" shapeId="0">
      <text>
        <t>InnovixLabs K2: Vitamin K2 supplement (MK-4 + trans MK-7).</t>
      </text>
    </comment>
    <comment ref="AZ51" authorId="0" shapeId="0">
      <text>
        <t>InnovixLabs K2: Vitamin K2 supplement (MK-4 + trans MK-7).</t>
      </text>
    </comment>
    <comment ref="BA51" authorId="0" shapeId="0">
      <text>
        <t>InnovixLabs K2: Vitamin K2 supplement (MK-4 + trans MK-7).</t>
      </text>
    </comment>
    <comment ref="BB51" authorId="0" shapeId="0">
      <text>
        <t>InnovixLabs K2: Vitamin K2 supplement (MK-4 + trans MK-7).</t>
      </text>
    </comment>
    <comment ref="BC51" authorId="0" shapeId="0">
      <text>
        <t>InnovixLabs K2: Vitamin K2 supplement (MK-4 + trans MK-7).</t>
      </text>
    </comment>
    <comment ref="BD51" authorId="0" shapeId="0">
      <text>
        <t>InnovixLabs label: "500 mcg Vitamin K2 as MK-4 per capsule".</t>
      </text>
    </comment>
    <comment ref="BE51" authorId="0" shapeId="0">
      <text>
        <t>InnovixLabs label: "100 mcg Vitamin K2 as TRANS MK-7 per capsule" (all-trans MK-7 = only bioavailable isomer).</t>
      </text>
    </comment>
    <comment ref="BF51" authorId="0" shapeId="0">
      <text>
        <t>InnovixLabs K2: Vitamin K2 supplement (MK-4 + trans MK-7).</t>
      </text>
    </comment>
    <comment ref="BG51" authorId="0" shapeId="0">
      <text>
        <t>InnovixLabs K2: Vitamin K2 supplement (MK-4 + trans MK-7).</t>
      </text>
    </comment>
    <comment ref="BH51" authorId="0" shapeId="0">
      <text>
        <t>InnovixLabs K2: Vitamin K2 supplement (MK-4 + trans MK-7).</t>
      </text>
    </comment>
    <comment ref="BI51" authorId="0" shapeId="0">
      <text>
        <t>InnovixLabs K2: Vitamin K2 supplement (MK-4 + trans MK-7).</t>
      </text>
    </comment>
    <comment ref="BJ51" authorId="0" shapeId="0">
      <text>
        <t>InnovixLabs K2: Vitamin K2 supplement (MK-4 + trans MK-7).</t>
      </text>
    </comment>
    <comment ref="BK51" authorId="0" shapeId="0">
      <text>
        <t>InnovixLabs K2: Vitamin K2 supplement (MK-4 + trans MK-7).</t>
      </text>
    </comment>
    <comment ref="BL51" authorId="0" shapeId="0">
      <text>
        <t>InnovixLabs K2: Vitamin K2 supplement (MK-4 + trans MK-7).</t>
      </text>
    </comment>
    <comment ref="BM51" authorId="0" shapeId="0">
      <text>
        <t>InnovixLabs K2: Vitamin K2 supplement (MK-4 + trans MK-7).</t>
      </text>
    </comment>
    <comment ref="BN51" authorId="0" shapeId="0">
      <text>
        <t>InnovixLabs K2: Vitamin K2 supplement (MK-4 + trans MK-7).</t>
      </text>
    </comment>
    <comment ref="BO51" authorId="0" shapeId="0">
      <text>
        <t>InnovixLabs K2: Vitamin K2 supplement (MK-4 + trans MK-7).</t>
      </text>
    </comment>
    <comment ref="BP51" authorId="0" shapeId="0">
      <text>
        <t>InnovixLabs K2: Vitamin K2 supplement (MK-4 + trans MK-7).</t>
      </text>
    </comment>
    <comment ref="BQ51" authorId="0" shapeId="0">
      <text>
        <t>InnovixLabs K2: Vitamin K2 supplement (MK-4 + trans MK-7).</t>
      </text>
    </comment>
    <comment ref="BR51" authorId="0" shapeId="0">
      <text>
        <t>InnovixLabs K2: Vitamin K2 supplement (MK-4 + trans MK-7).</t>
      </text>
    </comment>
    <comment ref="BS51" authorId="0" shapeId="0">
      <text>
        <t>InnovixLabs K2: Vitamin K2 supplement (MK-4 + trans MK-7).</t>
      </text>
    </comment>
    <comment ref="BT51" authorId="0" shapeId="0">
      <text>
        <t>InnovixLabs K2: Vitamin K2 supplement (MK-4 + trans MK-7).</t>
      </text>
    </comment>
    <comment ref="BU51" authorId="0" shapeId="0">
      <text>
        <t>InnovixLabs K2: Vitamin K2 supplement (MK-4 + trans MK-7).</t>
      </text>
    </comment>
    <comment ref="BV51" authorId="0" shapeId="0">
      <text>
        <t>InnovixLabs K2: Vitamin K2 supplement (MK-4 + trans MK-7).</t>
      </text>
    </comment>
    <comment ref="BW51" authorId="0" shapeId="0">
      <text>
        <t>InnovixLabs K2: Vitamin K2 supplement (MK-4 + trans MK-7).</t>
      </text>
    </comment>
    <comment ref="BX51" authorId="0" shapeId="0">
      <text>
        <t>InnovixLabs K2: Vitamin K2 supplement (MK-4 + trans MK-7).</t>
      </text>
    </comment>
    <comment ref="BY51" authorId="0" shapeId="0">
      <text>
        <t>InnovixLabs K2: Vitamin K2 supplement (MK-4 + trans MK-7).</t>
      </text>
    </comment>
    <comment ref="BZ51" authorId="0" shapeId="0">
      <text>
        <t>InnovixLabs K2: Vitamin K2 supplement (MK-4 + trans MK-7).</t>
      </text>
    </comment>
    <comment ref="CA51" authorId="0" shapeId="0">
      <text>
        <t>InnovixLabs K2: Vitamin K2 supplement (MK-4 + trans MK-7).</t>
      </text>
    </comment>
    <comment ref="CB51" authorId="0" shapeId="0">
      <text>
        <t>InnovixLabs K2: Vitamin K2 supplement (MK-4 + trans MK-7).</t>
      </text>
    </comment>
    <comment ref="CC51" authorId="0" shapeId="0">
      <text>
        <t>InnovixLabs K2: Vitamin K2 supplement (MK-4 + trans MK-7).</t>
      </text>
    </comment>
    <comment ref="CD51" authorId="0" shapeId="0">
      <text>
        <t>InnovixLabs K2: Vitamin K2 supplement (MK-4 + trans MK-7).</t>
      </text>
    </comment>
    <comment ref="CE51" authorId="0" shapeId="0">
      <text>
        <t>InnovixLabs K2: Vitamin K2 supplement (MK-4 + trans MK-7).</t>
      </text>
    </comment>
    <comment ref="CF51" authorId="0" shapeId="0">
      <text>
        <t>InnovixLabs K2: Vitamin K2 supplement (MK-4 + trans MK-7).</t>
      </text>
    </comment>
    <comment ref="CG51" authorId="0" shapeId="0">
      <text>
        <t>InnovixLabs K2: Vitamin K2 supplement (MK-4 + trans MK-7).</t>
      </text>
    </comment>
    <comment ref="CH51" authorId="0" shapeId="0">
      <text>
        <t>InnovixLabs K2: Vitamin K2 supplement (MK-4 + trans MK-7).</t>
      </text>
    </comment>
    <comment ref="CI51" authorId="0" shapeId="0">
      <text>
        <t>InnovixLabs K2: Vitamin K2 supplement (MK-4 + trans MK-7).</t>
      </text>
    </comment>
    <comment ref="CJ51" authorId="0" shapeId="0">
      <text>
        <t>InnovixLabs K2: Vitamin K2 supplement (MK-4 + trans MK-7).</t>
      </text>
    </comment>
    <comment ref="CK51" authorId="0" shapeId="0">
      <text>
        <t>InnovixLabs K2: Vitamin K2 supplement (MK-4 + trans MK-7).</t>
      </text>
    </comment>
    <comment ref="CL51" authorId="0" shapeId="0">
      <text>
        <t>InnovixLabs K2: Vitamin K2 supplement (MK-4 + trans MK-7).</t>
      </text>
    </comment>
    <comment ref="CM51" authorId="0" shapeId="0">
      <text>
        <t>InnovixLabs K2: Vitamin K2 supplement (MK-4 + trans MK-7).</t>
      </text>
    </comment>
    <comment ref="CN51" authorId="0" shapeId="0">
      <text>
        <t>InnovixLabs K2: Vitamin K2 supplement (MK-4 + trans MK-7).</t>
      </text>
    </comment>
    <comment ref="CO51" authorId="0" shapeId="0">
      <text>
        <t>InnovixLabs K2: Vitamin K2 supplement (MK-4 + trans MK-7).</t>
      </text>
    </comment>
    <comment ref="CP51" authorId="0" shapeId="0">
      <text>
        <t>InnovixLabs K2: Vitamin K2 supplement (MK-4 + trans MK-7).</t>
      </text>
    </comment>
    <comment ref="CQ51" authorId="0" shapeId="0">
      <text>
        <t>InnovixLabs K2: Vitamin K2 supplement (MK-4 + trans MK-7).</t>
      </text>
    </comment>
    <comment ref="CR51" authorId="0" shapeId="0">
      <text>
        <t>InnovixLabs K2: Vitamin K2 supplement (MK-4 + trans MK-7).</t>
      </text>
    </comment>
    <comment ref="CS51" authorId="0" shapeId="0">
      <text>
        <t>InnovixLabs K2: Vitamin K2 supplement (MK-4 + trans MK-7).</t>
      </text>
    </comment>
    <comment ref="CT51" authorId="0" shapeId="0">
      <text>
        <t>InnovixLabs K2: Vitamin K2 supplement (MK-4 + trans MK-7).</t>
      </text>
    </comment>
    <comment ref="CU51" authorId="0" shapeId="0">
      <text>
        <t>InnovixLabs K2: Vitamin K2 supplement (MK-4 + trans MK-7).</t>
      </text>
    </comment>
    <comment ref="CV51" authorId="0" shapeId="0">
      <text>
        <t>InnovixLabs K2: Vitamin K2 supplement (MK-4 + trans MK-7).</t>
      </text>
    </comment>
    <comment ref="O52" authorId="0" shapeId="0">
      <text>
        <t>Seeking Health Lithium Orotate: elemental lithium supplement.</t>
      </text>
    </comment>
    <comment ref="P52" authorId="0" shapeId="0">
      <text>
        <t>Seeking Health Lithium Orotate: elemental lithium supplement.</t>
      </text>
    </comment>
    <comment ref="Q52" authorId="0" shapeId="0">
      <text>
        <t>Seeking Health Lithium Orotate: elemental lithium supplement.</t>
      </text>
    </comment>
    <comment ref="R52" authorId="0" shapeId="0">
      <text>
        <t>Seeking Health Lithium Orotate: elemental lithium supplement.</t>
      </text>
    </comment>
    <comment ref="S52" authorId="0" shapeId="0">
      <text>
        <t>Seeking Health Lithium Orotate: elemental lithium supplement.</t>
      </text>
    </comment>
    <comment ref="T52" authorId="0" shapeId="0">
      <text>
        <t>Seeking Health Lithium Orotate: elemental lithium supplement.</t>
      </text>
    </comment>
    <comment ref="U52" authorId="0" shapeId="0">
      <text>
        <t>Seeking Health Lithium Orotate: elemental lithium supplement.</t>
      </text>
    </comment>
    <comment ref="W52" authorId="0" shapeId="0">
      <text>
        <t>Seeking Health Lithium Orotate: elemental lithium supplement.</t>
      </text>
    </comment>
    <comment ref="X52" authorId="0" shapeId="0">
      <text>
        <t>Seeking Health Lithium Orotate: elemental lithium supplement.</t>
      </text>
    </comment>
    <comment ref="Y52" authorId="0" shapeId="0">
      <text>
        <t>Seeking Health Lithium Orotate: elemental lithium supplement.</t>
      </text>
    </comment>
    <comment ref="Z52" authorId="0" shapeId="0">
      <text>
        <t>Seeking Health Lithium Orotate: elemental lithium supplement.</t>
      </text>
    </comment>
    <comment ref="AA52" authorId="0" shapeId="0">
      <text>
        <t>Seeking Health Lithium Orotate: elemental lithium supplement.</t>
      </text>
    </comment>
    <comment ref="AB52" authorId="0" shapeId="0">
      <text>
        <t>Seeking Health Lithium Orotate: elemental lithium supplement.</t>
      </text>
    </comment>
    <comment ref="AC52" authorId="0" shapeId="0">
      <text>
        <t>Seeking Health Lithium Orotate: elemental lithium supplement.</t>
      </text>
    </comment>
    <comment ref="AD52" authorId="0" shapeId="0">
      <text>
        <t>Seeking Health Lithium Orotate: elemental lithium supplement.</t>
      </text>
    </comment>
    <comment ref="AE52" authorId="0" shapeId="0">
      <text>
        <t>Seeking Health Lithium Orotate: elemental lithium supplement.</t>
      </text>
    </comment>
    <comment ref="AF52" authorId="0" shapeId="0">
      <text>
        <t>Seeking Health Lithium Orotate: elemental lithium supplement.</t>
      </text>
    </comment>
    <comment ref="AG52" authorId="0" shapeId="0">
      <text>
        <t>Formula.</t>
      </text>
    </comment>
    <comment ref="AH52" authorId="0" shapeId="0">
      <text>
        <t>Seeking Health Lithium Orotate: elemental lithium supplement.</t>
      </text>
    </comment>
    <comment ref="AI52" authorId="0" shapeId="0">
      <text>
        <t>Formula.</t>
      </text>
    </comment>
    <comment ref="AJ52" authorId="0" shapeId="0">
      <text>
        <t>Seeking Health Lithium Orotate: elemental lithium supplement.</t>
      </text>
    </comment>
    <comment ref="AK52" authorId="0" shapeId="0">
      <text>
        <t>Seeking Health Lithium Orotate: elemental lithium supplement.</t>
      </text>
    </comment>
    <comment ref="AL52" authorId="0" shapeId="0">
      <text>
        <t>Seeking Health Lithium Orotate: elemental lithium supplement.</t>
      </text>
    </comment>
    <comment ref="AM52" authorId="0" shapeId="0">
      <text>
        <t>Seeking Health Lithium Orotate: elemental lithium supplement.</t>
      </text>
    </comment>
    <comment ref="AN52" authorId="0" shapeId="0">
      <text>
        <t>Seeking Health Lithium Orotate: elemental lithium supplement.</t>
      </text>
    </comment>
    <comment ref="AO52" authorId="0" shapeId="0">
      <text>
        <t>Seeking Health Lithium Orotate: elemental lithium supplement.</t>
      </text>
    </comment>
    <comment ref="AP52" authorId="0" shapeId="0">
      <text>
        <t>Seeking Health Lithium Orotate: elemental lithium supplement.</t>
      </text>
    </comment>
    <comment ref="AQ52" authorId="0" shapeId="0">
      <text>
        <t>Seeking Health Lithium Orotate: elemental lithium supplement.</t>
      </text>
    </comment>
    <comment ref="AR52" authorId="0" shapeId="0">
      <text>
        <t>Seeking Health Lithium Orotate: elemental lithium supplement.</t>
      </text>
    </comment>
    <comment ref="AS52" authorId="0" shapeId="0">
      <text>
        <t>Seeking Health Lithium Orotate: elemental lithium supplement.</t>
      </text>
    </comment>
    <comment ref="AT52" authorId="0" shapeId="0">
      <text>
        <t>Seeking Health Lithium Orotate: elemental lithium supplement.</t>
      </text>
    </comment>
    <comment ref="AU52" authorId="0" shapeId="0">
      <text>
        <t>Seeking Health Lithium Orotate: elemental lithium supplement.</t>
      </text>
    </comment>
    <comment ref="AV52" authorId="0" shapeId="0">
      <text>
        <t>Seeking Health Lithium Orotate: elemental lithium supplement.</t>
      </text>
    </comment>
    <comment ref="AW52" authorId="0" shapeId="0">
      <text>
        <t>Seeking Health Lithium Orotate: elemental lithium supplement.</t>
      </text>
    </comment>
    <comment ref="AX52" authorId="0" shapeId="0">
      <text>
        <t>Seeking Health Lithium Orotate: elemental lithium supplement.</t>
      </text>
    </comment>
    <comment ref="AY52" authorId="0" shapeId="0">
      <text>
        <t>Seeking Health Lithium Orotate: elemental lithium supplement.</t>
      </text>
    </comment>
    <comment ref="AZ52" authorId="0" shapeId="0">
      <text>
        <t>Seeking Health Lithium Orotate: elemental lithium supplement.</t>
      </text>
    </comment>
    <comment ref="BA52" authorId="0" shapeId="0">
      <text>
        <t>Seeking Health Lithium Orotate: elemental lithium supplement.</t>
      </text>
    </comment>
    <comment ref="BB52" authorId="0" shapeId="0">
      <text>
        <t>Seeking Health Lithium Orotate: elemental lithium supplement.</t>
      </text>
    </comment>
    <comment ref="BC52" authorId="0" shapeId="0">
      <text>
        <t>Seeking Health Lithium Orotate: elemental lithium supplement.</t>
      </text>
    </comment>
    <comment ref="BD52" authorId="0" shapeId="0">
      <text>
        <t>Seeking Health Lithium Orotate: elemental lithium supplement.</t>
      </text>
    </comment>
    <comment ref="BE52" authorId="0" shapeId="0">
      <text>
        <t>Seeking Health Lithium Orotate: elemental lithium supplement.</t>
      </text>
    </comment>
    <comment ref="BF52" authorId="0" shapeId="0">
      <text>
        <t>Seeking Health Lithium Orotate: elemental lithium supplement.</t>
      </text>
    </comment>
    <comment ref="BG52" authorId="0" shapeId="0">
      <text>
        <t>Seeking Health Lithium Orotate: elemental lithium supplement.</t>
      </text>
    </comment>
    <comment ref="BH52" authorId="0" shapeId="0">
      <text>
        <t>Seeking Health Lithium Orotate: elemental lithium supplement.</t>
      </text>
    </comment>
    <comment ref="BI52" authorId="0" shapeId="0">
      <text>
        <t>Seeking Health Lithium Orotate: elemental lithium supplement.</t>
      </text>
    </comment>
    <comment ref="BJ52" authorId="0" shapeId="0">
      <text>
        <t>Seeking Health Lithium Orotate: elemental lithium supplement.</t>
      </text>
    </comment>
    <comment ref="BK52" authorId="0" shapeId="0">
      <text>
        <t>Seeking Health Lithium Orotate: elemental lithium supplement.</t>
      </text>
    </comment>
    <comment ref="BL52" authorId="0" shapeId="0">
      <text>
        <t>Seeking Health Lithium Orotate: elemental lithium supplement.</t>
      </text>
    </comment>
    <comment ref="BM52" authorId="0" shapeId="0">
      <text>
        <t>Seeking Health Lithium Orotate: elemental lithium supplement.</t>
      </text>
    </comment>
    <comment ref="BN52" authorId="0" shapeId="0">
      <text>
        <t>Seeking Health Lithium Orotate: elemental lithium supplement.</t>
      </text>
    </comment>
    <comment ref="BO52" authorId="0" shapeId="0">
      <text>
        <t>Seeking Health Lithium Orotate: elemental lithium supplement.</t>
      </text>
    </comment>
    <comment ref="BP52" authorId="0" shapeId="0">
      <text>
        <t>Seeking Health Lithium Orotate: elemental lithium supplement.</t>
      </text>
    </comment>
    <comment ref="BQ52" authorId="0" shapeId="0">
      <text>
        <t>Seeking Health Lithium Orotate: elemental lithium supplement.</t>
      </text>
    </comment>
    <comment ref="BR52" authorId="0" shapeId="0">
      <text>
        <t>Seeking Health Lithium Orotate: elemental lithium supplement.</t>
      </text>
    </comment>
    <comment ref="BS52" authorId="0" shapeId="0">
      <text>
        <t>Seeking Health Lithium Orotate: elemental lithium supplement.</t>
      </text>
    </comment>
    <comment ref="BT52" authorId="0" shapeId="0">
      <text>
        <t>Seeking Health Lithium Orotate: elemental lithium supplement.</t>
      </text>
    </comment>
    <comment ref="BU52" authorId="0" shapeId="0">
      <text>
        <t>Seeking Health Lithium Orotate: elemental lithium supplement.</t>
      </text>
    </comment>
    <comment ref="BV52" authorId="0" shapeId="0">
      <text>
        <t>Seeking Health Lithium Orotate: elemental lithium supplement.</t>
      </text>
    </comment>
    <comment ref="BW52" authorId="0" shapeId="0">
      <text>
        <t>Seeking Health Lithium Orotate: elemental lithium supplement.</t>
      </text>
    </comment>
    <comment ref="BX52" authorId="0" shapeId="0">
      <text>
        <t>Seeking Health Lithium Orotate: elemental lithium supplement.</t>
      </text>
    </comment>
    <comment ref="BY52" authorId="0" shapeId="0">
      <text>
        <t>Seeking Health Lithium Orotate: elemental lithium supplement.</t>
      </text>
    </comment>
    <comment ref="BZ52" authorId="0" shapeId="0">
      <text>
        <t>Seeking Health Lithium Orotate: elemental lithium supplement.</t>
      </text>
    </comment>
    <comment ref="CA52" authorId="0" shapeId="0">
      <text>
        <t>Seeking Health Lithium Orotate: elemental lithium supplement.</t>
      </text>
    </comment>
    <comment ref="CB52" authorId="0" shapeId="0">
      <text>
        <t>Seeking Health Lithium Orotate: elemental lithium supplement.</t>
      </text>
    </comment>
    <comment ref="CC52" authorId="0" shapeId="0">
      <text>
        <t>Seeking Health Lithium Orotate: elemental lithium supplement.</t>
      </text>
    </comment>
    <comment ref="CD52" authorId="0" shapeId="0">
      <text>
        <t>Seeking Health Lithium Orotate: elemental lithium supplement.</t>
      </text>
    </comment>
    <comment ref="CE52" authorId="0" shapeId="0">
      <text>
        <t>Seeking Health Lithium Orotate: elemental lithium supplement.</t>
      </text>
    </comment>
    <comment ref="CF52" authorId="0" shapeId="0">
      <text>
        <t>Seeking Health Lithium Orotate: elemental lithium supplement.</t>
      </text>
    </comment>
    <comment ref="CG52" authorId="0" shapeId="0">
      <text>
        <t>Seeking Health Lithium Orotate: elemental lithium supplement.</t>
      </text>
    </comment>
    <comment ref="CH52" authorId="0" shapeId="0">
      <text>
        <t>Seeking Health Lithium Orotate: elemental lithium supplement.</t>
      </text>
    </comment>
    <comment ref="CI52" authorId="0" shapeId="0">
      <text>
        <t>Seeking Health Lithium Orotate: elemental lithium supplement.</t>
      </text>
    </comment>
    <comment ref="CJ52" authorId="0" shapeId="0">
      <text>
        <t>Seeking Health Lithium Orotate: elemental lithium supplement.</t>
      </text>
    </comment>
    <comment ref="CK52" authorId="0" shapeId="0">
      <text>
        <t>Seeking Health Lithium Orotate: elemental lithium supplement.</t>
      </text>
    </comment>
    <comment ref="CL52" authorId="0" shapeId="0">
      <text>
        <t>Seeking Health label: "5 mg elemental lithium as lithium orotate per capsule". CNS-penetrating orotate carrier; supports BDNF, GSK-3β inhibition, neuroprotection.</t>
      </text>
    </comment>
    <comment ref="CM52" authorId="0" shapeId="0">
      <text>
        <t>Seeking Health Lithium Orotate: elemental lithium supplement.</t>
      </text>
    </comment>
    <comment ref="CN52" authorId="0" shapeId="0">
      <text>
        <t>Seeking Health Lithium Orotate: elemental lithium supplement.</t>
      </text>
    </comment>
    <comment ref="CO52" authorId="0" shapeId="0">
      <text>
        <t>Seeking Health Lithium Orotate: elemental lithium supplement.</t>
      </text>
    </comment>
    <comment ref="CP52" authorId="0" shapeId="0">
      <text>
        <t>Seeking Health Lithium Orotate: elemental lithium supplement.</t>
      </text>
    </comment>
    <comment ref="CQ52" authorId="0" shapeId="0">
      <text>
        <t>Seeking Health Lithium Orotate: elemental lithium supplement.</t>
      </text>
    </comment>
    <comment ref="CR52" authorId="0" shapeId="0">
      <text>
        <t>Seeking Health Lithium Orotate: elemental lithium supplement.</t>
      </text>
    </comment>
    <comment ref="CS52" authorId="0" shapeId="0">
      <text>
        <t>Seeking Health Lithium Orotate: elemental lithium supplement.</t>
      </text>
    </comment>
    <comment ref="CT52" authorId="0" shapeId="0">
      <text>
        <t>Seeking Health Lithium Orotate: elemental lithium supplement.</t>
      </text>
    </comment>
    <comment ref="CU52" authorId="0" shapeId="0">
      <text>
        <t>Seeking Health Lithium Orotate: elemental lithium supplement.</t>
      </text>
    </comment>
    <comment ref="CV52" authorId="0" shapeId="0">
      <text>
        <t>Seeking Health Lithium Orotate: elemental lithium supplement.</t>
      </text>
    </comment>
    <comment ref="O53" authorId="0" shapeId="0">
      <text>
        <t>Thorne Iron Bisglycinate: chelated iron supplement (EOD dosing).</t>
      </text>
    </comment>
    <comment ref="P53" authorId="0" shapeId="0">
      <text>
        <t>Thorne Iron Bisglycinate: chelated iron supplement (EOD dosing).</t>
      </text>
    </comment>
    <comment ref="Q53" authorId="0" shapeId="0">
      <text>
        <t>Thorne Iron Bisglycinate: chelated iron supplement (EOD dosing).</t>
      </text>
    </comment>
    <comment ref="R53" authorId="0" shapeId="0">
      <text>
        <t>Thorne Iron Bisglycinate: chelated iron supplement (EOD dosing).</t>
      </text>
    </comment>
    <comment ref="S53" authorId="0" shapeId="0">
      <text>
        <t>Thorne Iron Bisglycinate: chelated iron supplement (EOD dosing).</t>
      </text>
    </comment>
    <comment ref="T53" authorId="0" shapeId="0">
      <text>
        <t>Thorne Iron Bisglycinate: chelated iron supplement (EOD dosing).</t>
      </text>
    </comment>
    <comment ref="U53" authorId="0" shapeId="0">
      <text>
        <t>Thorne Iron Bisglycinate: chelated iron supplement (EOD dosing).</t>
      </text>
    </comment>
    <comment ref="W53" authorId="0" shapeId="0">
      <text>
        <t>Thorne Iron Bisglycinate: chelated iron supplement (EOD dosing).</t>
      </text>
    </comment>
    <comment ref="X53" authorId="0" shapeId="0">
      <text>
        <t>Thorne Iron Bisglycinate: chelated iron supplement (EOD dosing).</t>
      </text>
    </comment>
    <comment ref="Y53" authorId="0" shapeId="0">
      <text>
        <t>Thorne Iron Bisglycinate: chelated iron supplement (EOD dosing).</t>
      </text>
    </comment>
    <comment ref="Z53" authorId="0" shapeId="0">
      <text>
        <t>Thorne Iron Bisglycinate: chelated iron supplement (EOD dosing).</t>
      </text>
    </comment>
    <comment ref="AA53" authorId="0" shapeId="0">
      <text>
        <t>Thorne Iron Bisglycinate: chelated iron supplement (EOD dosing).</t>
      </text>
    </comment>
    <comment ref="AB53" authorId="0" shapeId="0">
      <text>
        <t>Thorne Iron Bisglycinate: chelated iron supplement (EOD dosing).</t>
      </text>
    </comment>
    <comment ref="AC53" authorId="0" shapeId="0">
      <text>
        <t>Thorne Iron Bisglycinate: chelated iron supplement (EOD dosing).</t>
      </text>
    </comment>
    <comment ref="AD53" authorId="0" shapeId="0">
      <text>
        <t>Thorne Iron Bisglycinate: chelated iron supplement (EOD dosing).</t>
      </text>
    </comment>
    <comment ref="AE53" authorId="0" shapeId="0">
      <text>
        <t>Thorne Iron Bisglycinate: chelated iron supplement (EOD dosing).</t>
      </text>
    </comment>
    <comment ref="AF53" authorId="0" shapeId="0">
      <text>
        <t>Thorne Iron Bisglycinate: chelated iron supplement (EOD dosing).</t>
      </text>
    </comment>
    <comment ref="AG53" authorId="0" shapeId="0">
      <text>
        <t>Formula.</t>
      </text>
    </comment>
    <comment ref="AH53" authorId="0" shapeId="0">
      <text>
        <t>Thorne Iron Bisglycinate: chelated iron supplement (EOD dosing).</t>
      </text>
    </comment>
    <comment ref="AI53" authorId="0" shapeId="0">
      <text>
        <t>Formula.</t>
      </text>
    </comment>
    <comment ref="AJ53" authorId="0" shapeId="0">
      <text>
        <t>Thorne Iron Bisglycinate: chelated iron supplement (EOD dosing).</t>
      </text>
    </comment>
    <comment ref="AK53" authorId="0" shapeId="0">
      <text>
        <t>Thorne Iron Bisglycinate: chelated iron supplement (EOD dosing).</t>
      </text>
    </comment>
    <comment ref="AL53" authorId="0" shapeId="0">
      <text>
        <t>Thorne Iron Bisglycinate: chelated iron supplement (EOD dosing).</t>
      </text>
    </comment>
    <comment ref="AM53" authorId="0" shapeId="0">
      <text>
        <t>Thorne Iron Bisglycinate: chelated iron supplement (EOD dosing).</t>
      </text>
    </comment>
    <comment ref="AN53" authorId="0" shapeId="0">
      <text>
        <t>Thorne Iron Bisglycinate: chelated iron supplement (EOD dosing).</t>
      </text>
    </comment>
    <comment ref="AO53" authorId="0" shapeId="0">
      <text>
        <t>Thorne Iron Bisglycinate: chelated iron supplement (EOD dosing).</t>
      </text>
    </comment>
    <comment ref="AP53" authorId="0" shapeId="0">
      <text>
        <t>Thorne Iron Bisglycinate: chelated iron supplement (EOD dosing).</t>
      </text>
    </comment>
    <comment ref="AQ53" authorId="0" shapeId="0">
      <text>
        <t>Thorne label: "25 mg elemental iron as Ferrochel® ferrous bisglycinate chelate per capsule". Dosed every other day (EOD) per prescription. Daily average: 25/2 = 12.5 mg Fe.</t>
      </text>
    </comment>
    <comment ref="AR53" authorId="0" shapeId="0">
      <text>
        <t>Thorne Iron Bisglycinate: chelated iron supplement (EOD dosing).</t>
      </text>
    </comment>
    <comment ref="AS53" authorId="0" shapeId="0">
      <text>
        <t>Thorne Iron Bisglycinate: chelated iron supplement (EOD dosing).</t>
      </text>
    </comment>
    <comment ref="AT53" authorId="0" shapeId="0">
      <text>
        <t>Thorne Iron Bisglycinate: chelated iron supplement (EOD dosing).</t>
      </text>
    </comment>
    <comment ref="AU53" authorId="0" shapeId="0">
      <text>
        <t>Thorne Iron Bisglycinate: chelated iron supplement (EOD dosing).</t>
      </text>
    </comment>
    <comment ref="AV53" authorId="0" shapeId="0">
      <text>
        <t>Thorne Iron Bisglycinate: chelated iron supplement (EOD dosing).</t>
      </text>
    </comment>
    <comment ref="AW53" authorId="0" shapeId="0">
      <text>
        <t>Thorne Iron Bisglycinate: chelated iron supplement (EOD dosing).</t>
      </text>
    </comment>
    <comment ref="AX53" authorId="0" shapeId="0">
      <text>
        <t>Thorne Iron Bisglycinate: chelated iron supplement (EOD dosing).</t>
      </text>
    </comment>
    <comment ref="AY53" authorId="0" shapeId="0">
      <text>
        <t>Thorne Iron Bisglycinate: chelated iron supplement (EOD dosing).</t>
      </text>
    </comment>
    <comment ref="AZ53" authorId="0" shapeId="0">
      <text>
        <t>Thorne Iron Bisglycinate: chelated iron supplement (EOD dosing).</t>
      </text>
    </comment>
    <comment ref="BA53" authorId="0" shapeId="0">
      <text>
        <t>Thorne Iron Bisglycinate: chelated iron supplement (EOD dosing).</t>
      </text>
    </comment>
    <comment ref="BB53" authorId="0" shapeId="0">
      <text>
        <t>Thorne Iron Bisglycinate: chelated iron supplement (EOD dosing).</t>
      </text>
    </comment>
    <comment ref="BC53" authorId="0" shapeId="0">
      <text>
        <t>Thorne Iron Bisglycinate: chelated iron supplement (EOD dosing).</t>
      </text>
    </comment>
    <comment ref="BD53" authorId="0" shapeId="0">
      <text>
        <t>Thorne Iron Bisglycinate: chelated iron supplement (EOD dosing).</t>
      </text>
    </comment>
    <comment ref="BE53" authorId="0" shapeId="0">
      <text>
        <t>Thorne Iron Bisglycinate: chelated iron supplement (EOD dosing).</t>
      </text>
    </comment>
    <comment ref="BF53" authorId="0" shapeId="0">
      <text>
        <t>Thorne Iron Bisglycinate: chelated iron supplement (EOD dosing).</t>
      </text>
    </comment>
    <comment ref="BG53" authorId="0" shapeId="0">
      <text>
        <t>Thorne Iron Bisglycinate: chelated iron supplement (EOD dosing).</t>
      </text>
    </comment>
    <comment ref="BH53" authorId="0" shapeId="0">
      <text>
        <t>Thorne Iron Bisglycinate: chelated iron supplement (EOD dosing).</t>
      </text>
    </comment>
    <comment ref="BI53" authorId="0" shapeId="0">
      <text>
        <t>Thorne Iron Bisglycinate: chelated iron supplement (EOD dosing).</t>
      </text>
    </comment>
    <comment ref="BJ53" authorId="0" shapeId="0">
      <text>
        <t>Thorne Iron Bisglycinate: chelated iron supplement (EOD dosing).</t>
      </text>
    </comment>
    <comment ref="BK53" authorId="0" shapeId="0">
      <text>
        <t>Thorne Iron Bisglycinate: chelated iron supplement (EOD dosing).</t>
      </text>
    </comment>
    <comment ref="BL53" authorId="0" shapeId="0">
      <text>
        <t>Thorne Iron Bisglycinate: chelated iron supplement (EOD dosing).</t>
      </text>
    </comment>
    <comment ref="BM53" authorId="0" shapeId="0">
      <text>
        <t>Thorne Iron Bisglycinate: chelated iron supplement (EOD dosing).</t>
      </text>
    </comment>
    <comment ref="BN53" authorId="0" shapeId="0">
      <text>
        <t>Thorne Iron Bisglycinate: chelated iron supplement (EOD dosing).</t>
      </text>
    </comment>
    <comment ref="BO53" authorId="0" shapeId="0">
      <text>
        <t>Thorne Iron Bisglycinate: chelated iron supplement (EOD dosing).</t>
      </text>
    </comment>
    <comment ref="BP53" authorId="0" shapeId="0">
      <text>
        <t>Thorne Iron Bisglycinate: chelated iron supplement (EOD dosing).</t>
      </text>
    </comment>
    <comment ref="BQ53" authorId="0" shapeId="0">
      <text>
        <t>Thorne Iron Bisglycinate: chelated iron supplement (EOD dosing).</t>
      </text>
    </comment>
    <comment ref="BR53" authorId="0" shapeId="0">
      <text>
        <t>Thorne Iron Bisglycinate: chelated iron supplement (EOD dosing).</t>
      </text>
    </comment>
    <comment ref="BS53" authorId="0" shapeId="0">
      <text>
        <t>Thorne Iron Bisglycinate: chelated iron supplement (EOD dosing).</t>
      </text>
    </comment>
    <comment ref="BT53" authorId="0" shapeId="0">
      <text>
        <t>Thorne Iron Bisglycinate: chelated iron supplement (EOD dosing).</t>
      </text>
    </comment>
    <comment ref="BU53" authorId="0" shapeId="0">
      <text>
        <t>Thorne Iron Bisglycinate: chelated iron supplement (EOD dosing).</t>
      </text>
    </comment>
    <comment ref="BV53" authorId="0" shapeId="0">
      <text>
        <t>Thorne Iron Bisglycinate: chelated iron supplement (EOD dosing).</t>
      </text>
    </comment>
    <comment ref="BW53" authorId="0" shapeId="0">
      <text>
        <t>Thorne Iron Bisglycinate: chelated iron supplement (EOD dosing).</t>
      </text>
    </comment>
    <comment ref="BX53" authorId="0" shapeId="0">
      <text>
        <t>Thorne Iron Bisglycinate: chelated iron supplement (EOD dosing).</t>
      </text>
    </comment>
    <comment ref="BY53" authorId="0" shapeId="0">
      <text>
        <t>Thorne Iron Bisglycinate: chelated iron supplement (EOD dosing).</t>
      </text>
    </comment>
    <comment ref="BZ53" authorId="0" shapeId="0">
      <text>
        <t>Thorne Iron Bisglycinate: chelated iron supplement (EOD dosing).</t>
      </text>
    </comment>
    <comment ref="CA53" authorId="0" shapeId="0">
      <text>
        <t>Thorne Iron Bisglycinate: chelated iron supplement (EOD dosing).</t>
      </text>
    </comment>
    <comment ref="CB53" authorId="0" shapeId="0">
      <text>
        <t>Thorne Iron Bisglycinate: chelated iron supplement (EOD dosing).</t>
      </text>
    </comment>
    <comment ref="CC53" authorId="0" shapeId="0">
      <text>
        <t>Thorne Iron Bisglycinate: chelated iron supplement (EOD dosing).</t>
      </text>
    </comment>
    <comment ref="CD53" authorId="0" shapeId="0">
      <text>
        <t>Thorne Iron Bisglycinate: chelated iron supplement (EOD dosing).</t>
      </text>
    </comment>
    <comment ref="CE53" authorId="0" shapeId="0">
      <text>
        <t>Thorne Iron Bisglycinate: chelated iron supplement (EOD dosing).</t>
      </text>
    </comment>
    <comment ref="CF53" authorId="0" shapeId="0">
      <text>
        <t>Thorne Iron Bisglycinate: chelated iron supplement (EOD dosing).</t>
      </text>
    </comment>
    <comment ref="CG53" authorId="0" shapeId="0">
      <text>
        <t>Thorne Iron Bisglycinate: chelated iron supplement (EOD dosing).</t>
      </text>
    </comment>
    <comment ref="CH53" authorId="0" shapeId="0">
      <text>
        <t>Thorne Iron Bisglycinate: chelated iron supplement (EOD dosing).</t>
      </text>
    </comment>
    <comment ref="CI53" authorId="0" shapeId="0">
      <text>
        <t>Thorne Iron Bisglycinate: chelated iron supplement (EOD dosing).</t>
      </text>
    </comment>
    <comment ref="CJ53" authorId="0" shapeId="0">
      <text>
        <t>Thorne Iron Bisglycinate: chelated iron supplement (EOD dosing).</t>
      </text>
    </comment>
    <comment ref="CK53" authorId="0" shapeId="0">
      <text>
        <t>Thorne Iron Bisglycinate: chelated iron supplement (EOD dosing).</t>
      </text>
    </comment>
    <comment ref="CL53" authorId="0" shapeId="0">
      <text>
        <t>Thorne Iron Bisglycinate: chelated iron supplement (EOD dosing).</t>
      </text>
    </comment>
    <comment ref="CM53" authorId="0" shapeId="0">
      <text>
        <t>Thorne Iron Bisglycinate: chelated iron supplement (EOD dosing).</t>
      </text>
    </comment>
    <comment ref="CN53" authorId="0" shapeId="0">
      <text>
        <t>Thorne Iron Bisglycinate: chelated iron supplement (EOD dosing).</t>
      </text>
    </comment>
    <comment ref="CO53" authorId="0" shapeId="0">
      <text>
        <t>Thorne Iron Bisglycinate: chelated iron supplement (EOD dosing).</t>
      </text>
    </comment>
    <comment ref="CP53" authorId="0" shapeId="0">
      <text>
        <t>Thorne Iron Bisglycinate: chelated iron supplement (EOD dosing).</t>
      </text>
    </comment>
    <comment ref="CQ53" authorId="0" shapeId="0">
      <text>
        <t>Thorne Iron Bisglycinate: chelated iron supplement (EOD dosing).</t>
      </text>
    </comment>
    <comment ref="CR53" authorId="0" shapeId="0">
      <text>
        <t>Thorne Iron Bisglycinate: chelated iron supplement (EOD dosing).</t>
      </text>
    </comment>
    <comment ref="CS53" authorId="0" shapeId="0">
      <text>
        <t>Thorne Iron Bisglycinate: chelated iron supplement (EOD dosing).</t>
      </text>
    </comment>
    <comment ref="CT53" authorId="0" shapeId="0">
      <text>
        <t>Thorne Iron Bisglycinate: chelated iron supplement (EOD dosing).</t>
      </text>
    </comment>
    <comment ref="CU53" authorId="0" shapeId="0">
      <text>
        <t>Thorne Iron Bisglycinate: chelated iron supplement (EOD dosing).</t>
      </text>
    </comment>
    <comment ref="CV53" authorId="0" shapeId="0">
      <text>
        <t>Thorne Iron Bisglycinate: chelated iron supplement (EOD dosing).</t>
      </text>
    </comment>
    <comment ref="O54" authorId="0" shapeId="0">
      <text>
        <t>Isolated plant sterol supplement. No caloric/macro/micro content beyond phytosterols.</t>
      </text>
    </comment>
    <comment ref="P54" authorId="0" shapeId="0">
      <text>
        <t>Isolated plant sterol supplement. No caloric/macro/micro content beyond phytosterols.</t>
      </text>
    </comment>
    <comment ref="Q54" authorId="0" shapeId="0">
      <text>
        <t>Isolated plant sterol supplement. No caloric/macro/micro content beyond phytosterols.</t>
      </text>
    </comment>
    <comment ref="R54" authorId="0" shapeId="0">
      <text>
        <t>Isolated plant sterol supplement. No caloric/macro/micro content beyond phytosterols.</t>
      </text>
    </comment>
    <comment ref="S54" authorId="0" shapeId="0">
      <text>
        <t>Isolated plant sterol supplement. No caloric/macro/micro content beyond phytosterols.</t>
      </text>
    </comment>
    <comment ref="T54" authorId="0" shapeId="0">
      <text>
        <t>Isolated plant sterol supplement. No caloric/macro/micro content beyond phytosterols.</t>
      </text>
    </comment>
    <comment ref="U54" authorId="0" shapeId="0">
      <text>
        <t>Isolated plant sterol supplement. No caloric/macro/micro content beyond phytosterols.</t>
      </text>
    </comment>
    <comment ref="W54" authorId="0" shapeId="0">
      <text>
        <t>Isolated plant sterol supplement. No caloric/macro/micro content beyond phytosterols.</t>
      </text>
    </comment>
    <comment ref="X54" authorId="0" shapeId="0">
      <text>
        <t>Isolated plant sterol supplement. No caloric/macro/micro content beyond phytosterols.</t>
      </text>
    </comment>
    <comment ref="Y54" authorId="0" shapeId="0">
      <text>
        <t>Isolated plant sterol supplement. No caloric/macro/micro content beyond phytosterols.</t>
      </text>
    </comment>
    <comment ref="Z54" authorId="0" shapeId="0">
      <text>
        <t>Isolated plant sterol supplement. No caloric/macro/micro content beyond phytosterols.</t>
      </text>
    </comment>
    <comment ref="AA54" authorId="0" shapeId="0">
      <text>
        <t>Isolated plant sterol supplement. No caloric/macro/micro content beyond phytosterols.</t>
      </text>
    </comment>
    <comment ref="AB54" authorId="0" shapeId="0">
      <text>
        <t>Isolated plant sterol supplement. No caloric/macro/micro content beyond phytosterols.</t>
      </text>
    </comment>
    <comment ref="AC54" authorId="0" shapeId="0">
      <text>
        <t>Isolated plant sterol supplement. No caloric/macro/micro content beyond phytosterols.</t>
      </text>
    </comment>
    <comment ref="AD54" authorId="0" shapeId="0">
      <text>
        <t>Isolated plant sterol supplement. No caloric/macro/micro content beyond phytosterols.</t>
      </text>
    </comment>
    <comment ref="AE54" authorId="0" shapeId="0">
      <text>
        <t>Isolated plant sterol supplement. No caloric/macro/micro content beyond phytosterols.</t>
      </text>
    </comment>
    <comment ref="AF54" authorId="0" shapeId="0">
      <text>
        <t>Isolated plant sterol supplement. No caloric/macro/micro content beyond phytosterols.</t>
      </text>
    </comment>
    <comment ref="AH54" authorId="0" shapeId="0">
      <text>
        <t>Isolated plant sterol supplement. No caloric/macro/micro content beyond phytosterols.</t>
      </text>
    </comment>
    <comment ref="AJ54" authorId="0" shapeId="0">
      <text>
        <t>Isolated plant sterol supplement. No caloric/macro/micro content beyond phytosterols.</t>
      </text>
    </comment>
    <comment ref="AK54" authorId="0" shapeId="0">
      <text>
        <t>Isolated plant sterol supplement. No caloric/macro/micro content beyond phytosterols.</t>
      </text>
    </comment>
    <comment ref="AL54" authorId="0" shapeId="0">
      <text>
        <t>Isolated plant sterol supplement. No caloric/macro/micro content beyond phytosterols.</t>
      </text>
    </comment>
    <comment ref="AM54" authorId="0" shapeId="0">
      <text>
        <t>Isolated plant sterol supplement. No caloric/macro/micro content beyond phytosterols.</t>
      </text>
    </comment>
    <comment ref="AN54" authorId="0" shapeId="0">
      <text>
        <t>Isolated plant sterol supplement. No caloric/macro/micro content beyond phytosterols.</t>
      </text>
    </comment>
    <comment ref="AO54" authorId="0" shapeId="0">
      <text>
        <t>Isolated plant sterol supplement. No caloric/macro/micro content beyond phytosterols.</t>
      </text>
    </comment>
    <comment ref="AP54" authorId="0" shapeId="0">
      <text>
        <t>Isolated plant sterol supplement. No caloric/macro/micro content beyond phytosterols.</t>
      </text>
    </comment>
    <comment ref="AQ54" authorId="0" shapeId="0">
      <text>
        <t>Isolated plant sterol supplement. No caloric/macro/micro content beyond phytosterols.</t>
      </text>
    </comment>
    <comment ref="AR54" authorId="0" shapeId="0">
      <text>
        <t>Isolated plant sterol supplement. No caloric/macro/micro content beyond phytosterols.</t>
      </text>
    </comment>
    <comment ref="AS54" authorId="0" shapeId="0">
      <text>
        <t>Isolated plant sterol supplement. No caloric/macro/micro content beyond phytosterols.</t>
      </text>
    </comment>
    <comment ref="AT54" authorId="0" shapeId="0">
      <text>
        <t>Isolated plant sterol supplement. No caloric/macro/micro content beyond phytosterols.</t>
      </text>
    </comment>
    <comment ref="AU54" authorId="0" shapeId="0">
      <text>
        <t>Isolated plant sterol supplement. No caloric/macro/micro content beyond phytosterols.</t>
      </text>
    </comment>
    <comment ref="AV54" authorId="0" shapeId="0">
      <text>
        <t>Isolated plant sterol supplement. No caloric/macro/micro content beyond phytosterols.</t>
      </text>
    </comment>
    <comment ref="AW54" authorId="0" shapeId="0">
      <text>
        <t>Isolated plant sterol supplement. No caloric/macro/micro content beyond phytosterols.</t>
      </text>
    </comment>
    <comment ref="AX54" authorId="0" shapeId="0">
      <text>
        <t>Isolated plant sterol supplement. No caloric/macro/micro content beyond phytosterols.</t>
      </text>
    </comment>
    <comment ref="AY54" authorId="0" shapeId="0">
      <text>
        <t>Isolated plant sterol supplement. No caloric/macro/micro content beyond phytosterols.</t>
      </text>
    </comment>
    <comment ref="AZ54" authorId="0" shapeId="0">
      <text>
        <t>Isolated plant sterol supplement. No caloric/macro/micro content beyond phytosterols.</t>
      </text>
    </comment>
    <comment ref="BA54" authorId="0" shapeId="0">
      <text>
        <t>Isolated plant sterol supplement. No caloric/macro/micro content beyond phytosterols.</t>
      </text>
    </comment>
    <comment ref="BB54" authorId="0" shapeId="0">
      <text>
        <t>Isolated plant sterol supplement. No caloric/macro/micro content beyond phytosterols.</t>
      </text>
    </comment>
    <comment ref="BC54" authorId="0" shapeId="0">
      <text>
        <t>Isolated plant sterol supplement. No caloric/macro/micro content beyond phytosterols.</t>
      </text>
    </comment>
    <comment ref="BD54" authorId="0" shapeId="0">
      <text>
        <t>Isolated plant sterol supplement. No caloric/macro/micro content beyond phytosterols.</t>
      </text>
    </comment>
    <comment ref="BE54" authorId="0" shapeId="0">
      <text>
        <t>Isolated plant sterol supplement. No caloric/macro/micro content beyond phytosterols.</t>
      </text>
    </comment>
    <comment ref="BF54" authorId="0" shapeId="0">
      <text>
        <t>Isolated plant sterol supplement. No caloric/macro/micro content beyond phytosterols.</t>
      </text>
    </comment>
    <comment ref="BG54" authorId="0" shapeId="0">
      <text>
        <t>Isolated plant sterol supplement. No caloric/macro/micro content beyond phytosterols.</t>
      </text>
    </comment>
    <comment ref="BH54" authorId="0" shapeId="0">
      <text>
        <t>Isolated plant sterol supplement. No caloric/macro/micro content beyond phytosterols.</t>
      </text>
    </comment>
    <comment ref="BI54" authorId="0" shapeId="0">
      <text>
        <t>Isolated plant sterol supplement. No caloric/macro/micro content beyond phytosterols.</t>
      </text>
    </comment>
    <comment ref="BJ54" authorId="0" shapeId="0">
      <text>
        <t>Isolated plant sterol supplement. No caloric/macro/micro content beyond phytosterols.</t>
      </text>
    </comment>
    <comment ref="BK54" authorId="0" shapeId="0">
      <text>
        <t>Isolated plant sterol supplement. No caloric/macro/micro content beyond phytosterols.</t>
      </text>
    </comment>
    <comment ref="BL54" authorId="0" shapeId="0">
      <text>
        <t>Isolated plant sterol supplement. No caloric/macro/micro content beyond phytosterols.</t>
      </text>
    </comment>
    <comment ref="BM54" authorId="0" shapeId="0">
      <text>
        <t>Isolated plant sterol supplement. No caloric/macro/micro content beyond phytosterols.</t>
      </text>
    </comment>
    <comment ref="BN54" authorId="0" shapeId="0">
      <text>
        <t>Isolated plant sterol supplement. No caloric/macro/micro content beyond phytosterols.</t>
      </text>
    </comment>
    <comment ref="BO54" authorId="0" shapeId="0">
      <text>
        <t>Isolated plant sterol supplement. No caloric/macro/micro content beyond phytosterols.</t>
      </text>
    </comment>
    <comment ref="BP54" authorId="0" shapeId="0">
      <text>
        <t>Isolated plant sterol supplement. No caloric/macro/micro content beyond phytosterols.</t>
      </text>
    </comment>
    <comment ref="BQ54" authorId="0" shapeId="0">
      <text>
        <t>Isolated plant sterol supplement. No caloric/macro/micro content beyond phytosterols.</t>
      </text>
    </comment>
    <comment ref="BR54" authorId="0" shapeId="0">
      <text>
        <t>Isolated plant sterol supplement. No caloric/macro/micro content beyond phytosterols.</t>
      </text>
    </comment>
    <comment ref="BS54" authorId="0" shapeId="0">
      <text>
        <t>Isolated plant sterol supplement. No caloric/macro/micro content beyond phytosterols.</t>
      </text>
    </comment>
    <comment ref="BT54" authorId="0" shapeId="0">
      <text>
        <t>Isolated plant sterol supplement. No caloric/macro/micro content beyond phytosterols.</t>
      </text>
    </comment>
    <comment ref="BU54" authorId="0" shapeId="0">
      <text>
        <t>Isolated plant sterol supplement. No caloric/macro/micro content beyond phytosterols.</t>
      </text>
    </comment>
    <comment ref="BV54" authorId="0" shapeId="0">
      <text>
        <t>Isolated plant sterol supplement. No caloric/macro/micro content beyond phytosterols.</t>
      </text>
    </comment>
    <comment ref="BW54" authorId="0" shapeId="0">
      <text>
        <t>Isolated plant sterol supplement. No caloric/macro/micro content beyond phytosterols.</t>
      </text>
    </comment>
    <comment ref="BX54" authorId="0" shapeId="0">
      <text>
        <t>Isolated plant sterol supplement. No caloric/macro/micro content beyond phytosterols.</t>
      </text>
    </comment>
    <comment ref="BY54" authorId="0" shapeId="0">
      <text>
        <t>Isolated plant sterol supplement. No caloric/macro/micro content beyond phytosterols.</t>
      </text>
    </comment>
    <comment ref="BZ54" authorId="0" shapeId="0">
      <text>
        <t>Isolated plant sterol supplement. No caloric/macro/micro content beyond phytosterols.</t>
      </text>
    </comment>
    <comment ref="CA54" authorId="0" shapeId="0">
      <text>
        <t>Isolated plant sterol supplement. No caloric/macro/micro content beyond phytosterols.</t>
      </text>
    </comment>
    <comment ref="CB54" authorId="0" shapeId="0">
      <text>
        <t>Isolated plant sterol supplement. No caloric/macro/micro content beyond phytosterols.</t>
      </text>
    </comment>
    <comment ref="CC54" authorId="0" shapeId="0">
      <text>
        <t>NOW Foods Plant Sterols label: 450mg CardioAid-S Plant Sterol Esters per softgel. Blend: ~80% beta-sitosterol, ~10% campesterol, ~10% stigmasterol. Full-spectrum.</t>
      </text>
    </comment>
    <comment ref="CD54" authorId="0" shapeId="0">
      <text>
        <t>Isolated plant sterol supplement. No caloric/macro/micro content beyond phytosterols.</t>
      </text>
    </comment>
    <comment ref="CE54" authorId="0" shapeId="0">
      <text>
        <t>Isolated plant sterol supplement. No caloric/macro/micro content beyond phytosterols.</t>
      </text>
    </comment>
    <comment ref="CF54" authorId="0" shapeId="0">
      <text>
        <t>Isolated plant sterol supplement. No caloric/macro/micro content beyond phytosterols.</t>
      </text>
    </comment>
    <comment ref="CG54" authorId="0" shapeId="0">
      <text>
        <t>Isolated plant sterol supplement. No caloric/macro/micro content beyond phytosterols.</t>
      </text>
    </comment>
    <comment ref="CH54" authorId="0" shapeId="0">
      <text>
        <t>Isolated plant sterol supplement. No caloric/macro/micro content beyond phytosterols.</t>
      </text>
    </comment>
    <comment ref="CI54" authorId="0" shapeId="0">
      <text>
        <t>Isolated plant sterol supplement. No caloric/macro/micro content beyond phytosterols.</t>
      </text>
    </comment>
    <comment ref="CJ54" authorId="0" shapeId="0">
      <text>
        <t>Isolated plant sterol supplement. No caloric/macro/micro content beyond phytosterols.</t>
      </text>
    </comment>
    <comment ref="CK54" authorId="0" shapeId="0">
      <text>
        <t>Isolated plant sterol supplement. No caloric/macro/micro content beyond phytosterols.</t>
      </text>
    </comment>
    <comment ref="CL54" authorId="0" shapeId="0">
      <text>
        <t>Isolated plant sterol supplement. No caloric/macro/micro content beyond phytosterols.</t>
      </text>
    </comment>
    <comment ref="CM54" authorId="0" shapeId="0">
      <text>
        <t>Isolated plant sterol supplement. No caloric/macro/micro content beyond phytosterols.</t>
      </text>
    </comment>
    <comment ref="CN54" authorId="0" shapeId="0">
      <text>
        <t>Isolated plant sterol supplement. No caloric/macro/micro content beyond phytosterols.</t>
      </text>
    </comment>
    <comment ref="CO54" authorId="0" shapeId="0">
      <text>
        <t>Isolated plant sterol supplement. No caloric/macro/micro content beyond phytosterols.</t>
      </text>
    </comment>
    <comment ref="CP54" authorId="0" shapeId="0">
      <text>
        <t>Isolated plant sterol supplement. No caloric/macro/micro content beyond phytosterols.</t>
      </text>
    </comment>
    <comment ref="CQ54" authorId="0" shapeId="0">
      <text>
        <t>Isolated plant sterol supplement. No caloric/macro/micro content beyond phytosterols.</t>
      </text>
    </comment>
    <comment ref="CR54" authorId="0" shapeId="0">
      <text>
        <t>Isolated plant sterol supplement. No caloric/macro/micro content beyond phytosterols.</t>
      </text>
    </comment>
    <comment ref="CS54" authorId="0" shapeId="0">
      <text>
        <t>Isolated plant sterol supplement. No caloric/macro/micro content beyond phytosterols.</t>
      </text>
    </comment>
    <comment ref="CT54" authorId="0" shapeId="0">
      <text>
        <t>Isolated plant sterol supplement. No caloric/macro/micro content beyond phytosterols.</t>
      </text>
    </comment>
    <comment ref="CU54" authorId="0" shapeId="0">
      <text>
        <t>Isolated plant sterol supplement. No caloric/macro/micro content beyond phytosterols.</t>
      </text>
    </comment>
    <comment ref="CV54" authorId="0" shapeId="0">
      <text>
        <t>Isolated plant sterol supplement. No caloric/macro/micro content beyond phytosterols.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nutritionvalue.org/Organic_a2%252Fa2_100%25_grass-fed_milk_by_alexandre_family_farm_llc_by_Alexandre_Family_Farm_LLC_2484001_nutritional_value.html" TargetMode="External" Id="rId1" /><Relationship Type="http://schemas.openxmlformats.org/officeDocument/2006/relationships/hyperlink" Target="https://www.nutritionvalue.org/Organic_a2%252Fa2_100%25_grass-fed_milk_by_alexandre_family_farm_llc_by_Alexandre_Family_Farm_LLC_2484001_nutritional_value.html" TargetMode="External" Id="rId2" /><Relationship Type="http://schemas.openxmlformats.org/officeDocument/2006/relationships/hyperlink" Target="https://www.logixpathchef.com/app/food/getfoodnutrition?fdcid=171265" TargetMode="External" Id="rId3" /><Relationship Type="http://schemas.openxmlformats.org/officeDocument/2006/relationships/hyperlink" Target="https://www.logixpathchef.com/app/food/getfoodnutrition?fdcid=171265" TargetMode="External" Id="rId4" /><Relationship Type="http://schemas.openxmlformats.org/officeDocument/2006/relationships/hyperlink" Target="https://www.nutritionvalue.org/Organic_a2%252Fa2_100%25_grass-fed_milk_by_alexandre_family_farm_llc_by_Alexandre_Family_Farm_LLC_2484001_nutritional_value.html" TargetMode="External" Id="rId5" /><Relationship Type="http://schemas.openxmlformats.org/officeDocument/2006/relationships/hyperlink" Target="https://www.nutritionvalue.org/Organic_a2%252Fa2_100%25_grass-fed_milk_by_alexandre_family_farm_llc_by_Alexandre_Family_Farm_LLC_2484001_nutritional_value.html" TargetMode="External" Id="rId6" /><Relationship Type="http://schemas.openxmlformats.org/officeDocument/2006/relationships/hyperlink" Target="https://www.nutritionvalue.org/Organic_a2%252Fa2_100%25_grass-fed_milk_by_alexandre_family_farm_llc_by_Alexandre_Family_Farm_LLC_2484001_nutritional_value.html" TargetMode="External" Id="rId7" /><Relationship Type="http://schemas.openxmlformats.org/officeDocument/2006/relationships/hyperlink" Target="https://www.nutritionvalue.org/Organic_a2%252Fa2_100%25_grass-fed_milk_by_alexandre_family_farm_llc_by_Alexandre_Family_Farm_LLC_2484001_nutritional_value.html" TargetMode="External" Id="rId8" /><Relationship Type="http://schemas.openxmlformats.org/officeDocument/2006/relationships/hyperlink" Target="https://www.nutritionvalue.org/Organic_a2%252Fa2_100%25_grass-fed_milk_by_alexandre_family_farm_llc_by_Alexandre_Family_Farm_LLC_2484001_nutritional_value.html" TargetMode="External" Id="rId9" /><Relationship Type="http://schemas.openxmlformats.org/officeDocument/2006/relationships/hyperlink" Target="https://www.milkfacts.info/Nutrition%20Facts/Nutrient%20Content.htm" TargetMode="External" Id="rId10" /><Relationship Type="http://schemas.openxmlformats.org/officeDocument/2006/relationships/hyperlink" Target="https://www.milkfacts.info/Nutrition%20Facts/Nutrient%20Content.htm" TargetMode="External" Id="rId11" /><Relationship Type="http://schemas.openxmlformats.org/officeDocument/2006/relationships/hyperlink" Target="https://pmc.ncbi.nlm.nih.gov/articles/PMC5980250/" TargetMode="External" Id="rId12" /><Relationship Type="http://schemas.openxmlformats.org/officeDocument/2006/relationships/hyperlink" Target="https://pmc.ncbi.nlm.nih.gov/articles/PMC5980250/" TargetMode="External" Id="rId13" /><Relationship Type="http://schemas.openxmlformats.org/officeDocument/2006/relationships/hyperlink" Target="https://www.logixpathchef.com/app/food/getfoodnutrition?fdcid=746782" TargetMode="External" Id="rId14" /><Relationship Type="http://schemas.openxmlformats.org/officeDocument/2006/relationships/hyperlink" Target="https://www.nutritionvalue.org/Organic_a2%252Fa2_100%25_grass-fed_milk_by_alexandre_family_farm_llc_by_Alexandre_Family_Farm_LLC_2484001_nutritional_value.html" TargetMode="External" Id="rId15" /><Relationship Type="http://schemas.openxmlformats.org/officeDocument/2006/relationships/hyperlink" Target="https://www.nutritionvalue.org/Organic_a2%252Fa2_100%25_grass-fed_milk_by_alexandre_family_farm_llc_by_Alexandre_Family_Farm_LLC_2484001_nutritional_value.html" TargetMode="External" Id="rId16" /><Relationship Type="http://schemas.openxmlformats.org/officeDocument/2006/relationships/hyperlink" Target="https://www.nutritionvalue.org/Organic_a2%252Fa2_100%25_grass-fed_milk_by_alexandre_family_farm_llc_by_Alexandre_Family_Farm_LLC_2484001_nutritional_value.html" TargetMode="External" Id="rId17" /><Relationship Type="http://schemas.openxmlformats.org/officeDocument/2006/relationships/hyperlink" Target="https://www.nutritionvalue.org/Organic_a2%252Fa2_100%25_grass-fed_milk_by_alexandre_family_farm_llc_by_Alexandre_Family_Farm_LLC_2484001_nutritional_value.html" TargetMode="External" Id="rId18" /><Relationship Type="http://schemas.openxmlformats.org/officeDocument/2006/relationships/hyperlink" Target="https://www.logixpathchef.com/app/food/getfoodnutrition?fdcid=746782" TargetMode="External" Id="rId19" /><Relationship Type="http://schemas.openxmlformats.org/officeDocument/2006/relationships/hyperlink" Target="https://www.nutritionvalue.org/Organic_a2%252Fa2_100%25_grass-fed_milk_by_alexandre_family_farm_llc_by_Alexandre_Family_Farm_LLC_2484001_nutritional_value.html" TargetMode="External" Id="rId20" /><Relationship Type="http://schemas.openxmlformats.org/officeDocument/2006/relationships/hyperlink" Target="https://www.logixpathchef.com/app/food/getfoodnutrition?fdcid=746782" TargetMode="External" Id="rId21" /><Relationship Type="http://schemas.openxmlformats.org/officeDocument/2006/relationships/hyperlink" Target="https://www.nutritionvalue.org/Organic_a2%252Fa2_100%25_grass-fed_milk_by_alexandre_family_farm_llc_by_Alexandre_Family_Farm_LLC_2484001_nutritional_value.html" TargetMode="External" Id="rId22" /><Relationship Type="http://schemas.openxmlformats.org/officeDocument/2006/relationships/hyperlink" Target="https://www.logixpathchef.com/app/food/getfoodnutrition?fdcid=746782" TargetMode="External" Id="rId23" /><Relationship Type="http://schemas.openxmlformats.org/officeDocument/2006/relationships/hyperlink" Target="https://www.nutritionvalue.org/Organic_a2%252Fa2_100%25_grass-fed_milk_by_alexandre_family_farm_llc_by_Alexandre_Family_Farm_LLC_2484001_nutritional_value.html" TargetMode="External" Id="rId24" /><Relationship Type="http://schemas.openxmlformats.org/officeDocument/2006/relationships/hyperlink" Target="https://ods.od.nih.gov/factsheets/Molybdenum-HealthProfessional/" TargetMode="External" Id="rId25" /><Relationship Type="http://schemas.openxmlformats.org/officeDocument/2006/relationships/hyperlink" Target="https://www.nutritionvalue.org/Organic_a2%252Fa2_100%25_grass-fed_milk_by_alexandre_family_farm_llc_by_Alexandre_Family_Farm_LLC_2484001_nutritional_value.html" TargetMode="External" Id="rId26" /><Relationship Type="http://schemas.openxmlformats.org/officeDocument/2006/relationships/hyperlink" Target="https://www.logixpathchef.com/app/food/getfoodnutrition?fdcid=746782" TargetMode="External" Id="rId27" /><Relationship Type="http://schemas.openxmlformats.org/officeDocument/2006/relationships/hyperlink" Target="https://www.logixpathchef.com/app/food/getfoodnutrition?fdcid=746782" TargetMode="External" Id="rId28" /><Relationship Type="http://schemas.openxmlformats.org/officeDocument/2006/relationships/hyperlink" Target="https://www.logixpathchef.com/app/food/getfoodnutrition?fdcid=171265" TargetMode="External" Id="rId29" /><Relationship Type="http://schemas.openxmlformats.org/officeDocument/2006/relationships/hyperlink" Target="https://www.logixpathchef.com/app/food/getfoodnutrition?fdcid=171265" TargetMode="External" Id="rId30" /><Relationship Type="http://schemas.openxmlformats.org/officeDocument/2006/relationships/hyperlink" Target="https://www.logixpathchef.com/app/food/getfoodnutrition?fdcid=746782" TargetMode="External" Id="rId31" /><Relationship Type="http://schemas.openxmlformats.org/officeDocument/2006/relationships/hyperlink" Target="https://www.ars.usda.gov/ARSUserFiles/80400535/DATA/IODINE/IODINE_DATABASE_PDFVersion_2020.PDF" TargetMode="External" Id="rId32" /><Relationship Type="http://schemas.openxmlformats.org/officeDocument/2006/relationships/hyperlink" Target="https://www.ncbi.nlm.nih.gov/books/NBK599072/table/ch6.tab3/" TargetMode="External" Id="rId33" /><Relationship Type="http://schemas.openxmlformats.org/officeDocument/2006/relationships/hyperlink" Target="https://www.logixpathchef.com/app/food/getfoodnutrition?fdcid=746782" TargetMode="External" Id="rId34" /><Relationship Type="http://schemas.openxmlformats.org/officeDocument/2006/relationships/hyperlink" Target="https://www.milkfacts.info/Nutrition%20Facts/Nutrient%20Content.htm" TargetMode="External" Id="rId35" /><Relationship Type="http://schemas.openxmlformats.org/officeDocument/2006/relationships/hyperlink" Target="https://pmc.ncbi.nlm.nih.gov/articles/PMC7278753/" TargetMode="External" Id="rId36" /><Relationship Type="http://schemas.openxmlformats.org/officeDocument/2006/relationships/hyperlink" Target="https://www.logixpathchef.com/app/food/getfoodnutrition?fdcid=746782" TargetMode="External" Id="rId37" /><Relationship Type="http://schemas.openxmlformats.org/officeDocument/2006/relationships/hyperlink" Target="https://www.milkfacts.info/Nutrition%20Facts/Nutrient%20Content.htm" TargetMode="External" Id="rId38" /><Relationship Type="http://schemas.openxmlformats.org/officeDocument/2006/relationships/hyperlink" Target="https://www.logixpathchef.com/app/food/getfoodnutrition?fdcid=171265" TargetMode="External" Id="rId39" /><Relationship Type="http://schemas.openxmlformats.org/officeDocument/2006/relationships/hyperlink" Target="https://pmc.ncbi.nlm.nih.gov/articles/PMC5998353/" TargetMode="External" Id="rId40" /><Relationship Type="http://schemas.openxmlformats.org/officeDocument/2006/relationships/hyperlink" Target="https://www.logixpathchef.com/app/food/getfoodnutrition?fdcid=746782" TargetMode="External" Id="rId41" /><Relationship Type="http://schemas.openxmlformats.org/officeDocument/2006/relationships/hyperlink" Target="https://www.logixpathchef.com/app/food/getfoodnutrition?fdcid=746782" TargetMode="External" Id="rId42" /><Relationship Type="http://schemas.openxmlformats.org/officeDocument/2006/relationships/hyperlink" Target="https://www.logixpathchef.com/app/food/getfoodnutrition?fdcid=746782" TargetMode="External" Id="rId43" /><Relationship Type="http://schemas.openxmlformats.org/officeDocument/2006/relationships/hyperlink" Target="https://www.logixpathchef.com/app/food/getfoodnutrition?fdcid=746782" TargetMode="External" Id="rId44" /><Relationship Type="http://schemas.openxmlformats.org/officeDocument/2006/relationships/hyperlink" Target="https://www.milkfacts.info/Nutrition%20Facts/Nutrient%20Content.htm" TargetMode="External" Id="rId45" /><Relationship Type="http://schemas.openxmlformats.org/officeDocument/2006/relationships/hyperlink" Target="https://www.logixpathchef.com/app/food/getfoodnutrition?fdcid=746782" TargetMode="External" Id="rId46" /><Relationship Type="http://schemas.openxmlformats.org/officeDocument/2006/relationships/hyperlink" Target="https://nutrivore.com/foods/whole-milk-nutrients/" TargetMode="External" Id="rId47" /><Relationship Type="http://schemas.openxmlformats.org/officeDocument/2006/relationships/hyperlink" Target="https://www.logixpathchef.com/app/food/getfoodnutrition?fdcid=746782" TargetMode="External" Id="rId48" /><Relationship Type="http://schemas.openxmlformats.org/officeDocument/2006/relationships/hyperlink" Target="https://pmc.ncbi.nlm.nih.gov/articles/PMC5980250/" TargetMode="External" Id="rId49" /><Relationship Type="http://schemas.openxmlformats.org/officeDocument/2006/relationships/hyperlink" Target="https://pmc.ncbi.nlm.nih.gov/articles/PMC5980250/" TargetMode="External" Id="rId50" /><Relationship Type="http://schemas.openxmlformats.org/officeDocument/2006/relationships/hyperlink" Target="https://www.nutritionvalue.org/Organic_a2%252Fa2_100%25_grass-fed_milk_by_alexandre_family_farm_llc_by_Alexandre_Family_Farm_LLC_2484001_nutritional_value.html" TargetMode="External" Id="rId51" /><Relationship Type="http://schemas.openxmlformats.org/officeDocument/2006/relationships/hyperlink" Target="https://www.nutritionvalue.org/Organic_a2%252Fa2_100%25_grass-fed_milk_by_alexandre_family_farm_llc_by_Alexandre_Family_Farm_LLC_2484001_nutritional_value.html" TargetMode="External" Id="rId52" /><Relationship Type="http://schemas.openxmlformats.org/officeDocument/2006/relationships/hyperlink" Target="https://www.nutritionvalue.org/Organic_a2%252Fa2_100%25_grass-fed_milk_by_alexandre_family_farm_llc_by_Alexandre_Family_Farm_LLC_2484001_nutritional_value.html" TargetMode="External" Id="rId53" /><Relationship Type="http://schemas.openxmlformats.org/officeDocument/2006/relationships/hyperlink" Target="https://www.nutritionvalue.org/Organic_a2%252Fa2_100%25_grass-fed_milk_by_alexandre_family_farm_llc_by_Alexandre_Family_Farm_LLC_2484001_nutritional_value.html" TargetMode="External" Id="rId54" /><Relationship Type="http://schemas.openxmlformats.org/officeDocument/2006/relationships/hyperlink" Target="https://www.nutritionvalue.org/Organic_a2%252Fa2_100%25_grass-fed_milk_by_alexandre_family_farm_llc_by_Alexandre_Family_Farm_LLC_2484001_nutritional_value.html" TargetMode="External" Id="rId55" /><Relationship Type="http://schemas.openxmlformats.org/officeDocument/2006/relationships/hyperlink" Target="https://www.nutritionvalue.org/Organic_a2%252Fa2_100%25_grass-fed_milk_by_alexandre_family_farm_llc_by_Alexandre_Family_Farm_LLC_2484001_nutritional_value.html" TargetMode="External" Id="rId56" /><Relationship Type="http://schemas.openxmlformats.org/officeDocument/2006/relationships/hyperlink" Target="https://www.nutritionvalue.org/Organic_a2%252Fa2_100%25_grass-fed_milk_by_alexandre_family_farm_llc_by_Alexandre_Family_Farm_LLC_2484001_nutritional_value.html" TargetMode="External" Id="rId57" /><Relationship Type="http://schemas.openxmlformats.org/officeDocument/2006/relationships/hyperlink" Target="https://www.nutritionvalue.org/Organic_a2%252Fa2_100%25_grass-fed_milk_by_alexandre_family_farm_llc_by_Alexandre_Family_Farm_LLC_2484001_nutritional_value.html" TargetMode="External" Id="rId58" /><Relationship Type="http://schemas.openxmlformats.org/officeDocument/2006/relationships/hyperlink" Target="https://nutrivore.com/foods/whole-milk-nutrients/" TargetMode="External" Id="rId59" /><Relationship Type="http://schemas.openxmlformats.org/officeDocument/2006/relationships/hyperlink" Target="https://nutrivore.com/foods/whole-milk-nutrients/" TargetMode="External" Id="rId60" /><Relationship Type="http://schemas.openxmlformats.org/officeDocument/2006/relationships/hyperlink" Target="https://www.nutritionvalue.org/Organic_a2%252Fa2_100%25_grass-fed_milk_by_alexandre_family_farm_llc_by_Alexandre_Family_Farm_LLC_2484001_nutritional_value.html" TargetMode="External" Id="rId61" /><Relationship Type="http://schemas.openxmlformats.org/officeDocument/2006/relationships/hyperlink" Target="https://www.nutritionvalue.org/Organic_a2%252Fa2_100%25_grass-fed_milk_by_alexandre_family_farm_llc_by_Alexandre_Family_Farm_LLC_2484001_nutritional_value.html" TargetMode="External" Id="rId62" /><Relationship Type="http://schemas.openxmlformats.org/officeDocument/2006/relationships/hyperlink" Target="https://www.nutritionvalue.org/Organic_a2%252Fa2_100%25_grass-fed_milk_by_alexandre_family_farm_llc_by_Alexandre_Family_Farm_LLC_2484001_nutritional_value.html" TargetMode="External" Id="rId63" /><Relationship Type="http://schemas.openxmlformats.org/officeDocument/2006/relationships/hyperlink" Target="https://www.logixpathchef.com/app/food/getfoodnutrition?fdcid=746782" TargetMode="External" Id="rId64" /><Relationship Type="http://schemas.openxmlformats.org/officeDocument/2006/relationships/hyperlink" Target="https://www.nutritionvalue.org/Organic_a2%252Fa2_100%25_grass-fed_milk_by_alexandre_family_farm_llc_by_Alexandre_Family_Farm_LLC_2484001_nutritional_value.html" TargetMode="External" Id="rId65" /><Relationship Type="http://schemas.openxmlformats.org/officeDocument/2006/relationships/hyperlink" Target="https://pmc.ncbi.nlm.nih.gov/articles/PMC6637774/" TargetMode="External" Id="rId66" /><Relationship Type="http://schemas.openxmlformats.org/officeDocument/2006/relationships/hyperlink" Target="https://www.logixpathchef.com/app/food/getfoodnutrition?fdcid=171265" TargetMode="External" Id="rId67" /><Relationship Type="http://schemas.openxmlformats.org/officeDocument/2006/relationships/hyperlink" Target="https://www.nutritionvalue.org/Organic_a2%252Fa2_100%25_grass-fed_milk_by_alexandre_family_farm_llc_by_Alexandre_Family_Farm_LLC_2484001_nutritional_value.html" TargetMode="External" Id="rId68" /><Relationship Type="http://schemas.openxmlformats.org/officeDocument/2006/relationships/hyperlink" Target="https://www.nutritionvalue.org/Organic_a2%252Fa2_100%25_grass-fed_milk_by_alexandre_family_farm_llc_by_Alexandre_Family_Farm_LLC_2484001_nutritional_value.html" TargetMode="External" Id="rId69" /><Relationship Type="http://schemas.openxmlformats.org/officeDocument/2006/relationships/hyperlink" Target="https://pubmed.ncbi.nlm.nih.gov/22779912/" TargetMode="External" Id="rId70" /><Relationship Type="http://schemas.openxmlformats.org/officeDocument/2006/relationships/hyperlink" Target="https://nutrivore.com/foods/whole-milk-nutrients/" TargetMode="External" Id="rId71" /><Relationship Type="http://schemas.openxmlformats.org/officeDocument/2006/relationships/hyperlink" Target="https://www.nutritionvalue.org/Organic_a2%252Fa2_100%25_grass-fed_milk_by_alexandre_family_farm_llc_by_Alexandre_Family_Farm_LLC_2484001_nutritional_value.html" TargetMode="External" Id="rId72" /><Relationship Type="http://schemas.openxmlformats.org/officeDocument/2006/relationships/hyperlink" Target="https://www.logixpathchef.com/app/food/getfoodnutrition?fdcid=171265" TargetMode="External" Id="rId73" /><Relationship Type="http://schemas.openxmlformats.org/officeDocument/2006/relationships/hyperlink" Target="https://www.nutritionvalue.org/Organic_a2%252Fa2_100%25_grass-fed_milk_by_alexandre_family_farm_llc_by_Alexandre_Family_Farm_LLC_2484001_nutritional_value.html" TargetMode="External" Id="rId74" /><Relationship Type="http://schemas.openxmlformats.org/officeDocument/2006/relationships/hyperlink" Target="https://www.nutritionvalue.org/Organic_a2%252Fa2_100%25_grass-fed_milk_by_alexandre_family_farm_llc_by_Alexandre_Family_Farm_LLC_2484001_nutritional_value.html" TargetMode="External" Id="rId75" /><Relationship Type="http://schemas.openxmlformats.org/officeDocument/2006/relationships/hyperlink" Target="https://www.nutritionvalue.org/Organic_a2%252Fa2_100%25_grass-fed_milk_by_alexandre_family_farm_llc_by_Alexandre_Family_Farm_LLC_2484001_nutritional_value.html" TargetMode="External" Id="rId76" /><Relationship Type="http://schemas.openxmlformats.org/officeDocument/2006/relationships/hyperlink" Target="https://www.nutritionvalue.org/Organic_a2%252Fa2_100%25_grass-fed_milk_by_alexandre_family_farm_llc_by_Alexandre_Family_Farm_LLC_2484001_nutritional_value.html" TargetMode="External" Id="rId77" /><Relationship Type="http://schemas.openxmlformats.org/officeDocument/2006/relationships/hyperlink" Target="https://www.logixpathchef.com/app/food/getfoodnutrition?fdcid=171265" TargetMode="External" Id="rId78" /><Relationship Type="http://schemas.openxmlformats.org/officeDocument/2006/relationships/hyperlink" Target="https://www.nutritionvalue.org/Organic_a2%252Fa2_100%25_grass-fed_milk_by_alexandre_family_farm_llc_by_Alexandre_Family_Farm_LLC_2484001_nutritional_value.html" TargetMode="External" Id="rId79" /><Relationship Type="http://schemas.openxmlformats.org/officeDocument/2006/relationships/hyperlink" Target="https://www.fda.gov/media/159745/download" TargetMode="External" Id="rId80" /><Relationship Type="http://schemas.openxmlformats.org/officeDocument/2006/relationships/hyperlink" Target="https://www.fda.gov/media/159745/download" TargetMode="External" Id="rId81" /><Relationship Type="http://schemas.openxmlformats.org/officeDocument/2006/relationships/hyperlink" Target="https://www.fda.gov/media/159745/download" TargetMode="External" Id="rId82" /><Relationship Type="http://schemas.openxmlformats.org/officeDocument/2006/relationships/hyperlink" Target="https://www.fda.gov/media/159745/download" TargetMode="External" Id="rId83" /><Relationship Type="http://schemas.openxmlformats.org/officeDocument/2006/relationships/hyperlink" Target="https://www.woodstock-foods.com/the-goods/product.organic-frozen-mixed-berries-value-size-042563018221.html" TargetMode="External" Id="rId84" /><Relationship Type="http://schemas.openxmlformats.org/officeDocument/2006/relationships/hyperlink" Target="https://www.woodstock-foods.com/the-goods/product.organic-frozen-mixed-berries-value-size-042563018221.html" TargetMode="External" Id="rId85" /><Relationship Type="http://schemas.openxmlformats.org/officeDocument/2006/relationships/hyperlink" Target="https://www.woodstock-foods.com/the-goods/product.organic-frozen-mixed-berries-value-size-042563018221.html" TargetMode="External" Id="rId86" /><Relationship Type="http://schemas.openxmlformats.org/officeDocument/2006/relationships/hyperlink" Target="https://www.woodstock-foods.com/the-goods/product.organic-frozen-mixed-berries-value-size-042563018221.html" TargetMode="External" Id="rId87" /><Relationship Type="http://schemas.openxmlformats.org/officeDocument/2006/relationships/hyperlink" Target="https://www.woodstock-foods.com/the-goods/product.organic-frozen-mixed-berries-value-size-042563018221.html" TargetMode="External" Id="rId88" /><Relationship Type="http://schemas.openxmlformats.org/officeDocument/2006/relationships/hyperlink" Target="https://www.woodstock-foods.com/the-goods/product.organic-frozen-mixed-berries-value-size-042563018221.html" TargetMode="External" Id="rId89" /><Relationship Type="http://schemas.openxmlformats.org/officeDocument/2006/relationships/hyperlink" Target="https://www.woodstock-foods.com/the-goods/product.organic-frozen-mixed-berries-value-size-042563018221.html" TargetMode="External" Id="rId90" /><Relationship Type="http://schemas.openxmlformats.org/officeDocument/2006/relationships/hyperlink" Target="https://www.woodstock-foods.com/the-goods/product.organic-frozen-mixed-berries-value-size-042563018221.html" TargetMode="External" Id="rId91" /><Relationship Type="http://schemas.openxmlformats.org/officeDocument/2006/relationships/hyperlink" Target="https://www.logixpathchef.com/app/food/getfoodnutrition?fdcid=168173" TargetMode="External" Id="rId92" /><Relationship Type="http://schemas.openxmlformats.org/officeDocument/2006/relationships/hyperlink" Target="https://www.logixpathchef.com/app/food/getfoodnutrition?fdcid=173950" TargetMode="External" Id="rId93" /><Relationship Type="http://schemas.openxmlformats.org/officeDocument/2006/relationships/hyperlink" Target="https://www.logixpathchef.com/app/food/getfoodnutrition?fdcid=173950" TargetMode="External" Id="rId94" /><Relationship Type="http://schemas.openxmlformats.org/officeDocument/2006/relationships/hyperlink" Target="https://www.logixpathchef.com/app/food/getfoodnutrition?fdcid=173950" TargetMode="External" Id="rId95" /><Relationship Type="http://schemas.openxmlformats.org/officeDocument/2006/relationships/hyperlink" Target="https://www.logixpathchef.com/app/food/getfoodnutrition?fdcid=173950" TargetMode="External" Id="rId96" /><Relationship Type="http://schemas.openxmlformats.org/officeDocument/2006/relationships/hyperlink" Target="https://www.woodstock-foods.com/the-goods/product.organic-frozen-mixed-berries-value-size-042563018221.html" TargetMode="External" Id="rId97" /><Relationship Type="http://schemas.openxmlformats.org/officeDocument/2006/relationships/hyperlink" Target="https://www.woodstock-foods.com/the-goods/product.organic-frozen-mixed-berries-value-size-042563018221.html" TargetMode="External" Id="rId98" /><Relationship Type="http://schemas.openxmlformats.org/officeDocument/2006/relationships/hyperlink" Target="https://www.woodstock-foods.com/the-goods/product.organic-frozen-mixed-berries-value-size-042563018221.html" TargetMode="External" Id="rId99" /><Relationship Type="http://schemas.openxmlformats.org/officeDocument/2006/relationships/hyperlink" Target="https://www.woodstock-foods.com/the-goods/product.organic-frozen-mixed-berries-value-size-042563018221.html" TargetMode="External" Id="rId100" /><Relationship Type="http://schemas.openxmlformats.org/officeDocument/2006/relationships/hyperlink" Target="https://www.woodstock-foods.com/the-goods/product.organic-frozen-mixed-berries-value-size-042563018221.html" TargetMode="External" Id="rId101" /><Relationship Type="http://schemas.openxmlformats.org/officeDocument/2006/relationships/hyperlink" Target="https://www.logixpathchef.com/app/food/getfoodnutrition?fdcid=167755" TargetMode="External" Id="rId102" /><Relationship Type="http://schemas.openxmlformats.org/officeDocument/2006/relationships/hyperlink" Target="https://www.woodstock-foods.com/the-goods/product.organic-frozen-mixed-berries-value-size-042563018221.html" TargetMode="External" Id="rId103" /><Relationship Type="http://schemas.openxmlformats.org/officeDocument/2006/relationships/hyperlink" Target="https://www.logixpathchef.com/app/food/getfoodnutrition?fdcid=167755" TargetMode="External" Id="rId104" /><Relationship Type="http://schemas.openxmlformats.org/officeDocument/2006/relationships/hyperlink" Target="https://www.logixpathchef.com/app/food/getfoodnutrition?fdcid=168173" TargetMode="External" Id="rId105" /><Relationship Type="http://schemas.openxmlformats.org/officeDocument/2006/relationships/hyperlink" Target="https://www.logixpathchef.com/app/food/getfoodnutrition?fdcid=167755" TargetMode="External" Id="rId106" /><Relationship Type="http://schemas.openxmlformats.org/officeDocument/2006/relationships/hyperlink" Target="https://www.logixpathchef.com/app/food/getfoodnutrition?fdcid=168173" TargetMode="External" Id="rId107" /><Relationship Type="http://schemas.openxmlformats.org/officeDocument/2006/relationships/hyperlink" Target="https://www.logixpathchef.com/app/food/getfoodnutrition?fdcid=168173" TargetMode="External" Id="rId108" /><Relationship Type="http://schemas.openxmlformats.org/officeDocument/2006/relationships/hyperlink" Target="https://www.woodstock-foods.com/the-goods/product.organic-frozen-mixed-berries-value-size-042563018221.html" TargetMode="External" Id="rId109" /><Relationship Type="http://schemas.openxmlformats.org/officeDocument/2006/relationships/hyperlink" Target="https://www.logixpathchef.com/app/food/getfoodnutrition?fdcid=173946" TargetMode="External" Id="rId110" /><Relationship Type="http://schemas.openxmlformats.org/officeDocument/2006/relationships/hyperlink" Target="https://www.logixpathchef.com/app/food/getfoodnutrition?fdcid=168173" TargetMode="External" Id="rId111" /><Relationship Type="http://schemas.openxmlformats.org/officeDocument/2006/relationships/hyperlink" Target="https://www.logixpathchef.com/app/food/getfoodnutrition?fdcid=173946" TargetMode="External" Id="rId112" /><Relationship Type="http://schemas.openxmlformats.org/officeDocument/2006/relationships/hyperlink" Target="https://www.logixpathchef.com/app/food/getfoodnutrition?fdcid=173946" TargetMode="External" Id="rId113" /><Relationship Type="http://schemas.openxmlformats.org/officeDocument/2006/relationships/hyperlink" Target="https://www.logixpathchef.com/app/food/getfoodnutrition?fdcid=168173" TargetMode="External" Id="rId114" /><Relationship Type="http://schemas.openxmlformats.org/officeDocument/2006/relationships/hyperlink" Target="https://www.ars.usda.gov/ARSUserFiles/80400535/DATA/IODINE/IODINE_DATABASE_PDFVersion_2020.PDF" TargetMode="External" Id="rId115" /><Relationship Type="http://schemas.openxmlformats.org/officeDocument/2006/relationships/hyperlink" Target="https://www.ncbi.nlm.nih.gov/books/NBK599072/table/ch6.tab3/" TargetMode="External" Id="rId116" /><Relationship Type="http://schemas.openxmlformats.org/officeDocument/2006/relationships/hyperlink" Target="https://www.logixpathchef.com/app/food/getfoodnutrition?fdcid=173946" TargetMode="External" Id="rId117" /><Relationship Type="http://schemas.openxmlformats.org/officeDocument/2006/relationships/hyperlink" Target="https://www.logixpathchef.com/app/food/getfoodnutrition?fdcid=168173" TargetMode="External" Id="rId118" /><Relationship Type="http://schemas.openxmlformats.org/officeDocument/2006/relationships/hyperlink" Target="https://www.woodstock-foods.com/the-goods/product.organic-frozen-mixed-berries-value-size-042563018221.html" TargetMode="External" Id="rId119" /><Relationship Type="http://schemas.openxmlformats.org/officeDocument/2006/relationships/hyperlink" Target="https://www.logixpathchef.com/app/food/getfoodnutrition?fdcid=173946" TargetMode="External" Id="rId120" /><Relationship Type="http://schemas.openxmlformats.org/officeDocument/2006/relationships/hyperlink" Target="https://www.logixpathchef.com/app/food/getfoodnutrition?fdcid=173946" TargetMode="External" Id="rId121" /><Relationship Type="http://schemas.openxmlformats.org/officeDocument/2006/relationships/hyperlink" Target="https://www.woodstock-foods.com/the-goods/product.organic-frozen-mixed-berries-value-size-042563018221.html" TargetMode="External" Id="rId122" /><Relationship Type="http://schemas.openxmlformats.org/officeDocument/2006/relationships/hyperlink" Target="https://www.woodstock-foods.com/the-goods/product.organic-frozen-mixed-berries-value-size-042563018221.html" TargetMode="External" Id="rId123" /><Relationship Type="http://schemas.openxmlformats.org/officeDocument/2006/relationships/hyperlink" Target="https://www.logixpathchef.com/app/food/getfoodnutrition?fdcid=168173" TargetMode="External" Id="rId124" /><Relationship Type="http://schemas.openxmlformats.org/officeDocument/2006/relationships/hyperlink" Target="https://www.logixpathchef.com/app/food/getfoodnutrition?fdcid=168173" TargetMode="External" Id="rId125" /><Relationship Type="http://schemas.openxmlformats.org/officeDocument/2006/relationships/hyperlink" Target="https://www.logixpathchef.com/app/food/getfoodnutrition?fdcid=173946" TargetMode="External" Id="rId126" /><Relationship Type="http://schemas.openxmlformats.org/officeDocument/2006/relationships/hyperlink" Target="https://www.logixpathchef.com/app/food/getfoodnutrition?fdcid=173950" TargetMode="External" Id="rId127" /><Relationship Type="http://schemas.openxmlformats.org/officeDocument/2006/relationships/hyperlink" Target="https://www.logixpathchef.com/app/food/getfoodnutrition?fdcid=173946" TargetMode="External" Id="rId128" /><Relationship Type="http://schemas.openxmlformats.org/officeDocument/2006/relationships/hyperlink" Target="https://www.woodstock-foods.com/the-goods/product.organic-frozen-mixed-berries-value-size-042563018221.html" TargetMode="External" Id="rId129" /><Relationship Type="http://schemas.openxmlformats.org/officeDocument/2006/relationships/hyperlink" Target="https://ods.od.nih.gov/factsheets/Biotin-HealthProfessional/" TargetMode="External" Id="rId130" /><Relationship Type="http://schemas.openxmlformats.org/officeDocument/2006/relationships/hyperlink" Target="https://www.logixpathchef.com/app/food/getfoodnutrition?fdcid=167755" TargetMode="External" Id="rId131" /><Relationship Type="http://schemas.openxmlformats.org/officeDocument/2006/relationships/hyperlink" Target="https://www.woodstock-foods.com/the-goods/product.organic-frozen-mixed-berries-value-size-042563018221.html" TargetMode="External" Id="rId132" /><Relationship Type="http://schemas.openxmlformats.org/officeDocument/2006/relationships/hyperlink" Target="https://www.woodstock-foods.com/the-goods/product.organic-frozen-mixed-berries-value-size-042563018221.html" TargetMode="External" Id="rId133" /><Relationship Type="http://schemas.openxmlformats.org/officeDocument/2006/relationships/hyperlink" Target="https://www.ars.usda.gov/ARSUserFiles/80400535/Data/Flav/Flav3.3.pdf" TargetMode="External" Id="rId134" /><Relationship Type="http://schemas.openxmlformats.org/officeDocument/2006/relationships/hyperlink" Target="https://www.woodstock-foods.com/the-goods/product.organic-frozen-mixed-berries-value-size-042563018221.html" TargetMode="External" Id="rId135" /><Relationship Type="http://schemas.openxmlformats.org/officeDocument/2006/relationships/hyperlink" Target="https://www.woodstock-foods.com/the-goods/product.organic-frozen-mixed-berries-value-size-042563018221.html" TargetMode="External" Id="rId136" /><Relationship Type="http://schemas.openxmlformats.org/officeDocument/2006/relationships/hyperlink" Target="http://www.electrochemsci.org/papers/vol6/6104638.pdf" TargetMode="External" Id="rId137" /><Relationship Type="http://schemas.openxmlformats.org/officeDocument/2006/relationships/hyperlink" Target="https://www.ars.usda.gov/ARSUserFiles/80400535/Data/PA/PA02-1.pdf" TargetMode="External" Id="rId138" /><Relationship Type="http://schemas.openxmlformats.org/officeDocument/2006/relationships/hyperlink" Target="https://www.woodstock-foods.com/the-goods/product.organic-frozen-mixed-berries-value-size-042563018221.html" TargetMode="External" Id="rId139" /><Relationship Type="http://schemas.openxmlformats.org/officeDocument/2006/relationships/hyperlink" Target="https://www.ars.usda.gov/ARSUserFiles/80400535/Data/Flav/Flav3.3.pdf" TargetMode="External" Id="rId140" /><Relationship Type="http://schemas.openxmlformats.org/officeDocument/2006/relationships/hyperlink" Target="https://www.cambridge.org/core/services/aop-cambridge-core/content/view/9AAD5BFE984EF28D7DC741C0ECE73724/S0007114505000504a.pdf/lignan_contents_of_dutch_plant_foods_a_database_including_lariciresinol_pinoresinol_secoisolariciresinol_and_matairesinol.pdf" TargetMode="External" Id="rId141" /><Relationship Type="http://schemas.openxmlformats.org/officeDocument/2006/relationships/hyperlink" Target="https://www.logixpathchef.com/app/food/getfoodnutrition?fdcid=173946" TargetMode="External" Id="rId142" /><Relationship Type="http://schemas.openxmlformats.org/officeDocument/2006/relationships/hyperlink" Target="https://www.logixpathchef.com/app/food/getfoodnutrition?fdcid=173946" TargetMode="External" Id="rId143" /><Relationship Type="http://schemas.openxmlformats.org/officeDocument/2006/relationships/hyperlink" Target="https://www.woodstock-foods.com/the-goods/product.organic-frozen-mixed-berries-value-size-042563018221.html" TargetMode="External" Id="rId144" /><Relationship Type="http://schemas.openxmlformats.org/officeDocument/2006/relationships/hyperlink" Target="https://www.woodstock-foods.com/the-goods/product.organic-frozen-mixed-berries-value-size-042563018221.html" TargetMode="External" Id="rId145" /><Relationship Type="http://schemas.openxmlformats.org/officeDocument/2006/relationships/hyperlink" Target="https://www.woodstock-foods.com/the-goods/product.organic-frozen-mixed-berries-value-size-042563018221.html" TargetMode="External" Id="rId146" /><Relationship Type="http://schemas.openxmlformats.org/officeDocument/2006/relationships/hyperlink" Target="https://www.logixpathchef.com/app/food/getfoodnutrition?fdcid=168173" TargetMode="External" Id="rId147" /><Relationship Type="http://schemas.openxmlformats.org/officeDocument/2006/relationships/hyperlink" Target="https://www.logixpathchef.com/app/food/getfoodnutrition?fdcid=168173" TargetMode="External" Id="rId148" /><Relationship Type="http://schemas.openxmlformats.org/officeDocument/2006/relationships/hyperlink" Target="https://pmc.ncbi.nlm.nih.gov/articles/PMC3022763/" TargetMode="External" Id="rId149" /><Relationship Type="http://schemas.openxmlformats.org/officeDocument/2006/relationships/hyperlink" Target="https://www.logixpathchef.com/app/food/getfoodnutrition?fdcid=173950" TargetMode="External" Id="rId150" /><Relationship Type="http://schemas.openxmlformats.org/officeDocument/2006/relationships/hyperlink" Target="https://www.woodstock-foods.com/the-goods/product.organic-frozen-mixed-berries-value-size-042563018221.html" TargetMode="External" Id="rId151" /><Relationship Type="http://schemas.openxmlformats.org/officeDocument/2006/relationships/hyperlink" Target="https://www.woodstock-foods.com/the-goods/product.organic-frozen-mixed-berries-value-size-042563018221.html" TargetMode="External" Id="rId152" /><Relationship Type="http://schemas.openxmlformats.org/officeDocument/2006/relationships/hyperlink" Target="https://www.woodstock-foods.com/the-goods/product.organic-frozen-mixed-berries-value-size-042563018221.html" TargetMode="External" Id="rId153" /><Relationship Type="http://schemas.openxmlformats.org/officeDocument/2006/relationships/hyperlink" Target="https://www.woodstock-foods.com/the-goods/product.organic-frozen-mixed-berries-value-size-042563018221.html" TargetMode="External" Id="rId154" /><Relationship Type="http://schemas.openxmlformats.org/officeDocument/2006/relationships/hyperlink" Target="https://www.woodstock-foods.com/the-goods/product.organic-frozen-mixed-berries-value-size-042563018221.html" TargetMode="External" Id="rId155" /><Relationship Type="http://schemas.openxmlformats.org/officeDocument/2006/relationships/hyperlink" Target="https://www.logixpathchef.com/app/food/getfoodnutrition?fdcid=168173" TargetMode="External" Id="rId156" /><Relationship Type="http://schemas.openxmlformats.org/officeDocument/2006/relationships/hyperlink" Target="https://www.woodstock-foods.com/the-goods/product.organic-frozen-mixed-berries-value-size-042563018221.html" TargetMode="External" Id="rId157" /><Relationship Type="http://schemas.openxmlformats.org/officeDocument/2006/relationships/hyperlink" Target="https://www.woodstock-foods.com/the-goods/product.organic-frozen-mixed-berries-value-size-042563018221.html" TargetMode="External" Id="rId158" /><Relationship Type="http://schemas.openxmlformats.org/officeDocument/2006/relationships/hyperlink" Target="https://www.woodstock-foods.com/the-goods/product.organic-frozen-mixed-berries-value-size-042563018221.html" TargetMode="External" Id="rId159" /><Relationship Type="http://schemas.openxmlformats.org/officeDocument/2006/relationships/hyperlink" Target="https://www.woodstock-foods.com/the-goods/product.organic-frozen-mixed-berries-value-size-042563018221.html" TargetMode="External" Id="rId160" /><Relationship Type="http://schemas.openxmlformats.org/officeDocument/2006/relationships/hyperlink" Target="https://www.logixpathchef.com/app/food/getfoodnutrition?fdcid=173946" TargetMode="External" Id="rId161" /><Relationship Type="http://schemas.openxmlformats.org/officeDocument/2006/relationships/hyperlink" Target="https://www.woodstock-foods.com/the-goods/product.organic-frozen-mixed-berries-value-size-042563018221.html" TargetMode="External" Id="rId162" /><Relationship Type="http://schemas.openxmlformats.org/officeDocument/2006/relationships/hyperlink" Target="https://www.fda.gov/media/159745/download" TargetMode="External" Id="rId163" /><Relationship Type="http://schemas.openxmlformats.org/officeDocument/2006/relationships/hyperlink" Target="https://www.fda.gov/media/159745/download" TargetMode="External" Id="rId164" /><Relationship Type="http://schemas.openxmlformats.org/officeDocument/2006/relationships/hyperlink" Target="https://www.fda.gov/media/159745/download" TargetMode="External" Id="rId165" /><Relationship Type="http://schemas.openxmlformats.org/officeDocument/2006/relationships/hyperlink" Target="https://www.fda.gov/media/159745/download" TargetMode="External" Id="rId166" /><Relationship Type="http://schemas.openxmlformats.org/officeDocument/2006/relationships/hyperlink" Target="https://www.logixpathchef.com/app/food/getfoodnutrition?fdcid=174284" TargetMode="External" Id="rId167" /><Relationship Type="http://schemas.openxmlformats.org/officeDocument/2006/relationships/hyperlink" Target="https://www.logixpathchef.com/app/food/getfoodnutrition?fdcid=174284" TargetMode="External" Id="rId168" /><Relationship Type="http://schemas.openxmlformats.org/officeDocument/2006/relationships/hyperlink" Target="https://www.hearthyfoods.com/products/red-lentil-flour" TargetMode="External" Id="rId169" /><Relationship Type="http://schemas.openxmlformats.org/officeDocument/2006/relationships/hyperlink" Target="https://www.hearthyfoods.com/products/red-lentil-flour" TargetMode="External" Id="rId170" /><Relationship Type="http://schemas.openxmlformats.org/officeDocument/2006/relationships/hyperlink" Target="https://www.hearthyfoods.com/products/red-lentil-flour" TargetMode="External" Id="rId171" /><Relationship Type="http://schemas.openxmlformats.org/officeDocument/2006/relationships/hyperlink" Target="https://www.hearthyfoods.com/products/red-lentil-flour" TargetMode="External" Id="rId172" /><Relationship Type="http://schemas.openxmlformats.org/officeDocument/2006/relationships/hyperlink" Target="https://www.logixpathchef.com/app/food/getfoodnutrition?fdcid=174284" TargetMode="External" Id="rId173" /><Relationship Type="http://schemas.openxmlformats.org/officeDocument/2006/relationships/hyperlink" Target="https://www.logixpathchef.com/app/food/getfoodnutrition?fdcid=174284" TargetMode="External" Id="rId174" /><Relationship Type="http://schemas.openxmlformats.org/officeDocument/2006/relationships/hyperlink" Target="https://www.logixpathchef.com/app/food/getfoodnutrition?fdcid=174284" TargetMode="External" Id="rId175" /><Relationship Type="http://schemas.openxmlformats.org/officeDocument/2006/relationships/hyperlink" Target="https://www.logixpathchef.com/app/food/getfoodnutrition?fdcid=174284" TargetMode="External" Id="rId176" /><Relationship Type="http://schemas.openxmlformats.org/officeDocument/2006/relationships/hyperlink" Target="https://www.logixpathchef.com/app/food/getfoodnutrition?fdcid=174284" TargetMode="External" Id="rId177" /><Relationship Type="http://schemas.openxmlformats.org/officeDocument/2006/relationships/hyperlink" Target="https://www.logixpathchef.com/app/food/getfoodnutrition?fdcid=174284" TargetMode="External" Id="rId178" /><Relationship Type="http://schemas.openxmlformats.org/officeDocument/2006/relationships/hyperlink" Target="https://www.logixpathchef.com/app/food/getfoodnutrition?fdcid=174284" TargetMode="External" Id="rId179" /><Relationship Type="http://schemas.openxmlformats.org/officeDocument/2006/relationships/hyperlink" Target="https://www.logixpathchef.com/app/food/getfoodnutrition?fdcid=174284" TargetMode="External" Id="rId180" /><Relationship Type="http://schemas.openxmlformats.org/officeDocument/2006/relationships/hyperlink" Target="https://www.logixpathchef.com/app/food/getfoodnutrition?fdcid=174284" TargetMode="External" Id="rId181" /><Relationship Type="http://schemas.openxmlformats.org/officeDocument/2006/relationships/hyperlink" Target="https://www.logixpathchef.com/app/food/getfoodnutrition?fdcid=174284" TargetMode="External" Id="rId182" /><Relationship Type="http://schemas.openxmlformats.org/officeDocument/2006/relationships/hyperlink" Target="https://www.hearthyfoods.com/products/red-lentil-flour" TargetMode="External" Id="rId183" /><Relationship Type="http://schemas.openxmlformats.org/officeDocument/2006/relationships/hyperlink" Target="https://www.logixpathchef.com/app/food/getfoodnutrition?fdcid=174284" TargetMode="External" Id="rId184" /><Relationship Type="http://schemas.openxmlformats.org/officeDocument/2006/relationships/hyperlink" Target="https://nutrivore.com/foods/lentil-nutrients/" TargetMode="External" Id="rId185" /><Relationship Type="http://schemas.openxmlformats.org/officeDocument/2006/relationships/hyperlink" Target="https://www.logixpathchef.com/app/food/getfoodnutrition?fdcid=174284" TargetMode="External" Id="rId186" /><Relationship Type="http://schemas.openxmlformats.org/officeDocument/2006/relationships/hyperlink" Target="https://www.logixpathchef.com/app/food/getfoodnutrition?fdcid=174284" TargetMode="External" Id="rId187" /><Relationship Type="http://schemas.openxmlformats.org/officeDocument/2006/relationships/hyperlink" Target="https://www.logixpathchef.com/app/food/getfoodnutrition?fdcid=174284" TargetMode="External" Id="rId188" /><Relationship Type="http://schemas.openxmlformats.org/officeDocument/2006/relationships/hyperlink" Target="https://www.logixpathchef.com/app/food/getfoodnutrition?fdcid=174284" TargetMode="External" Id="rId189" /><Relationship Type="http://schemas.openxmlformats.org/officeDocument/2006/relationships/hyperlink" Target="https://www.logixpathchef.com/app/food/getfoodnutrition?fdcid=174284" TargetMode="External" Id="rId190" /><Relationship Type="http://schemas.openxmlformats.org/officeDocument/2006/relationships/hyperlink" Target="https://www.logixpathchef.com/app/food/getfoodnutrition?fdcid=174284" TargetMode="External" Id="rId191" /><Relationship Type="http://schemas.openxmlformats.org/officeDocument/2006/relationships/hyperlink" Target="https://www.logixpathchef.com/app/food/getfoodnutrition?fdcid=174284" TargetMode="External" Id="rId192" /><Relationship Type="http://schemas.openxmlformats.org/officeDocument/2006/relationships/hyperlink" Target="https://www.logixpathchef.com/app/food/getfoodnutrition?fdcid=174284" TargetMode="External" Id="rId193" /><Relationship Type="http://schemas.openxmlformats.org/officeDocument/2006/relationships/hyperlink" Target="https://www.logixpathchef.com/app/food/getfoodnutrition?fdcid=174284" TargetMode="External" Id="rId194" /><Relationship Type="http://schemas.openxmlformats.org/officeDocument/2006/relationships/hyperlink" Target="https://www.logixpathchef.com/app/food/getfoodnutrition?fdcid=174284" TargetMode="External" Id="rId195" /><Relationship Type="http://schemas.openxmlformats.org/officeDocument/2006/relationships/hyperlink" Target="https://www.logixpathchef.com/app/food/getfoodnutrition?fdcid=174284" TargetMode="External" Id="rId196" /><Relationship Type="http://schemas.openxmlformats.org/officeDocument/2006/relationships/hyperlink" Target="https://www.logixpathchef.com/app/food/getfoodnutrition?fdcid=174284" TargetMode="External" Id="rId197" /><Relationship Type="http://schemas.openxmlformats.org/officeDocument/2006/relationships/hyperlink" Target="https://www.logixpathchef.com/app/food/getfoodnutrition?fdcid=174284" TargetMode="External" Id="rId198" /><Relationship Type="http://schemas.openxmlformats.org/officeDocument/2006/relationships/hyperlink" Target="https://lpi.oregonstate.edu/mic/minerals/boron" TargetMode="External" Id="rId199" /><Relationship Type="http://schemas.openxmlformats.org/officeDocument/2006/relationships/hyperlink" Target="https://www.logixpathchef.com/app/food/getfoodnutrition?fdcid=174284" TargetMode="External" Id="rId200" /><Relationship Type="http://schemas.openxmlformats.org/officeDocument/2006/relationships/hyperlink" Target="https://www.logixpathchef.com/app/food/getfoodnutrition?fdcid=174284" TargetMode="External" Id="rId201" /><Relationship Type="http://schemas.openxmlformats.org/officeDocument/2006/relationships/hyperlink" Target="https://www.logixpathchef.com/app/food/getfoodnutrition?fdcid=174284" TargetMode="External" Id="rId202" /><Relationship Type="http://schemas.openxmlformats.org/officeDocument/2006/relationships/hyperlink" Target="https://www.logixpathchef.com/app/food/getfoodnutrition?fdcid=174284" TargetMode="External" Id="rId203" /><Relationship Type="http://schemas.openxmlformats.org/officeDocument/2006/relationships/hyperlink" Target="https://www.logixpathchef.com/app/food/getfoodnutrition?fdcid=174284" TargetMode="External" Id="rId204" /><Relationship Type="http://schemas.openxmlformats.org/officeDocument/2006/relationships/hyperlink" Target="https://www.logixpathchef.com/app/food/getfoodnutrition?fdcid=174284" TargetMode="External" Id="rId205" /><Relationship Type="http://schemas.openxmlformats.org/officeDocument/2006/relationships/hyperlink" Target="https://www.logixpathchef.com/app/food/getfoodnutrition?fdcid=174284" TargetMode="External" Id="rId206" /><Relationship Type="http://schemas.openxmlformats.org/officeDocument/2006/relationships/hyperlink" Target="https://www.logixpathchef.com/app/food/getfoodnutrition?fdcid=174284" TargetMode="External" Id="rId207" /><Relationship Type="http://schemas.openxmlformats.org/officeDocument/2006/relationships/hyperlink" Target="https://www.logixpathchef.com/app/food/getfoodnutrition?fdcid=174284" TargetMode="External" Id="rId208" /><Relationship Type="http://schemas.openxmlformats.org/officeDocument/2006/relationships/hyperlink" Target="https://www.logixpathchef.com/app/food/getfoodnutrition?fdcid=174284" TargetMode="External" Id="rId209" /><Relationship Type="http://schemas.openxmlformats.org/officeDocument/2006/relationships/hyperlink" Target="https://www.logixpathchef.com/app/food/getfoodnutrition?fdcid=174284" TargetMode="External" Id="rId210" /><Relationship Type="http://schemas.openxmlformats.org/officeDocument/2006/relationships/hyperlink" Target="https://www.logixpathchef.com/app/food/getfoodnutrition?fdcid=174284" TargetMode="External" Id="rId211" /><Relationship Type="http://schemas.openxmlformats.org/officeDocument/2006/relationships/hyperlink" Target="https://www.logixpathchef.com/app/food/getfoodnutrition?fdcid=174284" TargetMode="External" Id="rId212" /><Relationship Type="http://schemas.openxmlformats.org/officeDocument/2006/relationships/hyperlink" Target="https://nutrivore.com/foods/lentil-nutrients/" TargetMode="External" Id="rId213" /><Relationship Type="http://schemas.openxmlformats.org/officeDocument/2006/relationships/hyperlink" Target="https://www.logixpathchef.com/app/food/getfoodnutrition?fdcid=174284" TargetMode="External" Id="rId214" /><Relationship Type="http://schemas.openxmlformats.org/officeDocument/2006/relationships/hyperlink" Target="https://www.logixpathchef.com/app/food/getfoodnutrition?fdcid=174284" TargetMode="External" Id="rId215" /><Relationship Type="http://schemas.openxmlformats.org/officeDocument/2006/relationships/hyperlink" Target="https://www.logixpathchef.com/app/food/getfoodnutrition?fdcid=174284" TargetMode="External" Id="rId216" /><Relationship Type="http://schemas.openxmlformats.org/officeDocument/2006/relationships/hyperlink" Target="https://www.ars.usda.gov/ARSUserFiles/80400535/Data/Flav/Flav3.3.pdf" TargetMode="External" Id="rId217" /><Relationship Type="http://schemas.openxmlformats.org/officeDocument/2006/relationships/hyperlink" Target="https://www.ars.usda.gov/ARSUserFiles/80400535/Data/Flav/Flav3.3.pdf" TargetMode="External" Id="rId218" /><Relationship Type="http://schemas.openxmlformats.org/officeDocument/2006/relationships/hyperlink" Target="https://www.hearthyfoods.com/products/red-lentil-flour" TargetMode="External" Id="rId219" /><Relationship Type="http://schemas.openxmlformats.org/officeDocument/2006/relationships/hyperlink" Target="https://www.hearthyfoods.com/products/red-lentil-flour" TargetMode="External" Id="rId220" /><Relationship Type="http://schemas.openxmlformats.org/officeDocument/2006/relationships/hyperlink" Target="https://www.ars.usda.gov/ARSUserFiles/80400535/Data/PA/PA02-1.pdf" TargetMode="External" Id="rId221" /><Relationship Type="http://schemas.openxmlformats.org/officeDocument/2006/relationships/hyperlink" Target="https://www.hearthyfoods.com/products/red-lentil-flour" TargetMode="External" Id="rId222" /><Relationship Type="http://schemas.openxmlformats.org/officeDocument/2006/relationships/hyperlink" Target="https://www.ars.usda.gov/ARSUserFiles/80400535/Data/Flav/Flav3.3.pdf" TargetMode="External" Id="rId223" /><Relationship Type="http://schemas.openxmlformats.org/officeDocument/2006/relationships/hyperlink" Target="https://www.logixpathchef.com/app/food/getfoodnutrition?fdcid=174284" TargetMode="External" Id="rId224" /><Relationship Type="http://schemas.openxmlformats.org/officeDocument/2006/relationships/hyperlink" Target="https://www.logixpathchef.com/app/food/getfoodnutrition?fdcid=174284" TargetMode="External" Id="rId225" /><Relationship Type="http://schemas.openxmlformats.org/officeDocument/2006/relationships/hyperlink" Target="https://www.logixpathchef.com/app/food/getfoodnutrition?fdcid=174284" TargetMode="External" Id="rId226" /><Relationship Type="http://schemas.openxmlformats.org/officeDocument/2006/relationships/hyperlink" Target="https://www.hearthyfoods.com/products/red-lentil-flour" TargetMode="External" Id="rId227" /><Relationship Type="http://schemas.openxmlformats.org/officeDocument/2006/relationships/hyperlink" Target="https://www.hearthyfoods.com/products/red-lentil-flour" TargetMode="External" Id="rId228" /><Relationship Type="http://schemas.openxmlformats.org/officeDocument/2006/relationships/hyperlink" Target="https://www.hearthyfoods.com/products/red-lentil-flour" TargetMode="External" Id="rId229" /><Relationship Type="http://schemas.openxmlformats.org/officeDocument/2006/relationships/hyperlink" Target="https://pmc.ncbi.nlm.nih.gov/articles/PMC9609092/" TargetMode="External" Id="rId230" /><Relationship Type="http://schemas.openxmlformats.org/officeDocument/2006/relationships/hyperlink" Target="https://www.logixpathchef.com/app/food/getfoodnutrition?fdcid=174284" TargetMode="External" Id="rId231" /><Relationship Type="http://schemas.openxmlformats.org/officeDocument/2006/relationships/hyperlink" Target="https://pmc.ncbi.nlm.nih.gov/articles/PMC3022763/" TargetMode="External" Id="rId232" /><Relationship Type="http://schemas.openxmlformats.org/officeDocument/2006/relationships/hyperlink" Target="https://www.logixpathchef.com/app/food/getfoodnutrition?fdcid=174284" TargetMode="External" Id="rId233" /><Relationship Type="http://schemas.openxmlformats.org/officeDocument/2006/relationships/hyperlink" Target="https://www.hearthyfoods.com/products/red-lentil-flour" TargetMode="External" Id="rId234" /><Relationship Type="http://schemas.openxmlformats.org/officeDocument/2006/relationships/hyperlink" Target="https://pmc.ncbi.nlm.nih.gov/articles/PMC9609092/" TargetMode="External" Id="rId235" /><Relationship Type="http://schemas.openxmlformats.org/officeDocument/2006/relationships/hyperlink" Target="https://www.hearthyfoods.com/products/red-lentil-flour" TargetMode="External" Id="rId236" /><Relationship Type="http://schemas.openxmlformats.org/officeDocument/2006/relationships/hyperlink" Target="https://www.hearthyfoods.com/products/red-lentil-flour" TargetMode="External" Id="rId237" /><Relationship Type="http://schemas.openxmlformats.org/officeDocument/2006/relationships/hyperlink" Target="https://www.hearthyfoods.com/products/red-lentil-flour" TargetMode="External" Id="rId238" /><Relationship Type="http://schemas.openxmlformats.org/officeDocument/2006/relationships/hyperlink" Target="https://www.logixpathchef.com/app/food/getfoodnutrition?fdcid=174284" TargetMode="External" Id="rId239" /><Relationship Type="http://schemas.openxmlformats.org/officeDocument/2006/relationships/hyperlink" Target="https://www.hearthyfoods.com/products/red-lentil-flour" TargetMode="External" Id="rId240" /><Relationship Type="http://schemas.openxmlformats.org/officeDocument/2006/relationships/hyperlink" Target="https://www.hearthyfoods.com/products/red-lentil-flour" TargetMode="External" Id="rId241" /><Relationship Type="http://schemas.openxmlformats.org/officeDocument/2006/relationships/hyperlink" Target="https://www.hearthyfoods.com/products/red-lentil-flour" TargetMode="External" Id="rId242" /><Relationship Type="http://schemas.openxmlformats.org/officeDocument/2006/relationships/hyperlink" Target="https://www.hearthyfoods.com/products/red-lentil-flour" TargetMode="External" Id="rId243" /><Relationship Type="http://schemas.openxmlformats.org/officeDocument/2006/relationships/hyperlink" Target="https://fdc.nal.usda.gov/fdc-datasets/FoodData_Central_sr_legacy_food_csv_2018-04.zip" TargetMode="External" Id="rId244" /><Relationship Type="http://schemas.openxmlformats.org/officeDocument/2006/relationships/hyperlink" Target="https://www.hearthyfoods.com/products/red-lentil-flour" TargetMode="External" Id="rId245" /><Relationship Type="http://schemas.openxmlformats.org/officeDocument/2006/relationships/hyperlink" Target="https://www.sciencedirect.com/science/article/abs/pii/S0889157522004707" TargetMode="External" Id="rId246" /><Relationship Type="http://schemas.openxmlformats.org/officeDocument/2006/relationships/hyperlink" Target="https://www.sciencedirect.com/science/article/abs/pii/S0889157522004707" TargetMode="External" Id="rId247" /><Relationship Type="http://schemas.openxmlformats.org/officeDocument/2006/relationships/hyperlink" Target="https://www.sciencedirect.com/science/article/abs/pii/S0889157522004707" TargetMode="External" Id="rId248" /><Relationship Type="http://schemas.openxmlformats.org/officeDocument/2006/relationships/hyperlink" Target="https://www.fda.gov/media/159745/download" TargetMode="External" Id="rId249" /><Relationship Type="http://schemas.openxmlformats.org/officeDocument/2006/relationships/hyperlink" Target="https://www.logixpathchef.com/app/food/getfoodnutrition?fdcid=171705" TargetMode="External" Id="rId250" /><Relationship Type="http://schemas.openxmlformats.org/officeDocument/2006/relationships/hyperlink" Target="https://www.logixpathchef.com/app/food/getfoodnutrition?fdcid=171705" TargetMode="External" Id="rId251" /><Relationship Type="http://schemas.openxmlformats.org/officeDocument/2006/relationships/hyperlink" Target="https://www.wholefoodsmarket.com/product/365-everyday-value-avocado-chunks-10-oz-b07nrh47wp" TargetMode="External" Id="rId252" /><Relationship Type="http://schemas.openxmlformats.org/officeDocument/2006/relationships/hyperlink" Target="https://www.wholefoodsmarket.com/product/365-everyday-value-avocado-chunks-10-oz-b07nrh47wp" TargetMode="External" Id="rId253" /><Relationship Type="http://schemas.openxmlformats.org/officeDocument/2006/relationships/hyperlink" Target="https://www.wholefoodsmarket.com/product/365-everyday-value-avocado-chunks-10-oz-b07nrh47wp" TargetMode="External" Id="rId254" /><Relationship Type="http://schemas.openxmlformats.org/officeDocument/2006/relationships/hyperlink" Target="https://www.wholefoodsmarket.com/product/365-everyday-value-avocado-chunks-10-oz-b07nrh47wp" TargetMode="External" Id="rId255" /><Relationship Type="http://schemas.openxmlformats.org/officeDocument/2006/relationships/hyperlink" Target="https://www.logixpathchef.com/app/food/getfoodnutrition?fdcid=171705" TargetMode="External" Id="rId256" /><Relationship Type="http://schemas.openxmlformats.org/officeDocument/2006/relationships/hyperlink" Target="https://www.logixpathchef.com/app/food/getfoodnutrition?fdcid=171705" TargetMode="External" Id="rId257" /><Relationship Type="http://schemas.openxmlformats.org/officeDocument/2006/relationships/hyperlink" Target="https://www.logixpathchef.com/app/food/getfoodnutrition?fdcid=171705" TargetMode="External" Id="rId258" /><Relationship Type="http://schemas.openxmlformats.org/officeDocument/2006/relationships/hyperlink" Target="https://www.logixpathchef.com/app/food/getfoodnutrition?fdcid=171705" TargetMode="External" Id="rId259" /><Relationship Type="http://schemas.openxmlformats.org/officeDocument/2006/relationships/hyperlink" Target="https://www.logixpathchef.com/app/food/getfoodnutrition?fdcid=171705" TargetMode="External" Id="rId260" /><Relationship Type="http://schemas.openxmlformats.org/officeDocument/2006/relationships/hyperlink" Target="https://www.logixpathchef.com/app/food/getfoodnutrition?fdcid=171705" TargetMode="External" Id="rId261" /><Relationship Type="http://schemas.openxmlformats.org/officeDocument/2006/relationships/hyperlink" Target="https://www.logixpathchef.com/app/food/getfoodnutrition?fdcid=171705" TargetMode="External" Id="rId262" /><Relationship Type="http://schemas.openxmlformats.org/officeDocument/2006/relationships/hyperlink" Target="https://www.logixpathchef.com/app/food/getfoodnutrition?fdcid=171705" TargetMode="External" Id="rId263" /><Relationship Type="http://schemas.openxmlformats.org/officeDocument/2006/relationships/hyperlink" Target="https://www.logixpathchef.com/app/food/getfoodnutrition?fdcid=171705" TargetMode="External" Id="rId264" /><Relationship Type="http://schemas.openxmlformats.org/officeDocument/2006/relationships/hyperlink" Target="https://www.logixpathchef.com/app/food/getfoodnutrition?fdcid=171705" TargetMode="External" Id="rId265" /><Relationship Type="http://schemas.openxmlformats.org/officeDocument/2006/relationships/hyperlink" Target="https://www.wholefoodsmarket.com/product/365-everyday-value-avocado-chunks-10-oz-b07nrh47wp" TargetMode="External" Id="rId266" /><Relationship Type="http://schemas.openxmlformats.org/officeDocument/2006/relationships/hyperlink" Target="https://www.logixpathchef.com/app/food/getfoodnutrition?fdcid=171705" TargetMode="External" Id="rId267" /><Relationship Type="http://schemas.openxmlformats.org/officeDocument/2006/relationships/hyperlink" Target="https://www.logixpathchef.com/app/food/getfoodnutrition?fdcid=171705" TargetMode="External" Id="rId268" /><Relationship Type="http://schemas.openxmlformats.org/officeDocument/2006/relationships/hyperlink" Target="https://www.logixpathchef.com/app/food/getfoodnutrition?fdcid=171705" TargetMode="External" Id="rId269" /><Relationship Type="http://schemas.openxmlformats.org/officeDocument/2006/relationships/hyperlink" Target="https://www.logixpathchef.com/app/food/getfoodnutrition?fdcid=171705" TargetMode="External" Id="rId270" /><Relationship Type="http://schemas.openxmlformats.org/officeDocument/2006/relationships/hyperlink" Target="https://www.logixpathchef.com/app/food/getfoodnutrition?fdcid=171705" TargetMode="External" Id="rId271" /><Relationship Type="http://schemas.openxmlformats.org/officeDocument/2006/relationships/hyperlink" Target="https://www.logixpathchef.com/app/food/getfoodnutrition?fdcid=171705" TargetMode="External" Id="rId272" /><Relationship Type="http://schemas.openxmlformats.org/officeDocument/2006/relationships/hyperlink" Target="https://www.logixpathchef.com/app/food/getfoodnutrition?fdcid=171705" TargetMode="External" Id="rId273" /><Relationship Type="http://schemas.openxmlformats.org/officeDocument/2006/relationships/hyperlink" Target="https://www.logixpathchef.com/app/food/getfoodnutrition?fdcid=171705" TargetMode="External" Id="rId274" /><Relationship Type="http://schemas.openxmlformats.org/officeDocument/2006/relationships/hyperlink" Target="https://www.logixpathchef.com/app/food/getfoodnutrition?fdcid=171705" TargetMode="External" Id="rId275" /><Relationship Type="http://schemas.openxmlformats.org/officeDocument/2006/relationships/hyperlink" Target="https://www.logixpathchef.com/app/food/getfoodnutrition?fdcid=171705" TargetMode="External" Id="rId276" /><Relationship Type="http://schemas.openxmlformats.org/officeDocument/2006/relationships/hyperlink" Target="https://www.logixpathchef.com/app/food/getfoodnutrition?fdcid=171705" TargetMode="External" Id="rId277" /><Relationship Type="http://schemas.openxmlformats.org/officeDocument/2006/relationships/hyperlink" Target="https://www.logixpathchef.com/app/food/getfoodnutrition?fdcid=171705" TargetMode="External" Id="rId278" /><Relationship Type="http://schemas.openxmlformats.org/officeDocument/2006/relationships/hyperlink" Target="https://www.logixpathchef.com/app/food/getfoodnutrition?fdcid=171705" TargetMode="External" Id="rId279" /><Relationship Type="http://schemas.openxmlformats.org/officeDocument/2006/relationships/hyperlink" Target="https://www.logixpathchef.com/app/food/getfoodnutrition?fdcid=171705" TargetMode="External" Id="rId280" /><Relationship Type="http://schemas.openxmlformats.org/officeDocument/2006/relationships/hyperlink" Target="https://www.ars.usda.gov/ARSUserFiles/80400535/DATA/IODINE/IODINE_DATABASE_PDFVersion_2020.PDF" TargetMode="External" Id="rId281" /><Relationship Type="http://schemas.openxmlformats.org/officeDocument/2006/relationships/hyperlink" Target="https://www.logixpathchef.com/app/food/getfoodnutrition?fdcid=171705" TargetMode="External" Id="rId282" /><Relationship Type="http://schemas.openxmlformats.org/officeDocument/2006/relationships/hyperlink" Target="https://www.logixpathchef.com/app/food/getfoodnutrition?fdcid=171705" TargetMode="External" Id="rId283" /><Relationship Type="http://schemas.openxmlformats.org/officeDocument/2006/relationships/hyperlink" Target="https://www.logixpathchef.com/app/food/getfoodnutrition?fdcid=171705" TargetMode="External" Id="rId284" /><Relationship Type="http://schemas.openxmlformats.org/officeDocument/2006/relationships/hyperlink" Target="https://www.logixpathchef.com/app/food/getfoodnutrition?fdcid=171705" TargetMode="External" Id="rId285" /><Relationship Type="http://schemas.openxmlformats.org/officeDocument/2006/relationships/hyperlink" Target="https://www.logixpathchef.com/app/food/getfoodnutrition?fdcid=171705" TargetMode="External" Id="rId286" /><Relationship Type="http://schemas.openxmlformats.org/officeDocument/2006/relationships/hyperlink" Target="https://www.logixpathchef.com/app/food/getfoodnutrition?fdcid=171705" TargetMode="External" Id="rId287" /><Relationship Type="http://schemas.openxmlformats.org/officeDocument/2006/relationships/hyperlink" Target="https://www.logixpathchef.com/app/food/getfoodnutrition?fdcid=171705" TargetMode="External" Id="rId288" /><Relationship Type="http://schemas.openxmlformats.org/officeDocument/2006/relationships/hyperlink" Target="https://www.logixpathchef.com/app/food/getfoodnutrition?fdcid=171705" TargetMode="External" Id="rId289" /><Relationship Type="http://schemas.openxmlformats.org/officeDocument/2006/relationships/hyperlink" Target="https://www.logixpathchef.com/app/food/getfoodnutrition?fdcid=171705" TargetMode="External" Id="rId290" /><Relationship Type="http://schemas.openxmlformats.org/officeDocument/2006/relationships/hyperlink" Target="https://www.logixpathchef.com/app/food/getfoodnutrition?fdcid=171705" TargetMode="External" Id="rId291" /><Relationship Type="http://schemas.openxmlformats.org/officeDocument/2006/relationships/hyperlink" Target="https://www.logixpathchef.com/app/food/getfoodnutrition?fdcid=171705" TargetMode="External" Id="rId292" /><Relationship Type="http://schemas.openxmlformats.org/officeDocument/2006/relationships/hyperlink" Target="https://www.logixpathchef.com/app/food/getfoodnutrition?fdcid=171705" TargetMode="External" Id="rId293" /><Relationship Type="http://schemas.openxmlformats.org/officeDocument/2006/relationships/hyperlink" Target="https://www.logixpathchef.com/app/food/getfoodnutrition?fdcid=171705" TargetMode="External" Id="rId294" /><Relationship Type="http://schemas.openxmlformats.org/officeDocument/2006/relationships/hyperlink" Target="https://www.logixpathchef.com/app/food/getfoodnutrition?fdcid=171705" TargetMode="External" Id="rId295" /><Relationship Type="http://schemas.openxmlformats.org/officeDocument/2006/relationships/hyperlink" Target="https://ods.od.nih.gov/factsheets/Biotin-HealthProfessional/" TargetMode="External" Id="rId296" /><Relationship Type="http://schemas.openxmlformats.org/officeDocument/2006/relationships/hyperlink" Target="https://www.logixpathchef.com/app/food/getfoodnutrition?fdcid=171705" TargetMode="External" Id="rId297" /><Relationship Type="http://schemas.openxmlformats.org/officeDocument/2006/relationships/hyperlink" Target="https://www.logixpathchef.com/app/food/getfoodnutrition?fdcid=171705" TargetMode="External" Id="rId298" /><Relationship Type="http://schemas.openxmlformats.org/officeDocument/2006/relationships/hyperlink" Target="https://www.logixpathchef.com/app/food/getfoodnutrition?fdcid=171705" TargetMode="External" Id="rId299" /><Relationship Type="http://schemas.openxmlformats.org/officeDocument/2006/relationships/hyperlink" Target="https://www.ars.usda.gov/ARSUserFiles/80400535/Data/Flav/Flav3.3.pdf" TargetMode="External" Id="rId300" /><Relationship Type="http://schemas.openxmlformats.org/officeDocument/2006/relationships/hyperlink" Target="https://www.ars.usda.gov/ARSUserFiles/80400535/Data/Flav/Flav3.3.pdf" TargetMode="External" Id="rId301" /><Relationship Type="http://schemas.openxmlformats.org/officeDocument/2006/relationships/hyperlink" Target="https://www.wholefoodsmarket.com/product/365-everyday-value-avocado-chunks-10-oz-b07nrh47wp" TargetMode="External" Id="rId302" /><Relationship Type="http://schemas.openxmlformats.org/officeDocument/2006/relationships/hyperlink" Target="https://www.wholefoodsmarket.com/product/365-everyday-value-avocado-chunks-10-oz-b07nrh47wp" TargetMode="External" Id="rId303" /><Relationship Type="http://schemas.openxmlformats.org/officeDocument/2006/relationships/hyperlink" Target="https://www.ars.usda.gov/ARSUserFiles/80400535/Data/PA/PA02-1.pdf" TargetMode="External" Id="rId304" /><Relationship Type="http://schemas.openxmlformats.org/officeDocument/2006/relationships/hyperlink" Target="https://www.wholefoodsmarket.com/product/365-everyday-value-avocado-chunks-10-oz-b07nrh47wp" TargetMode="External" Id="rId305" /><Relationship Type="http://schemas.openxmlformats.org/officeDocument/2006/relationships/hyperlink" Target="https://www.ars.usda.gov/ARSUserFiles/80400535/Data/Flav/Flav3.3.pdf" TargetMode="External" Id="rId306" /><Relationship Type="http://schemas.openxmlformats.org/officeDocument/2006/relationships/hyperlink" Target="https://www.logixpathchef.com/app/food/getfoodnutrition?fdcid=171705" TargetMode="External" Id="rId307" /><Relationship Type="http://schemas.openxmlformats.org/officeDocument/2006/relationships/hyperlink" Target="https://www.logixpathchef.com/app/food/getfoodnutrition?fdcid=171705" TargetMode="External" Id="rId308" /><Relationship Type="http://schemas.openxmlformats.org/officeDocument/2006/relationships/hyperlink" Target="https://www.logixpathchef.com/app/food/getfoodnutrition?fdcid=171705" TargetMode="External" Id="rId309" /><Relationship Type="http://schemas.openxmlformats.org/officeDocument/2006/relationships/hyperlink" Target="https://www.wholefoodsmarket.com/product/365-everyday-value-avocado-chunks-10-oz-b07nrh47wp" TargetMode="External" Id="rId310" /><Relationship Type="http://schemas.openxmlformats.org/officeDocument/2006/relationships/hyperlink" Target="https://www.wholefoodsmarket.com/product/365-everyday-value-avocado-chunks-10-oz-b07nrh47wp" TargetMode="External" Id="rId311" /><Relationship Type="http://schemas.openxmlformats.org/officeDocument/2006/relationships/hyperlink" Target="https://www.wholefoodsmarket.com/product/365-everyday-value-avocado-chunks-10-oz-b07nrh47wp" TargetMode="External" Id="rId312" /><Relationship Type="http://schemas.openxmlformats.org/officeDocument/2006/relationships/hyperlink" Target="https://www.logixpathchef.com/app/food/getfoodnutrition?fdcid=171705" TargetMode="External" Id="rId313" /><Relationship Type="http://schemas.openxmlformats.org/officeDocument/2006/relationships/hyperlink" Target="https://www.logixpathchef.com/app/food/getfoodnutrition?fdcid=171705" TargetMode="External" Id="rId314" /><Relationship Type="http://schemas.openxmlformats.org/officeDocument/2006/relationships/hyperlink" Target="https://pmc.ncbi.nlm.nih.gov/articles/PMC6637774/" TargetMode="External" Id="rId315" /><Relationship Type="http://schemas.openxmlformats.org/officeDocument/2006/relationships/hyperlink" Target="https://www.logixpathchef.com/app/food/getfoodnutrition?fdcid=171705" TargetMode="External" Id="rId316" /><Relationship Type="http://schemas.openxmlformats.org/officeDocument/2006/relationships/hyperlink" Target="https://www.wholefoodsmarket.com/product/365-everyday-value-avocado-chunks-10-oz-b07nrh47wp" TargetMode="External" Id="rId317" /><Relationship Type="http://schemas.openxmlformats.org/officeDocument/2006/relationships/hyperlink" Target="https://www.logixpathchef.com/app/food/getfoodnutrition?fdcid=171705" TargetMode="External" Id="rId318" /><Relationship Type="http://schemas.openxmlformats.org/officeDocument/2006/relationships/hyperlink" Target="https://www.wholefoodsmarket.com/product/365-everyday-value-avocado-chunks-10-oz-b07nrh47wp" TargetMode="External" Id="rId319" /><Relationship Type="http://schemas.openxmlformats.org/officeDocument/2006/relationships/hyperlink" Target="https://www.frontiersin.org/journals/nutrition/articles/10.3389/fnut.2019.00108/full" TargetMode="External" Id="rId320" /><Relationship Type="http://schemas.openxmlformats.org/officeDocument/2006/relationships/hyperlink" Target="https://www.wholefoodsmarket.com/product/365-everyday-value-avocado-chunks-10-oz-b07nrh47wp" TargetMode="External" Id="rId321" /><Relationship Type="http://schemas.openxmlformats.org/officeDocument/2006/relationships/hyperlink" Target="https://www.logixpathchef.com/app/food/getfoodnutrition?fdcid=171705" TargetMode="External" Id="rId322" /><Relationship Type="http://schemas.openxmlformats.org/officeDocument/2006/relationships/hyperlink" Target="https://www.wholefoodsmarket.com/product/365-everyday-value-avocado-chunks-10-oz-b07nrh47wp" TargetMode="External" Id="rId323" /><Relationship Type="http://schemas.openxmlformats.org/officeDocument/2006/relationships/hyperlink" Target="https://www.wholefoodsmarket.com/product/365-everyday-value-avocado-chunks-10-oz-b07nrh47wp" TargetMode="External" Id="rId324" /><Relationship Type="http://schemas.openxmlformats.org/officeDocument/2006/relationships/hyperlink" Target="https://www.wholefoodsmarket.com/product/365-everyday-value-avocado-chunks-10-oz-b07nrh47wp" TargetMode="External" Id="rId325" /><Relationship Type="http://schemas.openxmlformats.org/officeDocument/2006/relationships/hyperlink" Target="https://www.wholefoodsmarket.com/product/365-everyday-value-avocado-chunks-10-oz-b07nrh47wp" TargetMode="External" Id="rId326" /><Relationship Type="http://schemas.openxmlformats.org/officeDocument/2006/relationships/hyperlink" Target="https://fdc.nal.usda.gov/fdc-datasets/FoodData_Central_sr_legacy_food_csv_2018-04.zip" TargetMode="External" Id="rId327" /><Relationship Type="http://schemas.openxmlformats.org/officeDocument/2006/relationships/hyperlink" Target="https://www.wholefoodsmarket.com/product/365-everyday-value-avocado-chunks-10-oz-b07nrh47wp" TargetMode="External" Id="rId328" /><Relationship Type="http://schemas.openxmlformats.org/officeDocument/2006/relationships/hyperlink" Target="https://www.fda.gov/media/159745/download" TargetMode="External" Id="rId329" /><Relationship Type="http://schemas.openxmlformats.org/officeDocument/2006/relationships/hyperlink" Target="https://www.fda.gov/media/159745/download" TargetMode="External" Id="rId330" /><Relationship Type="http://schemas.openxmlformats.org/officeDocument/2006/relationships/hyperlink" Target="https://www.fda.gov/media/159745/download" TargetMode="External" Id="rId331" /><Relationship Type="http://schemas.openxmlformats.org/officeDocument/2006/relationships/hyperlink" Target="https://www.fda.gov/media/159745/download" TargetMode="External" Id="rId332" /><Relationship Type="http://schemas.openxmlformats.org/officeDocument/2006/relationships/hyperlink" Target="https://www.logixpathchef.com/app/food/getfoodnutrition?fdcid=168421" TargetMode="External" Id="rId333" /><Relationship Type="http://schemas.openxmlformats.org/officeDocument/2006/relationships/hyperlink" Target="https://www.logixpathchef.com/app/food/getfoodnutrition?fdcid=168421" TargetMode="External" Id="rId334" /><Relationship Type="http://schemas.openxmlformats.org/officeDocument/2006/relationships/hyperlink" Target="https://www.wholefoodsmarket.com/product/365-by-whole-foods-market-365-everyday-value-organic-blue-curled-kale-16-oz-frozen-b074h5y3wb" TargetMode="External" Id="rId335" /><Relationship Type="http://schemas.openxmlformats.org/officeDocument/2006/relationships/hyperlink" Target="https://www.wholefoodsmarket.com/product/365-by-whole-foods-market-365-everyday-value-organic-blue-curled-kale-16-oz-frozen-b074h5y3wb" TargetMode="External" Id="rId336" /><Relationship Type="http://schemas.openxmlformats.org/officeDocument/2006/relationships/hyperlink" Target="https://www.wholefoodsmarket.com/product/365-by-whole-foods-market-365-everyday-value-organic-blue-curled-kale-16-oz-frozen-b074h5y3wb" TargetMode="External" Id="rId337" /><Relationship Type="http://schemas.openxmlformats.org/officeDocument/2006/relationships/hyperlink" Target="https://www.wholefoodsmarket.com/product/365-by-whole-foods-market-365-everyday-value-organic-blue-curled-kale-16-oz-frozen-b074h5y3wb" TargetMode="External" Id="rId338" /><Relationship Type="http://schemas.openxmlformats.org/officeDocument/2006/relationships/hyperlink" Target="https://www.logixpathchef.com/app/food/getfoodnutrition?fdcid=168421" TargetMode="External" Id="rId339" /><Relationship Type="http://schemas.openxmlformats.org/officeDocument/2006/relationships/hyperlink" Target="https://www.logixpathchef.com/app/food/getfoodnutrition?fdcid=168421" TargetMode="External" Id="rId340" /><Relationship Type="http://schemas.openxmlformats.org/officeDocument/2006/relationships/hyperlink" Target="https://www.logixpathchef.com/app/food/getfoodnutrition?fdcid=168421" TargetMode="External" Id="rId341" /><Relationship Type="http://schemas.openxmlformats.org/officeDocument/2006/relationships/hyperlink" Target="https://www.logixpathchef.com/app/food/getfoodnutrition?fdcid=168421" TargetMode="External" Id="rId342" /><Relationship Type="http://schemas.openxmlformats.org/officeDocument/2006/relationships/hyperlink" Target="https://www.logixpathchef.com/app/food/getfoodnutrition?fdcid=168421" TargetMode="External" Id="rId343" /><Relationship Type="http://schemas.openxmlformats.org/officeDocument/2006/relationships/hyperlink" Target="https://www.logixpathchef.com/app/food/getfoodnutrition?fdcid=168421" TargetMode="External" Id="rId344" /><Relationship Type="http://schemas.openxmlformats.org/officeDocument/2006/relationships/hyperlink" Target="https://www.logixpathchef.com/app/food/getfoodnutrition?fdcid=168421" TargetMode="External" Id="rId345" /><Relationship Type="http://schemas.openxmlformats.org/officeDocument/2006/relationships/hyperlink" Target="https://www.logixpathchef.com/app/food/getfoodnutrition?fdcid=168421" TargetMode="External" Id="rId346" /><Relationship Type="http://schemas.openxmlformats.org/officeDocument/2006/relationships/hyperlink" Target="https://www.logixpathchef.com/app/food/getfoodnutrition?fdcid=168421" TargetMode="External" Id="rId347" /><Relationship Type="http://schemas.openxmlformats.org/officeDocument/2006/relationships/hyperlink" Target="https://www.logixpathchef.com/app/food/getfoodnutrition?fdcid=168421" TargetMode="External" Id="rId348" /><Relationship Type="http://schemas.openxmlformats.org/officeDocument/2006/relationships/hyperlink" Target="https://www.wholefoodsmarket.com/product/365-by-whole-foods-market-365-everyday-value-organic-blue-curled-kale-16-oz-frozen-b074h5y3wb" TargetMode="External" Id="rId349" /><Relationship Type="http://schemas.openxmlformats.org/officeDocument/2006/relationships/hyperlink" Target="https://www.logixpathchef.com/app/food/getfoodnutrition?fdcid=168421" TargetMode="External" Id="rId350" /><Relationship Type="http://schemas.openxmlformats.org/officeDocument/2006/relationships/hyperlink" Target="https://www.logixpathchef.com/app/food/getfoodnutrition?fdcid=168421" TargetMode="External" Id="rId351" /><Relationship Type="http://schemas.openxmlformats.org/officeDocument/2006/relationships/hyperlink" Target="https://www.logixpathchef.com/app/food/getfoodnutrition?fdcid=168421" TargetMode="External" Id="rId352" /><Relationship Type="http://schemas.openxmlformats.org/officeDocument/2006/relationships/hyperlink" Target="https://www.logixpathchef.com/app/food/getfoodnutrition?fdcid=168421" TargetMode="External" Id="rId353" /><Relationship Type="http://schemas.openxmlformats.org/officeDocument/2006/relationships/hyperlink" Target="https://www.logixpathchef.com/app/food/getfoodnutrition?fdcid=168421" TargetMode="External" Id="rId354" /><Relationship Type="http://schemas.openxmlformats.org/officeDocument/2006/relationships/hyperlink" Target="https://www.logixpathchef.com/app/food/getfoodnutrition?fdcid=168421" TargetMode="External" Id="rId355" /><Relationship Type="http://schemas.openxmlformats.org/officeDocument/2006/relationships/hyperlink" Target="https://www.logixpathchef.com/app/food/getfoodnutrition?fdcid=168421" TargetMode="External" Id="rId356" /><Relationship Type="http://schemas.openxmlformats.org/officeDocument/2006/relationships/hyperlink" Target="https://www.logixpathchef.com/app/food/getfoodnutrition?fdcid=168421" TargetMode="External" Id="rId357" /><Relationship Type="http://schemas.openxmlformats.org/officeDocument/2006/relationships/hyperlink" Target="https://www.logixpathchef.com/app/food/getfoodnutrition?fdcid=168421" TargetMode="External" Id="rId358" /><Relationship Type="http://schemas.openxmlformats.org/officeDocument/2006/relationships/hyperlink" Target="https://www.logixpathchef.com/app/food/getfoodnutrition?fdcid=168421" TargetMode="External" Id="rId359" /><Relationship Type="http://schemas.openxmlformats.org/officeDocument/2006/relationships/hyperlink" Target="https://www.logixpathchef.com/app/food/getfoodnutrition?fdcid=168421" TargetMode="External" Id="rId360" /><Relationship Type="http://schemas.openxmlformats.org/officeDocument/2006/relationships/hyperlink" Target="https://www.logixpathchef.com/app/food/getfoodnutrition?fdcid=168421" TargetMode="External" Id="rId361" /><Relationship Type="http://schemas.openxmlformats.org/officeDocument/2006/relationships/hyperlink" Target="https://www.logixpathchef.com/app/food/getfoodnutrition?fdcid=168421" TargetMode="External" Id="rId362" /><Relationship Type="http://schemas.openxmlformats.org/officeDocument/2006/relationships/hyperlink" Target="https://www.logixpathchef.com/app/food/getfoodnutrition?fdcid=168421" TargetMode="External" Id="rId363" /><Relationship Type="http://schemas.openxmlformats.org/officeDocument/2006/relationships/hyperlink" Target="https://www.ars.usda.gov/ARSUserFiles/80400535/DATA/IODINE/IODINE_DATABASE_PDFVersion_2020.PDF" TargetMode="External" Id="rId364" /><Relationship Type="http://schemas.openxmlformats.org/officeDocument/2006/relationships/hyperlink" Target="https://www.ncbi.nlm.nih.gov/books/NBK599072/table/ch6.tab3/" TargetMode="External" Id="rId365" /><Relationship Type="http://schemas.openxmlformats.org/officeDocument/2006/relationships/hyperlink" Target="https://www.logixpathchef.com/app/food/getfoodnutrition?fdcid=168421" TargetMode="External" Id="rId366" /><Relationship Type="http://schemas.openxmlformats.org/officeDocument/2006/relationships/hyperlink" Target="https://www.logixpathchef.com/app/food/getfoodnutrition?fdcid=168421" TargetMode="External" Id="rId367" /><Relationship Type="http://schemas.openxmlformats.org/officeDocument/2006/relationships/hyperlink" Target="https://www.logixpathchef.com/app/food/getfoodnutrition?fdcid=168421" TargetMode="External" Id="rId368" /><Relationship Type="http://schemas.openxmlformats.org/officeDocument/2006/relationships/hyperlink" Target="https://www.logixpathchef.com/app/food/getfoodnutrition?fdcid=168421" TargetMode="External" Id="rId369" /><Relationship Type="http://schemas.openxmlformats.org/officeDocument/2006/relationships/hyperlink" Target="https://www.logixpathchef.com/app/food/getfoodnutrition?fdcid=168421" TargetMode="External" Id="rId370" /><Relationship Type="http://schemas.openxmlformats.org/officeDocument/2006/relationships/hyperlink" Target="https://www.logixpathchef.com/app/food/getfoodnutrition?fdcid=168421" TargetMode="External" Id="rId371" /><Relationship Type="http://schemas.openxmlformats.org/officeDocument/2006/relationships/hyperlink" Target="https://www.logixpathchef.com/app/food/getfoodnutrition?fdcid=168421" TargetMode="External" Id="rId372" /><Relationship Type="http://schemas.openxmlformats.org/officeDocument/2006/relationships/hyperlink" Target="https://www.logixpathchef.com/app/food/getfoodnutrition?fdcid=168421" TargetMode="External" Id="rId373" /><Relationship Type="http://schemas.openxmlformats.org/officeDocument/2006/relationships/hyperlink" Target="https://www.logixpathchef.com/app/food/getfoodnutrition?fdcid=168421" TargetMode="External" Id="rId374" /><Relationship Type="http://schemas.openxmlformats.org/officeDocument/2006/relationships/hyperlink" Target="https://www.logixpathchef.com/app/food/getfoodnutrition?fdcid=168421" TargetMode="External" Id="rId375" /><Relationship Type="http://schemas.openxmlformats.org/officeDocument/2006/relationships/hyperlink" Target="https://www.logixpathchef.com/app/food/getfoodnutrition?fdcid=168421" TargetMode="External" Id="rId376" /><Relationship Type="http://schemas.openxmlformats.org/officeDocument/2006/relationships/hyperlink" Target="https://www.logixpathchef.com/app/food/getfoodnutrition?fdcid=168421" TargetMode="External" Id="rId377" /><Relationship Type="http://schemas.openxmlformats.org/officeDocument/2006/relationships/hyperlink" Target="https://www.logixpathchef.com/app/food/getfoodnutrition?fdcid=168421" TargetMode="External" Id="rId378" /><Relationship Type="http://schemas.openxmlformats.org/officeDocument/2006/relationships/hyperlink" Target="https://ods.od.nih.gov/factsheets/Biotin-HealthProfessional/" TargetMode="External" Id="rId379" /><Relationship Type="http://schemas.openxmlformats.org/officeDocument/2006/relationships/hyperlink" Target="https://www.logixpathchef.com/app/food/getfoodnutrition?fdcid=168421" TargetMode="External" Id="rId380" /><Relationship Type="http://schemas.openxmlformats.org/officeDocument/2006/relationships/hyperlink" Target="https://www.logixpathchef.com/app/food/getfoodnutrition?fdcid=168421" TargetMode="External" Id="rId381" /><Relationship Type="http://schemas.openxmlformats.org/officeDocument/2006/relationships/hyperlink" Target="https://www.logixpathchef.com/app/food/getfoodnutrition?fdcid=168421" TargetMode="External" Id="rId382" /><Relationship Type="http://schemas.openxmlformats.org/officeDocument/2006/relationships/hyperlink" Target="https://www.ars.usda.gov/ARSUserFiles/80400535/Data/Flav/Flav3.3.pdf" TargetMode="External" Id="rId383" /><Relationship Type="http://schemas.openxmlformats.org/officeDocument/2006/relationships/hyperlink" Target="https://www.wholefoodsmarket.com/product/365-by-whole-foods-market-365-everyday-value-organic-blue-curled-kale-16-oz-frozen-b074h5y3wb" TargetMode="External" Id="rId384" /><Relationship Type="http://schemas.openxmlformats.org/officeDocument/2006/relationships/hyperlink" Target="https://www.wholefoodsmarket.com/product/365-by-whole-foods-market-365-everyday-value-organic-blue-curled-kale-16-oz-frozen-b074h5y3wb" TargetMode="External" Id="rId385" /><Relationship Type="http://schemas.openxmlformats.org/officeDocument/2006/relationships/hyperlink" Target="https://www.wholefoodsmarket.com/product/365-by-whole-foods-market-365-everyday-value-organic-blue-curled-kale-16-oz-frozen-b074h5y3wb" TargetMode="External" Id="rId386" /><Relationship Type="http://schemas.openxmlformats.org/officeDocument/2006/relationships/hyperlink" Target="https://www.ars.usda.gov/ARSUserFiles/80400535/Data/PA/PA02-1.pdf" TargetMode="External" Id="rId387" /><Relationship Type="http://schemas.openxmlformats.org/officeDocument/2006/relationships/hyperlink" Target="https://www.wholefoodsmarket.com/product/365-by-whole-foods-market-365-everyday-value-organic-blue-curled-kale-16-oz-frozen-b074h5y3wb" TargetMode="External" Id="rId388" /><Relationship Type="http://schemas.openxmlformats.org/officeDocument/2006/relationships/hyperlink" Target="https://www.ars.usda.gov/ARSUserFiles/80400535/Data/Flav/Flav3.3.pdf" TargetMode="External" Id="rId389" /><Relationship Type="http://schemas.openxmlformats.org/officeDocument/2006/relationships/hyperlink" Target="https://www.cambridge.org/core/services/aop-cambridge-core/content/view/9AAD5BFE984EF28D7DC741C0ECE73724/S0007114505000504a.pdf/lignan_contents_of_dutch_plant_foods_a_database_including_lariciresinol_pinoresinol_secoisolariciresinol_and_matairesinol.pdf" TargetMode="External" Id="rId390" /><Relationship Type="http://schemas.openxmlformats.org/officeDocument/2006/relationships/hyperlink" Target="https://www.logixpathchef.com/app/food/getfoodnutrition?fdcid=168421" TargetMode="External" Id="rId391" /><Relationship Type="http://schemas.openxmlformats.org/officeDocument/2006/relationships/hyperlink" Target="https://www.logixpathchef.com/app/food/getfoodnutrition?fdcid=168421" TargetMode="External" Id="rId392" /><Relationship Type="http://schemas.openxmlformats.org/officeDocument/2006/relationships/hyperlink" Target="https://www.wholefoodsmarket.com/product/365-by-whole-foods-market-365-everyday-value-organic-blue-curled-kale-16-oz-frozen-b074h5y3wb" TargetMode="External" Id="rId393" /><Relationship Type="http://schemas.openxmlformats.org/officeDocument/2006/relationships/hyperlink" Target="https://www.wholefoodsmarket.com/product/365-by-whole-foods-market-365-everyday-value-organic-blue-curled-kale-16-oz-frozen-b074h5y3wb" TargetMode="External" Id="rId394" /><Relationship Type="http://schemas.openxmlformats.org/officeDocument/2006/relationships/hyperlink" Target="https://pubmed.ncbi.nlm.nih.gov/22857862/" TargetMode="External" Id="rId395" /><Relationship Type="http://schemas.openxmlformats.org/officeDocument/2006/relationships/hyperlink" Target="https://www.logixpathchef.com/app/food/getfoodnutrition?fdcid=168421" TargetMode="External" Id="rId396" /><Relationship Type="http://schemas.openxmlformats.org/officeDocument/2006/relationships/hyperlink" Target="https://pmc.ncbi.nlm.nih.gov/articles/PMC5412236/" TargetMode="External" Id="rId397" /><Relationship Type="http://schemas.openxmlformats.org/officeDocument/2006/relationships/hyperlink" Target="https://pmc.ncbi.nlm.nih.gov/articles/PMC6637774/" TargetMode="External" Id="rId398" /><Relationship Type="http://schemas.openxmlformats.org/officeDocument/2006/relationships/hyperlink" Target="https://pubmed.ncbi.nlm.nih.gov/26059143/" TargetMode="External" Id="rId399" /><Relationship Type="http://schemas.openxmlformats.org/officeDocument/2006/relationships/hyperlink" Target="https://www.wholefoodsmarket.com/product/365-by-whole-foods-market-365-everyday-value-organic-blue-curled-kale-16-oz-frozen-b074h5y3wb" TargetMode="External" Id="rId400" /><Relationship Type="http://schemas.openxmlformats.org/officeDocument/2006/relationships/hyperlink" Target="https://www.logixpathchef.com/app/food/getfoodnutrition?fdcid=168421" TargetMode="External" Id="rId401" /><Relationship Type="http://schemas.openxmlformats.org/officeDocument/2006/relationships/hyperlink" Target="https://www.wholefoodsmarket.com/product/365-by-whole-foods-market-365-everyday-value-organic-blue-curled-kale-16-oz-frozen-b074h5y3wb" TargetMode="External" Id="rId402" /><Relationship Type="http://schemas.openxmlformats.org/officeDocument/2006/relationships/hyperlink" Target="https://superfoodly.com/coq10-foods-the-50-highest-natural-dietary-sources/" TargetMode="External" Id="rId403" /><Relationship Type="http://schemas.openxmlformats.org/officeDocument/2006/relationships/hyperlink" Target="https://www.wholefoodsmarket.com/product/365-by-whole-foods-market-365-everyday-value-organic-blue-curled-kale-16-oz-frozen-b074h5y3wb" TargetMode="External" Id="rId404" /><Relationship Type="http://schemas.openxmlformats.org/officeDocument/2006/relationships/hyperlink" Target="https://www.logixpathchef.com/app/food/getfoodnutrition?fdcid=168421" TargetMode="External" Id="rId405" /><Relationship Type="http://schemas.openxmlformats.org/officeDocument/2006/relationships/hyperlink" Target="https://www.wholefoodsmarket.com/product/365-by-whole-foods-market-365-everyday-value-organic-blue-curled-kale-16-oz-frozen-b074h5y3wb" TargetMode="External" Id="rId406" /><Relationship Type="http://schemas.openxmlformats.org/officeDocument/2006/relationships/hyperlink" Target="https://www.wholefoodsmarket.com/product/365-by-whole-foods-market-365-everyday-value-organic-blue-curled-kale-16-oz-frozen-b074h5y3wb" TargetMode="External" Id="rId407" /><Relationship Type="http://schemas.openxmlformats.org/officeDocument/2006/relationships/hyperlink" Target="https://www.wholefoodsmarket.com/product/365-by-whole-foods-market-365-everyday-value-organic-blue-curled-kale-16-oz-frozen-b074h5y3wb" TargetMode="External" Id="rId408" /><Relationship Type="http://schemas.openxmlformats.org/officeDocument/2006/relationships/hyperlink" Target="https://www.wholefoodsmarket.com/product/365-by-whole-foods-market-365-everyday-value-organic-blue-curled-kale-16-oz-frozen-b074h5y3wb" TargetMode="External" Id="rId409" /><Relationship Type="http://schemas.openxmlformats.org/officeDocument/2006/relationships/hyperlink" Target="https://fdc.nal.usda.gov/fdc-datasets/FoodData_Central_sr_legacy_food_csv_2018-04.zip" TargetMode="External" Id="rId410" /><Relationship Type="http://schemas.openxmlformats.org/officeDocument/2006/relationships/hyperlink" Target="https://www.wholefoodsmarket.com/product/365-by-whole-foods-market-365-everyday-value-organic-blue-curled-kale-16-oz-frozen-b074h5y3wb" TargetMode="External" Id="rId411" /><Relationship Type="http://schemas.openxmlformats.org/officeDocument/2006/relationships/hyperlink" Target="https://www.fda.gov/media/159745/download" TargetMode="External" Id="rId412" /><Relationship Type="http://schemas.openxmlformats.org/officeDocument/2006/relationships/hyperlink" Target="https://www.fda.gov/media/159745/download" TargetMode="External" Id="rId413" /><Relationship Type="http://schemas.openxmlformats.org/officeDocument/2006/relationships/hyperlink" Target="https://www.fda.gov/media/159745/download" TargetMode="External" Id="rId414" /><Relationship Type="http://schemas.openxmlformats.org/officeDocument/2006/relationships/hyperlink" Target="https://www.fda.gov/media/159745/download" TargetMode="External" Id="rId415" /><Relationship Type="http://schemas.openxmlformats.org/officeDocument/2006/relationships/hyperlink" Target="https://www.eatthismuch.com/calories/broccoli-sprout-powder-2114684" TargetMode="External" Id="rId416" /><Relationship Type="http://schemas.openxmlformats.org/officeDocument/2006/relationships/hyperlink" Target="https://www.eatthismuch.com/calories/broccoli-sprout-powder-2114684" TargetMode="External" Id="rId417" /><Relationship Type="http://schemas.openxmlformats.org/officeDocument/2006/relationships/hyperlink" Target="https://www.microingredients.com/" TargetMode="External" Id="rId418" /><Relationship Type="http://schemas.openxmlformats.org/officeDocument/2006/relationships/hyperlink" Target="https://www.microingredients.com/" TargetMode="External" Id="rId419" /><Relationship Type="http://schemas.openxmlformats.org/officeDocument/2006/relationships/hyperlink" Target="https://www.microingredients.com/" TargetMode="External" Id="rId420" /><Relationship Type="http://schemas.openxmlformats.org/officeDocument/2006/relationships/hyperlink" Target="https://www.microingredients.com/" TargetMode="External" Id="rId421" /><Relationship Type="http://schemas.openxmlformats.org/officeDocument/2006/relationships/hyperlink" Target="https://www.eatthismuch.com/calories/broccoli-sprout-powder-2114684" TargetMode="External" Id="rId422" /><Relationship Type="http://schemas.openxmlformats.org/officeDocument/2006/relationships/hyperlink" Target="https://www.eatthismuch.com/calories/broccoli-sprout-powder-2114684" TargetMode="External" Id="rId423" /><Relationship Type="http://schemas.openxmlformats.org/officeDocument/2006/relationships/hyperlink" Target="https://www.logixpathchef.com/app/food/getfoodnutrition?fdcid=170379" TargetMode="External" Id="rId424" /><Relationship Type="http://schemas.openxmlformats.org/officeDocument/2006/relationships/hyperlink" Target="https://www.logixpathchef.com/app/food/getfoodnutrition?fdcid=170379" TargetMode="External" Id="rId425" /><Relationship Type="http://schemas.openxmlformats.org/officeDocument/2006/relationships/hyperlink" Target="https://www.logixpathchef.com/app/food/getfoodnutrition?fdcid=170379" TargetMode="External" Id="rId426" /><Relationship Type="http://schemas.openxmlformats.org/officeDocument/2006/relationships/hyperlink" Target="https://www.logixpathchef.com/app/food/getfoodnutrition?fdcid=170379" TargetMode="External" Id="rId427" /><Relationship Type="http://schemas.openxmlformats.org/officeDocument/2006/relationships/hyperlink" Target="https://www.logixpathchef.com/app/food/getfoodnutrition?fdcid=170379" TargetMode="External" Id="rId428" /><Relationship Type="http://schemas.openxmlformats.org/officeDocument/2006/relationships/hyperlink" Target="https://www.microingredients.com/" TargetMode="External" Id="rId429" /><Relationship Type="http://schemas.openxmlformats.org/officeDocument/2006/relationships/hyperlink" Target="https://www.eatthismuch.com/calories/broccoli-sprout-powder-2114684" TargetMode="External" Id="rId430" /><Relationship Type="http://schemas.openxmlformats.org/officeDocument/2006/relationships/hyperlink" Target="https://www.eatthismuch.com/calories/broccoli-sprout-powder-2114684" TargetMode="External" Id="rId431" /><Relationship Type="http://schemas.openxmlformats.org/officeDocument/2006/relationships/hyperlink" Target="https://www.microingredients.com/" TargetMode="External" Id="rId432" /><Relationship Type="http://schemas.openxmlformats.org/officeDocument/2006/relationships/hyperlink" Target="https://www.eatthismuch.com/calories/broccoli-sprout-powder-2114684" TargetMode="External" Id="rId433" /><Relationship Type="http://schemas.openxmlformats.org/officeDocument/2006/relationships/hyperlink" Target="https://www.ars.usda.gov/ARSUserFiles/80400525/data/choline/choln02.pdf" TargetMode="External" Id="rId434" /><Relationship Type="http://schemas.openxmlformats.org/officeDocument/2006/relationships/hyperlink" Target="https://www.eatthismuch.com/calories/broccoli-sprout-powder-2114684" TargetMode="External" Id="rId435" /><Relationship Type="http://schemas.openxmlformats.org/officeDocument/2006/relationships/hyperlink" Target="https://www.logixpathchef.com/app/food/getfoodnutrition?fdcid=170379" TargetMode="External" Id="rId436" /><Relationship Type="http://schemas.openxmlformats.org/officeDocument/2006/relationships/hyperlink" Target="https://www.logixpathchef.com/app/food/getfoodnutrition?fdcid=170379" TargetMode="External" Id="rId437" /><Relationship Type="http://schemas.openxmlformats.org/officeDocument/2006/relationships/hyperlink" Target="https://www.logixpathchef.com/app/food/getfoodnutrition?fdcid=170379" TargetMode="External" Id="rId438" /><Relationship Type="http://schemas.openxmlformats.org/officeDocument/2006/relationships/hyperlink" Target="https://www.eatthismuch.com/calories/broccoli-sprout-powder-2114684" TargetMode="External" Id="rId439" /><Relationship Type="http://schemas.openxmlformats.org/officeDocument/2006/relationships/hyperlink" Target="https://www.eatthismuch.com/calories/broccoli-sprout-powder-2114684" TargetMode="External" Id="rId440" /><Relationship Type="http://schemas.openxmlformats.org/officeDocument/2006/relationships/hyperlink" Target="https://www.logixpathchef.com/app/food/getfoodnutrition?fdcid=170379" TargetMode="External" Id="rId441" /><Relationship Type="http://schemas.openxmlformats.org/officeDocument/2006/relationships/hyperlink" Target="https://www.logixpathchef.com/app/food/getfoodnutrition?fdcid=170379" TargetMode="External" Id="rId442" /><Relationship Type="http://schemas.openxmlformats.org/officeDocument/2006/relationships/hyperlink" Target="https://www.logixpathchef.com/app/food/getfoodnutrition?fdcid=170379" TargetMode="External" Id="rId443" /><Relationship Type="http://schemas.openxmlformats.org/officeDocument/2006/relationships/hyperlink" Target="https://www.logixpathchef.com/app/food/getfoodnutrition?fdcid=170379" TargetMode="External" Id="rId444" /><Relationship Type="http://schemas.openxmlformats.org/officeDocument/2006/relationships/hyperlink" Target="https://www.logixpathchef.com/app/food/getfoodnutrition?fdcid=170379" TargetMode="External" Id="rId445" /><Relationship Type="http://schemas.openxmlformats.org/officeDocument/2006/relationships/hyperlink" Target="https://www.eatthismuch.com/calories/broccoli-sprout-powder-2114684" TargetMode="External" Id="rId446" /><Relationship Type="http://schemas.openxmlformats.org/officeDocument/2006/relationships/hyperlink" Target="https://www.ars.usda.gov/ARSUserFiles/80400535/DATA/IODINE/IODINE_DATABASE_PDFVersion_2020.PDF" TargetMode="External" Id="rId447" /><Relationship Type="http://schemas.openxmlformats.org/officeDocument/2006/relationships/hyperlink" Target="https://www.eatthismuch.com/calories/broccoli-sprout-powder-2114684" TargetMode="External" Id="rId448" /><Relationship Type="http://schemas.openxmlformats.org/officeDocument/2006/relationships/hyperlink" Target="https://www.logixpathchef.com/app/food/getfoodnutrition?fdcid=170379" TargetMode="External" Id="rId449" /><Relationship Type="http://schemas.openxmlformats.org/officeDocument/2006/relationships/hyperlink" Target="https://www.eatthismuch.com/calories/broccoli-sprout-powder-2114684" TargetMode="External" Id="rId450" /><Relationship Type="http://schemas.openxmlformats.org/officeDocument/2006/relationships/hyperlink" Target="https://www.eatthismuch.com/calories/broccoli-sprout-powder-2114684" TargetMode="External" Id="rId451" /><Relationship Type="http://schemas.openxmlformats.org/officeDocument/2006/relationships/hyperlink" Target="https://www.logixpathchef.com/app/food/getfoodnutrition?fdcid=170379" TargetMode="External" Id="rId452" /><Relationship Type="http://schemas.openxmlformats.org/officeDocument/2006/relationships/hyperlink" Target="https://www.logixpathchef.com/app/food/getfoodnutrition?fdcid=170379" TargetMode="External" Id="rId453" /><Relationship Type="http://schemas.openxmlformats.org/officeDocument/2006/relationships/hyperlink" Target="https://www.eatthismuch.com/calories/broccoli-sprout-powder-2114684" TargetMode="External" Id="rId454" /><Relationship Type="http://schemas.openxmlformats.org/officeDocument/2006/relationships/hyperlink" Target="https://www.eatthismuch.com/calories/broccoli-sprout-powder-2114684" TargetMode="External" Id="rId455" /><Relationship Type="http://schemas.openxmlformats.org/officeDocument/2006/relationships/hyperlink" Target="https://www.logixpathchef.com/app/food/getfoodnutrition?fdcid=170379" TargetMode="External" Id="rId456" /><Relationship Type="http://schemas.openxmlformats.org/officeDocument/2006/relationships/hyperlink" Target="https://www.logixpathchef.com/app/food/getfoodnutrition?fdcid=170379" TargetMode="External" Id="rId457" /><Relationship Type="http://schemas.openxmlformats.org/officeDocument/2006/relationships/hyperlink" Target="https://www.logixpathchef.com/app/food/getfoodnutrition?fdcid=170379" TargetMode="External" Id="rId458" /><Relationship Type="http://schemas.openxmlformats.org/officeDocument/2006/relationships/hyperlink" Target="https://www.logixpathchef.com/app/food/getfoodnutrition?fdcid=170379" TargetMode="External" Id="rId459" /><Relationship Type="http://schemas.openxmlformats.org/officeDocument/2006/relationships/hyperlink" Target="https://www.logixpathchef.com/app/food/getfoodnutrition?fdcid=170379" TargetMode="External" Id="rId460" /><Relationship Type="http://schemas.openxmlformats.org/officeDocument/2006/relationships/hyperlink" Target="https://www.eatthismuch.com/calories/broccoli-sprout-powder-2114684" TargetMode="External" Id="rId461" /><Relationship Type="http://schemas.openxmlformats.org/officeDocument/2006/relationships/hyperlink" Target="https://www.eatthismuch.com/calories/broccoli-sprout-powder-2114684" TargetMode="External" Id="rId462" /><Relationship Type="http://schemas.openxmlformats.org/officeDocument/2006/relationships/hyperlink" Target="https://www.logixpathchef.com/app/food/getfoodnutrition?fdcid=170379" TargetMode="External" Id="rId463" /><Relationship Type="http://schemas.openxmlformats.org/officeDocument/2006/relationships/hyperlink" Target="https://www.eatthismuch.com/calories/broccoli-sprout-powder-2114684" TargetMode="External" Id="rId464" /><Relationship Type="http://schemas.openxmlformats.org/officeDocument/2006/relationships/hyperlink" Target="https://www.eatthismuch.com/calories/broccoli-sprout-powder-2114684" TargetMode="External" Id="rId465" /><Relationship Type="http://schemas.openxmlformats.org/officeDocument/2006/relationships/hyperlink" Target="https://www.ars.usda.gov/ARSUserFiles/80400535/Data/Flav/Flav3.3.pdf" TargetMode="External" Id="rId466" /><Relationship Type="http://schemas.openxmlformats.org/officeDocument/2006/relationships/hyperlink" Target="https://www.ars.usda.gov/ARSUserFiles/80400535/Data/Flav/Flav3.3.pdf" TargetMode="External" Id="rId467" /><Relationship Type="http://schemas.openxmlformats.org/officeDocument/2006/relationships/hyperlink" Target="https://www.eatthismuch.com/calories/broccoli-sprout-powder-2114684" TargetMode="External" Id="rId468" /><Relationship Type="http://schemas.openxmlformats.org/officeDocument/2006/relationships/hyperlink" Target="https://www.eatthismuch.com/calories/broccoli-sprout-powder-2114684" TargetMode="External" Id="rId469" /><Relationship Type="http://schemas.openxmlformats.org/officeDocument/2006/relationships/hyperlink" Target="https://www.ars.usda.gov/ARSUserFiles/80400535/Data/PA/PA02-1.pdf" TargetMode="External" Id="rId470" /><Relationship Type="http://schemas.openxmlformats.org/officeDocument/2006/relationships/hyperlink" Target="https://www.eatthismuch.com/calories/broccoli-sprout-powder-2114684" TargetMode="External" Id="rId471" /><Relationship Type="http://schemas.openxmlformats.org/officeDocument/2006/relationships/hyperlink" Target="https://www.ars.usda.gov/ARSUserFiles/80400535/Data/Flav/Flav3.3.pdf" TargetMode="External" Id="rId472" /><Relationship Type="http://schemas.openxmlformats.org/officeDocument/2006/relationships/hyperlink" Target="https://www.cambridge.org/core/services/aop-cambridge-core/content/view/9AAD5BFE984EF28D7DC741C0ECE73724/S0007114505000504a.pdf/lignan_contents_of_dutch_plant_foods_a_database_including_lariciresinol_pinoresinol_secoisolariciresinol_and_matairesinol.pdf" TargetMode="External" Id="rId473" /><Relationship Type="http://schemas.openxmlformats.org/officeDocument/2006/relationships/hyperlink" Target="https://www.eatthismuch.com/calories/broccoli-sprout-powder-2114684" TargetMode="External" Id="rId474" /><Relationship Type="http://schemas.openxmlformats.org/officeDocument/2006/relationships/hyperlink" Target="https://www.eatthismuch.com/calories/broccoli-sprout-powder-2114684" TargetMode="External" Id="rId475" /><Relationship Type="http://schemas.openxmlformats.org/officeDocument/2006/relationships/hyperlink" Target="https://www.eatthismuch.com/calories/broccoli-sprout-powder-2114684" TargetMode="External" Id="rId476" /><Relationship Type="http://schemas.openxmlformats.org/officeDocument/2006/relationships/hyperlink" Target="https://www.eatthismuch.com/calories/broccoli-sprout-powder-2114684" TargetMode="External" Id="rId477" /><Relationship Type="http://schemas.openxmlformats.org/officeDocument/2006/relationships/hyperlink" Target="https://www.koyah.com/blogs/thoughts-behind-koyah/broccoli-sprout-powder-what-the-research-says-about-sulforaphane" TargetMode="External" Id="rId478" /><Relationship Type="http://schemas.openxmlformats.org/officeDocument/2006/relationships/hyperlink" Target="https://www.eatthismuch.com/calories/broccoli-sprout-powder-2114684" TargetMode="External" Id="rId479" /><Relationship Type="http://schemas.openxmlformats.org/officeDocument/2006/relationships/hyperlink" Target="https://www.eatthismuch.com/calories/broccoli-sprout-powder-2114684" TargetMode="External" Id="rId480" /><Relationship Type="http://schemas.openxmlformats.org/officeDocument/2006/relationships/hyperlink" Target="https://pmc.ncbi.nlm.nih.gov/articles/PMC6637774/" TargetMode="External" Id="rId481" /><Relationship Type="http://schemas.openxmlformats.org/officeDocument/2006/relationships/hyperlink" Target="https://www.ars.usda.gov/ARSUserFiles/80400535/Data/Flav/Flav3.3.pdf" TargetMode="External" Id="rId482" /><Relationship Type="http://schemas.openxmlformats.org/officeDocument/2006/relationships/hyperlink" Target="https://www.eatthismuch.com/calories/broccoli-sprout-powder-2114684" TargetMode="External" Id="rId483" /><Relationship Type="http://schemas.openxmlformats.org/officeDocument/2006/relationships/hyperlink" Target="https://www.eatthismuch.com/calories/broccoli-sprout-powder-2114684" TargetMode="External" Id="rId484" /><Relationship Type="http://schemas.openxmlformats.org/officeDocument/2006/relationships/hyperlink" Target="https://www.eatthismuch.com/calories/broccoli-sprout-powder-2114684" TargetMode="External" Id="rId485" /><Relationship Type="http://schemas.openxmlformats.org/officeDocument/2006/relationships/hyperlink" Target="https://superfoodly.com/coq10-foods-the-50-highest-natural-dietary-sources/" TargetMode="External" Id="rId486" /><Relationship Type="http://schemas.openxmlformats.org/officeDocument/2006/relationships/hyperlink" Target="https://www.eatthismuch.com/calories/broccoli-sprout-powder-2114684" TargetMode="External" Id="rId487" /><Relationship Type="http://schemas.openxmlformats.org/officeDocument/2006/relationships/hyperlink" Target="https://www.eatthismuch.com/calories/broccoli-sprout-powder-2114684" TargetMode="External" Id="rId488" /><Relationship Type="http://schemas.openxmlformats.org/officeDocument/2006/relationships/hyperlink" Target="https://www.eatthismuch.com/calories/broccoli-sprout-powder-2114684" TargetMode="External" Id="rId489" /><Relationship Type="http://schemas.openxmlformats.org/officeDocument/2006/relationships/hyperlink" Target="https://www.eatthismuch.com/calories/broccoli-sprout-powder-2114684" TargetMode="External" Id="rId490" /><Relationship Type="http://schemas.openxmlformats.org/officeDocument/2006/relationships/hyperlink" Target="https://www.eatthismuch.com/calories/broccoli-sprout-powder-2114684" TargetMode="External" Id="rId491" /><Relationship Type="http://schemas.openxmlformats.org/officeDocument/2006/relationships/hyperlink" Target="https://www.eatthismuch.com/calories/broccoli-sprout-powder-2114684" TargetMode="External" Id="rId492" /><Relationship Type="http://schemas.openxmlformats.org/officeDocument/2006/relationships/hyperlink" Target="https://fdc.nal.usda.gov/fdc-datasets/FoodData_Central_sr_legacy_food_csv_2018-04.zip" TargetMode="External" Id="rId493" /><Relationship Type="http://schemas.openxmlformats.org/officeDocument/2006/relationships/hyperlink" Target="https://www.eatthismuch.com/calories/broccoli-sprout-powder-2114684" TargetMode="External" Id="rId494" /><Relationship Type="http://schemas.openxmlformats.org/officeDocument/2006/relationships/hyperlink" Target="https://www.erc501c3.org/activecases/qlfjn01upik2s50nfln0q2sifalquh" TargetMode="External" Id="rId495" /><Relationship Type="http://schemas.openxmlformats.org/officeDocument/2006/relationships/hyperlink" Target="https://www.erc501c3.org/activecases/qlfjn01upik2s50nfln0q2sifalquh" TargetMode="External" Id="rId496" /><Relationship Type="http://schemas.openxmlformats.org/officeDocument/2006/relationships/hyperlink" Target="https://www.fda.gov/media/159745/download" TargetMode="External" Id="rId497" /><Relationship Type="http://schemas.openxmlformats.org/officeDocument/2006/relationships/hyperlink" Target="https://www.fda.gov/media/159745/download" TargetMode="External" Id="rId498" /><Relationship Type="http://schemas.openxmlformats.org/officeDocument/2006/relationships/hyperlink" Target="https://www.logixpathchef.com/app/food/getfoodnutrition?fdcid=167765" TargetMode="External" Id="rId499" /><Relationship Type="http://schemas.openxmlformats.org/officeDocument/2006/relationships/hyperlink" Target="https://www.logixpathchef.com/app/food/getfoodnutrition?fdcid=167765" TargetMode="External" Id="rId500" /><Relationship Type="http://schemas.openxmlformats.org/officeDocument/2006/relationships/hyperlink" Target="https://www.wholefoodsmarket.com/product/produce-organic-seedless-watermelon-b07hm1jc3h" TargetMode="External" Id="rId501" /><Relationship Type="http://schemas.openxmlformats.org/officeDocument/2006/relationships/hyperlink" Target="https://www.wholefoodsmarket.com/product/produce-organic-seedless-watermelon-b07hm1jc3h" TargetMode="External" Id="rId502" /><Relationship Type="http://schemas.openxmlformats.org/officeDocument/2006/relationships/hyperlink" Target="https://www.wholefoodsmarket.com/product/produce-organic-seedless-watermelon-b07hm1jc3h" TargetMode="External" Id="rId503" /><Relationship Type="http://schemas.openxmlformats.org/officeDocument/2006/relationships/hyperlink" Target="https://www.wholefoodsmarket.com/product/produce-organic-seedless-watermelon-b07hm1jc3h" TargetMode="External" Id="rId504" /><Relationship Type="http://schemas.openxmlformats.org/officeDocument/2006/relationships/hyperlink" Target="https://www.logixpathchef.com/app/food/getfoodnutrition?fdcid=167765" TargetMode="External" Id="rId505" /><Relationship Type="http://schemas.openxmlformats.org/officeDocument/2006/relationships/hyperlink" Target="https://www.logixpathchef.com/app/food/getfoodnutrition?fdcid=167765" TargetMode="External" Id="rId506" /><Relationship Type="http://schemas.openxmlformats.org/officeDocument/2006/relationships/hyperlink" Target="https://www.logixpathchef.com/app/food/getfoodnutrition?fdcid=167765" TargetMode="External" Id="rId507" /><Relationship Type="http://schemas.openxmlformats.org/officeDocument/2006/relationships/hyperlink" Target="https://www.logixpathchef.com/app/food/getfoodnutrition?fdcid=167765" TargetMode="External" Id="rId508" /><Relationship Type="http://schemas.openxmlformats.org/officeDocument/2006/relationships/hyperlink" Target="https://www.logixpathchef.com/app/food/getfoodnutrition?fdcid=167765" TargetMode="External" Id="rId509" /><Relationship Type="http://schemas.openxmlformats.org/officeDocument/2006/relationships/hyperlink" Target="https://www.logixpathchef.com/app/food/getfoodnutrition?fdcid=167765" TargetMode="External" Id="rId510" /><Relationship Type="http://schemas.openxmlformats.org/officeDocument/2006/relationships/hyperlink" Target="https://www.logixpathchef.com/app/food/getfoodnutrition?fdcid=167765" TargetMode="External" Id="rId511" /><Relationship Type="http://schemas.openxmlformats.org/officeDocument/2006/relationships/hyperlink" Target="https://www.logixpathchef.com/app/food/getfoodnutrition?fdcid=167765" TargetMode="External" Id="rId512" /><Relationship Type="http://schemas.openxmlformats.org/officeDocument/2006/relationships/hyperlink" Target="https://www.logixpathchef.com/app/food/getfoodnutrition?fdcid=167765" TargetMode="External" Id="rId513" /><Relationship Type="http://schemas.openxmlformats.org/officeDocument/2006/relationships/hyperlink" Target="https://www.logixpathchef.com/app/food/getfoodnutrition?fdcid=167765" TargetMode="External" Id="rId514" /><Relationship Type="http://schemas.openxmlformats.org/officeDocument/2006/relationships/hyperlink" Target="https://www.wholefoodsmarket.com/product/produce-organic-seedless-watermelon-b07hm1jc3h" TargetMode="External" Id="rId515" /><Relationship Type="http://schemas.openxmlformats.org/officeDocument/2006/relationships/hyperlink" Target="https://www.logixpathchef.com/app/food/getfoodnutrition?fdcid=167765" TargetMode="External" Id="rId516" /><Relationship Type="http://schemas.openxmlformats.org/officeDocument/2006/relationships/hyperlink" Target="https://www.logixpathchef.com/app/food/getfoodnutrition?fdcid=167765" TargetMode="External" Id="rId517" /><Relationship Type="http://schemas.openxmlformats.org/officeDocument/2006/relationships/hyperlink" Target="https://www.logixpathchef.com/app/food/getfoodnutrition?fdcid=167765" TargetMode="External" Id="rId518" /><Relationship Type="http://schemas.openxmlformats.org/officeDocument/2006/relationships/hyperlink" Target="https://www.logixpathchef.com/app/food/getfoodnutrition?fdcid=167765" TargetMode="External" Id="rId519" /><Relationship Type="http://schemas.openxmlformats.org/officeDocument/2006/relationships/hyperlink" Target="https://www.logixpathchef.com/app/food/getfoodnutrition?fdcid=167765" TargetMode="External" Id="rId520" /><Relationship Type="http://schemas.openxmlformats.org/officeDocument/2006/relationships/hyperlink" Target="https://www.logixpathchef.com/app/food/getfoodnutrition?fdcid=167765" TargetMode="External" Id="rId521" /><Relationship Type="http://schemas.openxmlformats.org/officeDocument/2006/relationships/hyperlink" Target="https://www.logixpathchef.com/app/food/getfoodnutrition?fdcid=167765" TargetMode="External" Id="rId522" /><Relationship Type="http://schemas.openxmlformats.org/officeDocument/2006/relationships/hyperlink" Target="https://www.logixpathchef.com/app/food/getfoodnutrition?fdcid=167765" TargetMode="External" Id="rId523" /><Relationship Type="http://schemas.openxmlformats.org/officeDocument/2006/relationships/hyperlink" Target="https://www.logixpathchef.com/app/food/getfoodnutrition?fdcid=167765" TargetMode="External" Id="rId524" /><Relationship Type="http://schemas.openxmlformats.org/officeDocument/2006/relationships/hyperlink" Target="https://www.logixpathchef.com/app/food/getfoodnutrition?fdcid=167765" TargetMode="External" Id="rId525" /><Relationship Type="http://schemas.openxmlformats.org/officeDocument/2006/relationships/hyperlink" Target="https://www.logixpathchef.com/app/food/getfoodnutrition?fdcid=167765" TargetMode="External" Id="rId526" /><Relationship Type="http://schemas.openxmlformats.org/officeDocument/2006/relationships/hyperlink" Target="https://www.logixpathchef.com/app/food/getfoodnutrition?fdcid=167765" TargetMode="External" Id="rId527" /><Relationship Type="http://schemas.openxmlformats.org/officeDocument/2006/relationships/hyperlink" Target="https://www.logixpathchef.com/app/food/getfoodnutrition?fdcid=167765" TargetMode="External" Id="rId528" /><Relationship Type="http://schemas.openxmlformats.org/officeDocument/2006/relationships/hyperlink" Target="https://www.logixpathchef.com/app/food/getfoodnutrition?fdcid=167765" TargetMode="External" Id="rId529" /><Relationship Type="http://schemas.openxmlformats.org/officeDocument/2006/relationships/hyperlink" Target="https://www.ars.usda.gov/ARSUserFiles/80400535/DATA/IODINE/IODINE_DATABASE_PDFVersion_2020.PDF" TargetMode="External" Id="rId530" /><Relationship Type="http://schemas.openxmlformats.org/officeDocument/2006/relationships/hyperlink" Target="https://www.logixpathchef.com/app/food/getfoodnutrition?fdcid=167765" TargetMode="External" Id="rId531" /><Relationship Type="http://schemas.openxmlformats.org/officeDocument/2006/relationships/hyperlink" Target="https://www.logixpathchef.com/app/food/getfoodnutrition?fdcid=167765" TargetMode="External" Id="rId532" /><Relationship Type="http://schemas.openxmlformats.org/officeDocument/2006/relationships/hyperlink" Target="https://www.logixpathchef.com/app/food/getfoodnutrition?fdcid=167765" TargetMode="External" Id="rId533" /><Relationship Type="http://schemas.openxmlformats.org/officeDocument/2006/relationships/hyperlink" Target="https://www.logixpathchef.com/app/food/getfoodnutrition?fdcid=167765" TargetMode="External" Id="rId534" /><Relationship Type="http://schemas.openxmlformats.org/officeDocument/2006/relationships/hyperlink" Target="https://www.logixpathchef.com/app/food/getfoodnutrition?fdcid=167765" TargetMode="External" Id="rId535" /><Relationship Type="http://schemas.openxmlformats.org/officeDocument/2006/relationships/hyperlink" Target="https://www.logixpathchef.com/app/food/getfoodnutrition?fdcid=167765" TargetMode="External" Id="rId536" /><Relationship Type="http://schemas.openxmlformats.org/officeDocument/2006/relationships/hyperlink" Target="https://www.logixpathchef.com/app/food/getfoodnutrition?fdcid=167765" TargetMode="External" Id="rId537" /><Relationship Type="http://schemas.openxmlformats.org/officeDocument/2006/relationships/hyperlink" Target="https://www.logixpathchef.com/app/food/getfoodnutrition?fdcid=167765" TargetMode="External" Id="rId538" /><Relationship Type="http://schemas.openxmlformats.org/officeDocument/2006/relationships/hyperlink" Target="https://www.logixpathchef.com/app/food/getfoodnutrition?fdcid=167765" TargetMode="External" Id="rId539" /><Relationship Type="http://schemas.openxmlformats.org/officeDocument/2006/relationships/hyperlink" Target="https://www.logixpathchef.com/app/food/getfoodnutrition?fdcid=167765" TargetMode="External" Id="rId540" /><Relationship Type="http://schemas.openxmlformats.org/officeDocument/2006/relationships/hyperlink" Target="https://www.logixpathchef.com/app/food/getfoodnutrition?fdcid=167765" TargetMode="External" Id="rId541" /><Relationship Type="http://schemas.openxmlformats.org/officeDocument/2006/relationships/hyperlink" Target="https://www.logixpathchef.com/app/food/getfoodnutrition?fdcid=167765" TargetMode="External" Id="rId542" /><Relationship Type="http://schemas.openxmlformats.org/officeDocument/2006/relationships/hyperlink" Target="https://www.logixpathchef.com/app/food/getfoodnutrition?fdcid=167765" TargetMode="External" Id="rId543" /><Relationship Type="http://schemas.openxmlformats.org/officeDocument/2006/relationships/hyperlink" Target="https://www.logixpathchef.com/app/food/getfoodnutrition?fdcid=167765" TargetMode="External" Id="rId544" /><Relationship Type="http://schemas.openxmlformats.org/officeDocument/2006/relationships/hyperlink" Target="https://www.logixpathchef.com/app/food/getfoodnutrition?fdcid=167765" TargetMode="External" Id="rId545" /><Relationship Type="http://schemas.openxmlformats.org/officeDocument/2006/relationships/hyperlink" Target="https://www.logixpathchef.com/app/food/getfoodnutrition?fdcid=167765" TargetMode="External" Id="rId546" /><Relationship Type="http://schemas.openxmlformats.org/officeDocument/2006/relationships/hyperlink" Target="https://www.logixpathchef.com/app/food/getfoodnutrition?fdcid=167765" TargetMode="External" Id="rId547" /><Relationship Type="http://schemas.openxmlformats.org/officeDocument/2006/relationships/hyperlink" Target="https://www.logixpathchef.com/app/food/getfoodnutrition?fdcid=167765" TargetMode="External" Id="rId548" /><Relationship Type="http://schemas.openxmlformats.org/officeDocument/2006/relationships/hyperlink" Target="https://www.ars.usda.gov/ARSUserFiles/80400535/Data/Flav/Flav3.3.pdf" TargetMode="External" Id="rId549" /><Relationship Type="http://schemas.openxmlformats.org/officeDocument/2006/relationships/hyperlink" Target="https://www.ars.usda.gov/ARSUserFiles/80400535/Data/Flav/Flav3.3.pdf" TargetMode="External" Id="rId550" /><Relationship Type="http://schemas.openxmlformats.org/officeDocument/2006/relationships/hyperlink" Target="https://www.wholefoodsmarket.com/product/produce-organic-seedless-watermelon-b07hm1jc3h" TargetMode="External" Id="rId551" /><Relationship Type="http://schemas.openxmlformats.org/officeDocument/2006/relationships/hyperlink" Target="https://www.wholefoodsmarket.com/product/produce-organic-seedless-watermelon-b07hm1jc3h" TargetMode="External" Id="rId552" /><Relationship Type="http://schemas.openxmlformats.org/officeDocument/2006/relationships/hyperlink" Target="https://www.ars.usda.gov/ARSUserFiles/80400535/Data/PA/PA02-1.pdf" TargetMode="External" Id="rId553" /><Relationship Type="http://schemas.openxmlformats.org/officeDocument/2006/relationships/hyperlink" Target="https://www.wholefoodsmarket.com/product/produce-organic-seedless-watermelon-b07hm1jc3h" TargetMode="External" Id="rId554" /><Relationship Type="http://schemas.openxmlformats.org/officeDocument/2006/relationships/hyperlink" Target="https://www.ars.usda.gov/ARSUserFiles/80400535/Data/Flav/Flav3.3.pdf" TargetMode="External" Id="rId555" /><Relationship Type="http://schemas.openxmlformats.org/officeDocument/2006/relationships/hyperlink" Target="https://www.logixpathchef.com/app/food/getfoodnutrition?fdcid=167765" TargetMode="External" Id="rId556" /><Relationship Type="http://schemas.openxmlformats.org/officeDocument/2006/relationships/hyperlink" Target="https://www.logixpathchef.com/app/food/getfoodnutrition?fdcid=167765" TargetMode="External" Id="rId557" /><Relationship Type="http://schemas.openxmlformats.org/officeDocument/2006/relationships/hyperlink" Target="https://www.logixpathchef.com/app/food/getfoodnutrition?fdcid=167765" TargetMode="External" Id="rId558" /><Relationship Type="http://schemas.openxmlformats.org/officeDocument/2006/relationships/hyperlink" Target="https://www.logixpathchef.com/app/food/getfoodnutrition?fdcid=167765" TargetMode="External" Id="rId559" /><Relationship Type="http://schemas.openxmlformats.org/officeDocument/2006/relationships/hyperlink" Target="https://www.wholefoodsmarket.com/product/produce-organic-seedless-watermelon-b07hm1jc3h" TargetMode="External" Id="rId560" /><Relationship Type="http://schemas.openxmlformats.org/officeDocument/2006/relationships/hyperlink" Target="https://www.wholefoodsmarket.com/product/produce-organic-seedless-watermelon-b07hm1jc3h" TargetMode="External" Id="rId561" /><Relationship Type="http://schemas.openxmlformats.org/officeDocument/2006/relationships/hyperlink" Target="https://www.logixpathchef.com/app/food/getfoodnutrition?fdcid=167765" TargetMode="External" Id="rId562" /><Relationship Type="http://schemas.openxmlformats.org/officeDocument/2006/relationships/hyperlink" Target="https://www.logixpathchef.com/app/food/getfoodnutrition?fdcid=167765" TargetMode="External" Id="rId563" /><Relationship Type="http://schemas.openxmlformats.org/officeDocument/2006/relationships/hyperlink" Target="https://pmc.ncbi.nlm.nih.gov/articles/PMC6637774/" TargetMode="External" Id="rId564" /><Relationship Type="http://schemas.openxmlformats.org/officeDocument/2006/relationships/hyperlink" Target="https://www.logixpathchef.com/app/food/getfoodnutrition?fdcid=167765" TargetMode="External" Id="rId565" /><Relationship Type="http://schemas.openxmlformats.org/officeDocument/2006/relationships/hyperlink" Target="https://www.wholefoodsmarket.com/product/produce-organic-seedless-watermelon-b07hm1jc3h" TargetMode="External" Id="rId566" /><Relationship Type="http://schemas.openxmlformats.org/officeDocument/2006/relationships/hyperlink" Target="https://www.logixpathchef.com/app/food/getfoodnutrition?fdcid=167765" TargetMode="External" Id="rId567" /><Relationship Type="http://schemas.openxmlformats.org/officeDocument/2006/relationships/hyperlink" Target="https://www.wholefoodsmarket.com/product/produce-organic-seedless-watermelon-b07hm1jc3h" TargetMode="External" Id="rId568" /><Relationship Type="http://schemas.openxmlformats.org/officeDocument/2006/relationships/hyperlink" Target="https://www.logixpathchef.com/app/food/getfoodnutrition?fdcid=167765" TargetMode="External" Id="rId569" /><Relationship Type="http://schemas.openxmlformats.org/officeDocument/2006/relationships/hyperlink" Target="https://www.wholefoodsmarket.com/product/produce-organic-seedless-watermelon-b07hm1jc3h" TargetMode="External" Id="rId570" /><Relationship Type="http://schemas.openxmlformats.org/officeDocument/2006/relationships/hyperlink" Target="https://www.logixpathchef.com/app/food/getfoodnutrition?fdcid=167765" TargetMode="External" Id="rId571" /><Relationship Type="http://schemas.openxmlformats.org/officeDocument/2006/relationships/hyperlink" Target="https://www.wholefoodsmarket.com/product/produce-organic-seedless-watermelon-b07hm1jc3h" TargetMode="External" Id="rId572" /><Relationship Type="http://schemas.openxmlformats.org/officeDocument/2006/relationships/hyperlink" Target="https://www.wholefoodsmarket.com/product/produce-organic-seedless-watermelon-b07hm1jc3h" TargetMode="External" Id="rId573" /><Relationship Type="http://schemas.openxmlformats.org/officeDocument/2006/relationships/hyperlink" Target="https://www.wholefoodsmarket.com/product/produce-organic-seedless-watermelon-b07hm1jc3h" TargetMode="External" Id="rId574" /><Relationship Type="http://schemas.openxmlformats.org/officeDocument/2006/relationships/hyperlink" Target="https://www.wholefoodsmarket.com/product/produce-organic-seedless-watermelon-b07hm1jc3h" TargetMode="External" Id="rId575" /><Relationship Type="http://schemas.openxmlformats.org/officeDocument/2006/relationships/hyperlink" Target="https://www.logixpathchef.com/app/food/getfoodnutrition?fdcid=167765" TargetMode="External" Id="rId576" /><Relationship Type="http://schemas.openxmlformats.org/officeDocument/2006/relationships/hyperlink" Target="https://www.wholefoodsmarket.com/product/produce-organic-seedless-watermelon-b07hm1jc3h" TargetMode="External" Id="rId577" /><Relationship Type="http://schemas.openxmlformats.org/officeDocument/2006/relationships/hyperlink" Target="https://www.fda.gov/media/159745/download" TargetMode="External" Id="rId578" /><Relationship Type="http://schemas.openxmlformats.org/officeDocument/2006/relationships/hyperlink" Target="https://www.fda.gov/media/159745/download" TargetMode="External" Id="rId579" /><Relationship Type="http://schemas.openxmlformats.org/officeDocument/2006/relationships/hyperlink" Target="https://www.fda.gov/media/159745/download" TargetMode="External" Id="rId580" /><Relationship Type="http://schemas.openxmlformats.org/officeDocument/2006/relationships/hyperlink" Target="https://www.fda.gov/media/159745/download" TargetMode="External" Id="rId581" /><Relationship Type="http://schemas.openxmlformats.org/officeDocument/2006/relationships/hyperlink" Target="https://navitasorganics.com/products/goji-berries" TargetMode="External" Id="rId582" /><Relationship Type="http://schemas.openxmlformats.org/officeDocument/2006/relationships/hyperlink" Target="https://navitasorganics.com/products/goji-berries" TargetMode="External" Id="rId583" /><Relationship Type="http://schemas.openxmlformats.org/officeDocument/2006/relationships/hyperlink" Target="https://navitasorganics.com/products/goji-berries" TargetMode="External" Id="rId584" /><Relationship Type="http://schemas.openxmlformats.org/officeDocument/2006/relationships/hyperlink" Target="https://navitasorganics.com/products/goji-berries" TargetMode="External" Id="rId585" /><Relationship Type="http://schemas.openxmlformats.org/officeDocument/2006/relationships/hyperlink" Target="https://navitasorganics.com/products/goji-berries" TargetMode="External" Id="rId586" /><Relationship Type="http://schemas.openxmlformats.org/officeDocument/2006/relationships/hyperlink" Target="https://navitasorganics.com/products/goji-berries" TargetMode="External" Id="rId587" /><Relationship Type="http://schemas.openxmlformats.org/officeDocument/2006/relationships/hyperlink" Target="https://navitasorganics.com/products/goji-berries" TargetMode="External" Id="rId588" /><Relationship Type="http://schemas.openxmlformats.org/officeDocument/2006/relationships/hyperlink" Target="https://navitasorganics.com/products/goji-berries" TargetMode="External" Id="rId589" /><Relationship Type="http://schemas.openxmlformats.org/officeDocument/2006/relationships/hyperlink" Target="https://navitasorganics.com/products/goji-berries" TargetMode="External" Id="rId590" /><Relationship Type="http://schemas.openxmlformats.org/officeDocument/2006/relationships/hyperlink" Target="https://navitasorganics.com/products/goji-berries" TargetMode="External" Id="rId591" /><Relationship Type="http://schemas.openxmlformats.org/officeDocument/2006/relationships/hyperlink" Target="https://navitasorganics.com/products/goji-berries" TargetMode="External" Id="rId592" /><Relationship Type="http://schemas.openxmlformats.org/officeDocument/2006/relationships/hyperlink" Target="https://www.logixpathchef.com/app/food/getfoodnutrition?fdcid=173032" TargetMode="External" Id="rId593" /><Relationship Type="http://schemas.openxmlformats.org/officeDocument/2006/relationships/hyperlink" Target="https://www.logixpathchef.com/app/food/getfoodnutrition?fdcid=173032" TargetMode="External" Id="rId594" /><Relationship Type="http://schemas.openxmlformats.org/officeDocument/2006/relationships/hyperlink" Target="https://navitasorganics.com/products/goji-berries" TargetMode="External" Id="rId595" /><Relationship Type="http://schemas.openxmlformats.org/officeDocument/2006/relationships/hyperlink" Target="https://navitasorganics.com/products/goji-berries" TargetMode="External" Id="rId596" /><Relationship Type="http://schemas.openxmlformats.org/officeDocument/2006/relationships/hyperlink" Target="https://navitasorganics.com/products/goji-berries" TargetMode="External" Id="rId597" /><Relationship Type="http://schemas.openxmlformats.org/officeDocument/2006/relationships/hyperlink" Target="https://navitasorganics.com/products/goji-berries" TargetMode="External" Id="rId598" /><Relationship Type="http://schemas.openxmlformats.org/officeDocument/2006/relationships/hyperlink" Target="https://navitasorganics.com/products/goji-berries" TargetMode="External" Id="rId599" /><Relationship Type="http://schemas.openxmlformats.org/officeDocument/2006/relationships/hyperlink" Target="https://www.logixpathchef.com/app/food/getfoodnutrition?fdcid=173032" TargetMode="External" Id="rId600" /><Relationship Type="http://schemas.openxmlformats.org/officeDocument/2006/relationships/hyperlink" Target="https://navitasorganics.com/products/goji-berries" TargetMode="External" Id="rId601" /><Relationship Type="http://schemas.openxmlformats.org/officeDocument/2006/relationships/hyperlink" Target="https://journal.pan.olsztyn.pl/pdf-98443-31199?filename=31199.pdf" TargetMode="External" Id="rId602" /><Relationship Type="http://schemas.openxmlformats.org/officeDocument/2006/relationships/hyperlink" Target="https://navitasorganics.com/products/goji-berries" TargetMode="External" Id="rId603" /><Relationship Type="http://schemas.openxmlformats.org/officeDocument/2006/relationships/hyperlink" Target="https://journal.pan.olsztyn.pl/pdf-98443-31199?filename=31199.pdf" TargetMode="External" Id="rId604" /><Relationship Type="http://schemas.openxmlformats.org/officeDocument/2006/relationships/hyperlink" Target="https://navitasorganics.com/products/goji-berries" TargetMode="External" Id="rId605" /><Relationship Type="http://schemas.openxmlformats.org/officeDocument/2006/relationships/hyperlink" Target="https://www.logixpathchef.com/app/food/getfoodnutrition?fdcid=173032" TargetMode="External" Id="rId606" /><Relationship Type="http://schemas.openxmlformats.org/officeDocument/2006/relationships/hyperlink" Target="https://navitasorganics.com/products/goji-berries" TargetMode="External" Id="rId607" /><Relationship Type="http://schemas.openxmlformats.org/officeDocument/2006/relationships/hyperlink" Target="https://www.logixpathchef.com/app/food/getfoodnutrition?fdcid=173032" TargetMode="External" Id="rId608" /><Relationship Type="http://schemas.openxmlformats.org/officeDocument/2006/relationships/hyperlink" Target="https://www.logixpathchef.com/app/food/getfoodnutrition?fdcid=173032" TargetMode="External" Id="rId609" /><Relationship Type="http://schemas.openxmlformats.org/officeDocument/2006/relationships/hyperlink" Target="https://www.logixpathchef.com/app/food/getfoodnutrition?fdcid=173032" TargetMode="External" Id="rId610" /><Relationship Type="http://schemas.openxmlformats.org/officeDocument/2006/relationships/hyperlink" Target="https://www.logixpathchef.com/app/food/getfoodnutrition?fdcid=173032" TargetMode="External" Id="rId611" /><Relationship Type="http://schemas.openxmlformats.org/officeDocument/2006/relationships/hyperlink" Target="https://www.logixpathchef.com/app/food/getfoodnutrition?fdcid=173032" TargetMode="External" Id="rId612" /><Relationship Type="http://schemas.openxmlformats.org/officeDocument/2006/relationships/hyperlink" Target="https://www.logixpathchef.com/app/food/getfoodnutrition?fdcid=173032" TargetMode="External" Id="rId613" /><Relationship Type="http://schemas.openxmlformats.org/officeDocument/2006/relationships/hyperlink" Target="https://www.logixpathchef.com/app/food/getfoodnutrition?fdcid=173032" TargetMode="External" Id="rId614" /><Relationship Type="http://schemas.openxmlformats.org/officeDocument/2006/relationships/hyperlink" Target="https://navitasorganics.com/products/goji-berries" TargetMode="External" Id="rId615" /><Relationship Type="http://schemas.openxmlformats.org/officeDocument/2006/relationships/hyperlink" Target="https://www.logixpathchef.com/app/food/getfoodnutrition?fdcid=173032" TargetMode="External" Id="rId616" /><Relationship Type="http://schemas.openxmlformats.org/officeDocument/2006/relationships/hyperlink" Target="https://navitasorganics.com/products/goji-berries" TargetMode="External" Id="rId617" /><Relationship Type="http://schemas.openxmlformats.org/officeDocument/2006/relationships/hyperlink" Target="https://www.logixpathchef.com/app/food/getfoodnutrition?fdcid=173032" TargetMode="External" Id="rId618" /><Relationship Type="http://schemas.openxmlformats.org/officeDocument/2006/relationships/hyperlink" Target="https://www.logixpathchef.com/app/food/getfoodnutrition?fdcid=173032" TargetMode="External" Id="rId619" /><Relationship Type="http://schemas.openxmlformats.org/officeDocument/2006/relationships/hyperlink" Target="https://www.logixpathchef.com/app/food/getfoodnutrition?fdcid=173032" TargetMode="External" Id="rId620" /><Relationship Type="http://schemas.openxmlformats.org/officeDocument/2006/relationships/hyperlink" Target="https://www.logixpathchef.com/app/food/getfoodnutrition?fdcid=173032" TargetMode="External" Id="rId621" /><Relationship Type="http://schemas.openxmlformats.org/officeDocument/2006/relationships/hyperlink" Target="https://www.logixpathchef.com/app/food/getfoodnutrition?fdcid=173032" TargetMode="External" Id="rId622" /><Relationship Type="http://schemas.openxmlformats.org/officeDocument/2006/relationships/hyperlink" Target="https://www.logixpathchef.com/app/food/getfoodnutrition?fdcid=173032" TargetMode="External" Id="rId623" /><Relationship Type="http://schemas.openxmlformats.org/officeDocument/2006/relationships/hyperlink" Target="https://www.logixpathchef.com/app/food/getfoodnutrition?fdcid=173032" TargetMode="External" Id="rId624" /><Relationship Type="http://schemas.openxmlformats.org/officeDocument/2006/relationships/hyperlink" Target="https://www.logixpathchef.com/app/food/getfoodnutrition?fdcid=173032" TargetMode="External" Id="rId625" /><Relationship Type="http://schemas.openxmlformats.org/officeDocument/2006/relationships/hyperlink" Target="https://www.logixpathchef.com/app/food/getfoodnutrition?fdcid=173032" TargetMode="External" Id="rId626" /><Relationship Type="http://schemas.openxmlformats.org/officeDocument/2006/relationships/hyperlink" Target="https://www.logixpathchef.com/app/food/getfoodnutrition?fdcid=173032" TargetMode="External" Id="rId627" /><Relationship Type="http://schemas.openxmlformats.org/officeDocument/2006/relationships/hyperlink" Target="https://www.logixpathchef.com/app/food/getfoodnutrition?fdcid=173032" TargetMode="External" Id="rId628" /><Relationship Type="http://schemas.openxmlformats.org/officeDocument/2006/relationships/hyperlink" Target="https://www.logixpathchef.com/app/food/getfoodnutrition?fdcid=173032" TargetMode="External" Id="rId629" /><Relationship Type="http://schemas.openxmlformats.org/officeDocument/2006/relationships/hyperlink" Target="https://navitasorganics.com/products/goji-berries" TargetMode="External" Id="rId630" /><Relationship Type="http://schemas.openxmlformats.org/officeDocument/2006/relationships/hyperlink" Target="https://navitasorganics.com/products/goji-berries" TargetMode="External" Id="rId631" /><Relationship Type="http://schemas.openxmlformats.org/officeDocument/2006/relationships/hyperlink" Target="https://www.ars.usda.gov/ARSUserFiles/80400535/Data/Flav/Flav3.3.pdf" TargetMode="External" Id="rId632" /><Relationship Type="http://schemas.openxmlformats.org/officeDocument/2006/relationships/hyperlink" Target="https://navitasorganics.com/products/goji-berries" TargetMode="External" Id="rId633" /><Relationship Type="http://schemas.openxmlformats.org/officeDocument/2006/relationships/hyperlink" Target="https://navitasorganics.com/products/goji-berries" TargetMode="External" Id="rId634" /><Relationship Type="http://schemas.openxmlformats.org/officeDocument/2006/relationships/hyperlink" Target="https://www.logixpathchef.com/app/food/getfoodnutrition?fdcid=173032" TargetMode="External" Id="rId635" /><Relationship Type="http://schemas.openxmlformats.org/officeDocument/2006/relationships/hyperlink" Target="https://www.ars.usda.gov/ARSUserFiles/80400535/Data/PA/PA02-1.pdf" TargetMode="External" Id="rId636" /><Relationship Type="http://schemas.openxmlformats.org/officeDocument/2006/relationships/hyperlink" Target="https://navitasorganics.com/products/goji-berries" TargetMode="External" Id="rId637" /><Relationship Type="http://schemas.openxmlformats.org/officeDocument/2006/relationships/hyperlink" Target="https://www.ars.usda.gov/ARSUserFiles/80400535/Data/Flav/Flav3.3.pdf" TargetMode="External" Id="rId638" /><Relationship Type="http://schemas.openxmlformats.org/officeDocument/2006/relationships/hyperlink" Target="https://www.logixpathchef.com/app/food/getfoodnutrition?fdcid=173032" TargetMode="External" Id="rId639" /><Relationship Type="http://schemas.openxmlformats.org/officeDocument/2006/relationships/hyperlink" Target="https://itjfs.com/index.php/ijfs/article/download/649/329/4073" TargetMode="External" Id="rId640" /><Relationship Type="http://schemas.openxmlformats.org/officeDocument/2006/relationships/hyperlink" Target="https://itjfs.com/index.php/ijfs/article/download/649/329/4073" TargetMode="External" Id="rId641" /><Relationship Type="http://schemas.openxmlformats.org/officeDocument/2006/relationships/hyperlink" Target="https://www.logixpathchef.com/app/food/getfoodnutrition?fdcid=173032" TargetMode="External" Id="rId642" /><Relationship Type="http://schemas.openxmlformats.org/officeDocument/2006/relationships/hyperlink" Target="https://navitasorganics.com/products/goji-berries" TargetMode="External" Id="rId643" /><Relationship Type="http://schemas.openxmlformats.org/officeDocument/2006/relationships/hyperlink" Target="https://navitasorganics.com/products/goji-berries" TargetMode="External" Id="rId644" /><Relationship Type="http://schemas.openxmlformats.org/officeDocument/2006/relationships/hyperlink" Target="https://www.logixpathchef.com/app/food/getfoodnutrition?fdcid=173032" TargetMode="External" Id="rId645" /><Relationship Type="http://schemas.openxmlformats.org/officeDocument/2006/relationships/hyperlink" Target="https://www.logixpathchef.com/app/food/getfoodnutrition?fdcid=173032" TargetMode="External" Id="rId646" /><Relationship Type="http://schemas.openxmlformats.org/officeDocument/2006/relationships/hyperlink" Target="https://pmc.ncbi.nlm.nih.gov/articles/PMC3022763/" TargetMode="External" Id="rId647" /><Relationship Type="http://schemas.openxmlformats.org/officeDocument/2006/relationships/hyperlink" Target="https://www.logixpathchef.com/app/food/getfoodnutrition?fdcid=173032" TargetMode="External" Id="rId648" /><Relationship Type="http://schemas.openxmlformats.org/officeDocument/2006/relationships/hyperlink" Target="https://navitasorganics.com/products/goji-berries" TargetMode="External" Id="rId649" /><Relationship Type="http://schemas.openxmlformats.org/officeDocument/2006/relationships/hyperlink" Target="https://www.logixpathchef.com/app/food/getfoodnutrition?fdcid=173032" TargetMode="External" Id="rId650" /><Relationship Type="http://schemas.openxmlformats.org/officeDocument/2006/relationships/hyperlink" Target="https://navitasorganics.com/products/goji-berries" TargetMode="External" Id="rId651" /><Relationship Type="http://schemas.openxmlformats.org/officeDocument/2006/relationships/hyperlink" Target="https://www.logixpathchef.com/app/food/getfoodnutrition?fdcid=173032" TargetMode="External" Id="rId652" /><Relationship Type="http://schemas.openxmlformats.org/officeDocument/2006/relationships/hyperlink" Target="https://navitasorganics.com/products/goji-berries" TargetMode="External" Id="rId653" /><Relationship Type="http://schemas.openxmlformats.org/officeDocument/2006/relationships/hyperlink" Target="https://www.logixpathchef.com/app/food/getfoodnutrition?fdcid=173032" TargetMode="External" Id="rId654" /><Relationship Type="http://schemas.openxmlformats.org/officeDocument/2006/relationships/hyperlink" Target="https://navitasorganics.com/products/goji-berries" TargetMode="External" Id="rId655" /><Relationship Type="http://schemas.openxmlformats.org/officeDocument/2006/relationships/hyperlink" Target="https://navitasorganics.com/products/goji-berries" TargetMode="External" Id="rId656" /><Relationship Type="http://schemas.openxmlformats.org/officeDocument/2006/relationships/hyperlink" Target="https://navitasorganics.com/products/goji-berries" TargetMode="External" Id="rId657" /><Relationship Type="http://schemas.openxmlformats.org/officeDocument/2006/relationships/hyperlink" Target="https://navitasorganics.com/products/goji-berries" TargetMode="External" Id="rId658" /><Relationship Type="http://schemas.openxmlformats.org/officeDocument/2006/relationships/hyperlink" Target="https://www.logixpathchef.com/app/food/getfoodnutrition?fdcid=173032" TargetMode="External" Id="rId659" /><Relationship Type="http://schemas.openxmlformats.org/officeDocument/2006/relationships/hyperlink" Target="https://navitasorganics.com/products/goji-berries" TargetMode="External" Id="rId660" /><Relationship Type="http://schemas.openxmlformats.org/officeDocument/2006/relationships/hyperlink" Target="https://navitasorganics.com/products/goji-berries" TargetMode="External" Id="rId661" /><Relationship Type="http://schemas.openxmlformats.org/officeDocument/2006/relationships/hyperlink" Target="https://navitasorganics.com/products/goji-berries" TargetMode="External" Id="rId662" /><Relationship Type="http://schemas.openxmlformats.org/officeDocument/2006/relationships/hyperlink" Target="https://navitasorganics.com/products/goji-berries" TargetMode="External" Id="rId663" /><Relationship Type="http://schemas.openxmlformats.org/officeDocument/2006/relationships/hyperlink" Target="https://navitasorganics.com/products/goji-berries" TargetMode="External" Id="rId664" /><Relationship Type="http://schemas.openxmlformats.org/officeDocument/2006/relationships/hyperlink" Target="https://www.logixpathchef.com/app/food/getfoodnutrition?fdcid=170178" TargetMode="External" Id="rId665" /><Relationship Type="http://schemas.openxmlformats.org/officeDocument/2006/relationships/hyperlink" Target="https://www.logixpathchef.com/app/food/getfoodnutrition?fdcid=170178" TargetMode="External" Id="rId666" /><Relationship Type="http://schemas.openxmlformats.org/officeDocument/2006/relationships/hyperlink" Target="https://www.wholefoodsmarket.com/product/365-by-whole-foods-market-organic-macadamia-nuts-8-oz-b086hk83yf" TargetMode="External" Id="rId667" /><Relationship Type="http://schemas.openxmlformats.org/officeDocument/2006/relationships/hyperlink" Target="https://www.wholefoodsmarket.com/product/365-by-whole-foods-market-organic-macadamia-nuts-8-oz-b086hk83yf" TargetMode="External" Id="rId668" /><Relationship Type="http://schemas.openxmlformats.org/officeDocument/2006/relationships/hyperlink" Target="https://www.wholefoodsmarket.com/product/365-by-whole-foods-market-organic-macadamia-nuts-8-oz-b086hk83yf" TargetMode="External" Id="rId669" /><Relationship Type="http://schemas.openxmlformats.org/officeDocument/2006/relationships/hyperlink" Target="https://www.wholefoodsmarket.com/product/365-by-whole-foods-market-organic-macadamia-nuts-8-oz-b086hk83yf" TargetMode="External" Id="rId670" /><Relationship Type="http://schemas.openxmlformats.org/officeDocument/2006/relationships/hyperlink" Target="https://www.logixpathchef.com/app/food/getfoodnutrition?fdcid=170178" TargetMode="External" Id="rId671" /><Relationship Type="http://schemas.openxmlformats.org/officeDocument/2006/relationships/hyperlink" Target="https://www.logixpathchef.com/app/food/getfoodnutrition?fdcid=170178" TargetMode="External" Id="rId672" /><Relationship Type="http://schemas.openxmlformats.org/officeDocument/2006/relationships/hyperlink" Target="https://www.logixpathchef.com/app/food/getfoodnutrition?fdcid=170178" TargetMode="External" Id="rId673" /><Relationship Type="http://schemas.openxmlformats.org/officeDocument/2006/relationships/hyperlink" Target="https://www.logixpathchef.com/app/food/getfoodnutrition?fdcid=170178" TargetMode="External" Id="rId674" /><Relationship Type="http://schemas.openxmlformats.org/officeDocument/2006/relationships/hyperlink" Target="https://www.logixpathchef.com/app/food/getfoodnutrition?fdcid=170178" TargetMode="External" Id="rId675" /><Relationship Type="http://schemas.openxmlformats.org/officeDocument/2006/relationships/hyperlink" Target="https://www.logixpathchef.com/app/food/getfoodnutrition?fdcid=170178" TargetMode="External" Id="rId676" /><Relationship Type="http://schemas.openxmlformats.org/officeDocument/2006/relationships/hyperlink" Target="https://www.logixpathchef.com/app/food/getfoodnutrition?fdcid=170178" TargetMode="External" Id="rId677" /><Relationship Type="http://schemas.openxmlformats.org/officeDocument/2006/relationships/hyperlink" Target="https://www.logixpathchef.com/app/food/getfoodnutrition?fdcid=170178" TargetMode="External" Id="rId678" /><Relationship Type="http://schemas.openxmlformats.org/officeDocument/2006/relationships/hyperlink" Target="https://www.logixpathchef.com/app/food/getfoodnutrition?fdcid=170178" TargetMode="External" Id="rId679" /><Relationship Type="http://schemas.openxmlformats.org/officeDocument/2006/relationships/hyperlink" Target="https://www.logixpathchef.com/app/food/getfoodnutrition?fdcid=170178" TargetMode="External" Id="rId680" /><Relationship Type="http://schemas.openxmlformats.org/officeDocument/2006/relationships/hyperlink" Target="https://www.wholefoodsmarket.com/product/365-by-whole-foods-market-organic-macadamia-nuts-8-oz-b086hk83yf" TargetMode="External" Id="rId681" /><Relationship Type="http://schemas.openxmlformats.org/officeDocument/2006/relationships/hyperlink" Target="https://www.logixpathchef.com/app/food/getfoodnutrition?fdcid=170178" TargetMode="External" Id="rId682" /><Relationship Type="http://schemas.openxmlformats.org/officeDocument/2006/relationships/hyperlink" Target="https://www.ars.usda.gov/ARSUserFiles/80400525/data/choline/choln02.pdf" TargetMode="External" Id="rId683" /><Relationship Type="http://schemas.openxmlformats.org/officeDocument/2006/relationships/hyperlink" Target="https://www.logixpathchef.com/app/food/getfoodnutrition?fdcid=170178" TargetMode="External" Id="rId684" /><Relationship Type="http://schemas.openxmlformats.org/officeDocument/2006/relationships/hyperlink" Target="https://www.logixpathchef.com/app/food/getfoodnutrition?fdcid=170178" TargetMode="External" Id="rId685" /><Relationship Type="http://schemas.openxmlformats.org/officeDocument/2006/relationships/hyperlink" Target="https://www.logixpathchef.com/app/food/getfoodnutrition?fdcid=170178" TargetMode="External" Id="rId686" /><Relationship Type="http://schemas.openxmlformats.org/officeDocument/2006/relationships/hyperlink" Target="https://www.logixpathchef.com/app/food/getfoodnutrition?fdcid=170178" TargetMode="External" Id="rId687" /><Relationship Type="http://schemas.openxmlformats.org/officeDocument/2006/relationships/hyperlink" Target="https://www.logixpathchef.com/app/food/getfoodnutrition?fdcid=170178" TargetMode="External" Id="rId688" /><Relationship Type="http://schemas.openxmlformats.org/officeDocument/2006/relationships/hyperlink" Target="https://ods.od.nih.gov/factsheets/Molybdenum-HealthProfessional/" TargetMode="External" Id="rId689" /><Relationship Type="http://schemas.openxmlformats.org/officeDocument/2006/relationships/hyperlink" Target="https://www.logixpathchef.com/app/food/getfoodnutrition?fdcid=170178" TargetMode="External" Id="rId690" /><Relationship Type="http://schemas.openxmlformats.org/officeDocument/2006/relationships/hyperlink" Target="https://www.logixpathchef.com/app/food/getfoodnutrition?fdcid=170178" TargetMode="External" Id="rId691" /><Relationship Type="http://schemas.openxmlformats.org/officeDocument/2006/relationships/hyperlink" Target="https://www.logixpathchef.com/app/food/getfoodnutrition?fdcid=170178" TargetMode="External" Id="rId692" /><Relationship Type="http://schemas.openxmlformats.org/officeDocument/2006/relationships/hyperlink" Target="https://www.logixpathchef.com/app/food/getfoodnutrition?fdcid=170178" TargetMode="External" Id="rId693" /><Relationship Type="http://schemas.openxmlformats.org/officeDocument/2006/relationships/hyperlink" Target="https://www.logixpathchef.com/app/food/getfoodnutrition?fdcid=170178" TargetMode="External" Id="rId694" /><Relationship Type="http://schemas.openxmlformats.org/officeDocument/2006/relationships/hyperlink" Target="https://www.logixpathchef.com/app/food/getfoodnutrition?fdcid=170178" TargetMode="External" Id="rId695" /><Relationship Type="http://schemas.openxmlformats.org/officeDocument/2006/relationships/hyperlink" Target="https://www.logixpathchef.com/app/food/getfoodnutrition?fdcid=170178" TargetMode="External" Id="rId696" /><Relationship Type="http://schemas.openxmlformats.org/officeDocument/2006/relationships/hyperlink" Target="https://www.logixpathchef.com/app/food/getfoodnutrition?fdcid=170178" TargetMode="External" Id="rId697" /><Relationship Type="http://schemas.openxmlformats.org/officeDocument/2006/relationships/hyperlink" Target="https://www.logixpathchef.com/app/food/getfoodnutrition?fdcid=170178" TargetMode="External" Id="rId698" /><Relationship Type="http://schemas.openxmlformats.org/officeDocument/2006/relationships/hyperlink" Target="https://www.logixpathchef.com/app/food/getfoodnutrition?fdcid=170178" TargetMode="External" Id="rId699" /><Relationship Type="http://schemas.openxmlformats.org/officeDocument/2006/relationships/hyperlink" Target="https://www.logixpathchef.com/app/food/getfoodnutrition?fdcid=170178" TargetMode="External" Id="rId700" /><Relationship Type="http://schemas.openxmlformats.org/officeDocument/2006/relationships/hyperlink" Target="https://www.logixpathchef.com/app/food/getfoodnutrition?fdcid=170178" TargetMode="External" Id="rId701" /><Relationship Type="http://schemas.openxmlformats.org/officeDocument/2006/relationships/hyperlink" Target="https://www.logixpathchef.com/app/food/getfoodnutrition?fdcid=170178" TargetMode="External" Id="rId702" /><Relationship Type="http://schemas.openxmlformats.org/officeDocument/2006/relationships/hyperlink" Target="https://www.logixpathchef.com/app/food/getfoodnutrition?fdcid=170178" TargetMode="External" Id="rId703" /><Relationship Type="http://schemas.openxmlformats.org/officeDocument/2006/relationships/hyperlink" Target="https://www.logixpathchef.com/app/food/getfoodnutrition?fdcid=170178" TargetMode="External" Id="rId704" /><Relationship Type="http://schemas.openxmlformats.org/officeDocument/2006/relationships/hyperlink" Target="https://www.logixpathchef.com/app/food/getfoodnutrition?fdcid=170178" TargetMode="External" Id="rId705" /><Relationship Type="http://schemas.openxmlformats.org/officeDocument/2006/relationships/hyperlink" Target="https://www.logixpathchef.com/app/food/getfoodnutrition?fdcid=170178" TargetMode="External" Id="rId706" /><Relationship Type="http://schemas.openxmlformats.org/officeDocument/2006/relationships/hyperlink" Target="https://www.logixpathchef.com/app/food/getfoodnutrition?fdcid=170178" TargetMode="External" Id="rId707" /><Relationship Type="http://schemas.openxmlformats.org/officeDocument/2006/relationships/hyperlink" Target="https://www.logixpathchef.com/app/food/getfoodnutrition?fdcid=170178" TargetMode="External" Id="rId708" /><Relationship Type="http://schemas.openxmlformats.org/officeDocument/2006/relationships/hyperlink" Target="https://www.logixpathchef.com/app/food/getfoodnutrition?fdcid=170178" TargetMode="External" Id="rId709" /><Relationship Type="http://schemas.openxmlformats.org/officeDocument/2006/relationships/hyperlink" Target="https://www.logixpathchef.com/app/food/getfoodnutrition?fdcid=170178" TargetMode="External" Id="rId710" /><Relationship Type="http://schemas.openxmlformats.org/officeDocument/2006/relationships/hyperlink" Target="https://www.logixpathchef.com/app/food/getfoodnutrition?fdcid=170178" TargetMode="External" Id="rId711" /><Relationship Type="http://schemas.openxmlformats.org/officeDocument/2006/relationships/hyperlink" Target="https://www.logixpathchef.com/app/food/getfoodnutrition?fdcid=170178" TargetMode="External" Id="rId712" /><Relationship Type="http://schemas.openxmlformats.org/officeDocument/2006/relationships/hyperlink" Target="https://www.logixpathchef.com/app/food/getfoodnutrition?fdcid=170178" TargetMode="External" Id="rId713" /><Relationship Type="http://schemas.openxmlformats.org/officeDocument/2006/relationships/hyperlink" Target="https://www.logixpathchef.com/app/food/getfoodnutrition?fdcid=170178" TargetMode="External" Id="rId714" /><Relationship Type="http://schemas.openxmlformats.org/officeDocument/2006/relationships/hyperlink" Target="https://www.ars.usda.gov/ARSUserFiles/80400535/Data/Flav/Flav3.3.pdf" TargetMode="External" Id="rId715" /><Relationship Type="http://schemas.openxmlformats.org/officeDocument/2006/relationships/hyperlink" Target="https://www.ars.usda.gov/ARSUserFiles/80400535/Data/Flav/Flav3.3.pdf" TargetMode="External" Id="rId716" /><Relationship Type="http://schemas.openxmlformats.org/officeDocument/2006/relationships/hyperlink" Target="https://www.wholefoodsmarket.com/product/365-by-whole-foods-market-organic-macadamia-nuts-8-oz-b086hk83yf" TargetMode="External" Id="rId717" /><Relationship Type="http://schemas.openxmlformats.org/officeDocument/2006/relationships/hyperlink" Target="https://www.wholefoodsmarket.com/product/365-by-whole-foods-market-organic-macadamia-nuts-8-oz-b086hk83yf" TargetMode="External" Id="rId718" /><Relationship Type="http://schemas.openxmlformats.org/officeDocument/2006/relationships/hyperlink" Target="https://www.ars.usda.gov/ARSUserFiles/80400535/Data/PA/PA02-1.pdf" TargetMode="External" Id="rId719" /><Relationship Type="http://schemas.openxmlformats.org/officeDocument/2006/relationships/hyperlink" Target="https://www.wholefoodsmarket.com/product/365-by-whole-foods-market-organic-macadamia-nuts-8-oz-b086hk83yf" TargetMode="External" Id="rId720" /><Relationship Type="http://schemas.openxmlformats.org/officeDocument/2006/relationships/hyperlink" Target="https://www.ars.usda.gov/ARSUserFiles/80400535/Data/Flav/Flav3.3.pdf" TargetMode="External" Id="rId721" /><Relationship Type="http://schemas.openxmlformats.org/officeDocument/2006/relationships/hyperlink" Target="https://www.logixpathchef.com/app/food/getfoodnutrition?fdcid=170178" TargetMode="External" Id="rId722" /><Relationship Type="http://schemas.openxmlformats.org/officeDocument/2006/relationships/hyperlink" Target="https://www.logixpathchef.com/app/food/getfoodnutrition?fdcid=170178" TargetMode="External" Id="rId723" /><Relationship Type="http://schemas.openxmlformats.org/officeDocument/2006/relationships/hyperlink" Target="https://www.logixpathchef.com/app/food/getfoodnutrition?fdcid=170178" TargetMode="External" Id="rId724" /><Relationship Type="http://schemas.openxmlformats.org/officeDocument/2006/relationships/hyperlink" Target="https://www.wholefoodsmarket.com/product/365-by-whole-foods-market-organic-macadamia-nuts-8-oz-b086hk83yf" TargetMode="External" Id="rId725" /><Relationship Type="http://schemas.openxmlformats.org/officeDocument/2006/relationships/hyperlink" Target="https://www.wholefoodsmarket.com/product/365-by-whole-foods-market-organic-macadamia-nuts-8-oz-b086hk83yf" TargetMode="External" Id="rId726" /><Relationship Type="http://schemas.openxmlformats.org/officeDocument/2006/relationships/hyperlink" Target="https://www.wholefoodsmarket.com/product/365-by-whole-foods-market-organic-macadamia-nuts-8-oz-b086hk83yf" TargetMode="External" Id="rId727" /><Relationship Type="http://schemas.openxmlformats.org/officeDocument/2006/relationships/hyperlink" Target="https://www.logixpathchef.com/app/food/getfoodnutrition?fdcid=170178" TargetMode="External" Id="rId728" /><Relationship Type="http://schemas.openxmlformats.org/officeDocument/2006/relationships/hyperlink" Target="https://www.logixpathchef.com/app/food/getfoodnutrition?fdcid=170178" TargetMode="External" Id="rId729" /><Relationship Type="http://schemas.openxmlformats.org/officeDocument/2006/relationships/hyperlink" Target="https://pmc.ncbi.nlm.nih.gov/articles/PMC3022763/" TargetMode="External" Id="rId730" /><Relationship Type="http://schemas.openxmlformats.org/officeDocument/2006/relationships/hyperlink" Target="https://www.logixpathchef.com/app/food/getfoodnutrition?fdcid=170178" TargetMode="External" Id="rId731" /><Relationship Type="http://schemas.openxmlformats.org/officeDocument/2006/relationships/hyperlink" Target="https://www.wholefoodsmarket.com/product/365-by-whole-foods-market-organic-macadamia-nuts-8-oz-b086hk83yf" TargetMode="External" Id="rId732" /><Relationship Type="http://schemas.openxmlformats.org/officeDocument/2006/relationships/hyperlink" Target="https://www.logixpathchef.com/app/food/getfoodnutrition?fdcid=170178" TargetMode="External" Id="rId733" /><Relationship Type="http://schemas.openxmlformats.org/officeDocument/2006/relationships/hyperlink" Target="https://www.wholefoodsmarket.com/product/365-by-whole-foods-market-organic-macadamia-nuts-8-oz-b086hk83yf" TargetMode="External" Id="rId734" /><Relationship Type="http://schemas.openxmlformats.org/officeDocument/2006/relationships/hyperlink" Target="https://superfoodly.com/coq10-foods-the-50-highest-natural-dietary-sources/" TargetMode="External" Id="rId735" /><Relationship Type="http://schemas.openxmlformats.org/officeDocument/2006/relationships/hyperlink" Target="https://www.wholefoodsmarket.com/product/365-by-whole-foods-market-organic-macadamia-nuts-8-oz-b086hk83yf" TargetMode="External" Id="rId736" /><Relationship Type="http://schemas.openxmlformats.org/officeDocument/2006/relationships/hyperlink" Target="https://www.logixpathchef.com/app/food/getfoodnutrition?fdcid=170178" TargetMode="External" Id="rId737" /><Relationship Type="http://schemas.openxmlformats.org/officeDocument/2006/relationships/hyperlink" Target="https://www.wholefoodsmarket.com/product/365-by-whole-foods-market-organic-macadamia-nuts-8-oz-b086hk83yf" TargetMode="External" Id="rId738" /><Relationship Type="http://schemas.openxmlformats.org/officeDocument/2006/relationships/hyperlink" Target="https://www.wholefoodsmarket.com/product/365-by-whole-foods-market-organic-macadamia-nuts-8-oz-b086hk83yf" TargetMode="External" Id="rId739" /><Relationship Type="http://schemas.openxmlformats.org/officeDocument/2006/relationships/hyperlink" Target="https://www.wholefoodsmarket.com/product/365-by-whole-foods-market-organic-macadamia-nuts-8-oz-b086hk83yf" TargetMode="External" Id="rId740" /><Relationship Type="http://schemas.openxmlformats.org/officeDocument/2006/relationships/hyperlink" Target="https://www.wholefoodsmarket.com/product/365-by-whole-foods-market-organic-macadamia-nuts-8-oz-b086hk83yf" TargetMode="External" Id="rId741" /><Relationship Type="http://schemas.openxmlformats.org/officeDocument/2006/relationships/hyperlink" Target="https://pubmed.ncbi.nlm.nih.gov/15223592/" TargetMode="External" Id="rId742" /><Relationship Type="http://schemas.openxmlformats.org/officeDocument/2006/relationships/hyperlink" Target="https://www.wholefoodsmarket.com/product/365-by-whole-foods-market-organic-macadamia-nuts-8-oz-b086hk83yf" TargetMode="External" Id="rId743" /><Relationship Type="http://schemas.openxmlformats.org/officeDocument/2006/relationships/hyperlink" Target="https://www.fda.gov/media/159745/download" TargetMode="External" Id="rId744" /><Relationship Type="http://schemas.openxmlformats.org/officeDocument/2006/relationships/hyperlink" Target="https://www.fda.gov/media/159745/download" TargetMode="External" Id="rId745" /><Relationship Type="http://schemas.openxmlformats.org/officeDocument/2006/relationships/hyperlink" Target="https://www.fda.gov/media/159745/download" TargetMode="External" Id="rId746" /><Relationship Type="http://schemas.openxmlformats.org/officeDocument/2006/relationships/hyperlink" Target="https://www.fda.gov/media/159745/download" TargetMode="External" Id="rId747" /><Relationship Type="http://schemas.openxmlformats.org/officeDocument/2006/relationships/hyperlink" Target="https://www.logixpathchef.com/app/food/getfoodnutrition?fdcid=173427" TargetMode="External" Id="rId748" /><Relationship Type="http://schemas.openxmlformats.org/officeDocument/2006/relationships/hyperlink" Target="https://www.logixpathchef.com/app/food/getfoodnutrition?fdcid=173427" TargetMode="External" Id="rId749" /><Relationship Type="http://schemas.openxmlformats.org/officeDocument/2006/relationships/hyperlink" Target="https://www.judeesfromscratch.com/products/dried-egg-white-powder" TargetMode="External" Id="rId750" /><Relationship Type="http://schemas.openxmlformats.org/officeDocument/2006/relationships/hyperlink" Target="https://www.judeesfromscratch.com/products/dried-egg-white-powder" TargetMode="External" Id="rId751" /><Relationship Type="http://schemas.openxmlformats.org/officeDocument/2006/relationships/hyperlink" Target="https://www.logixpathchef.com/app/food/getfoodnutrition?fdcid=173427" TargetMode="External" Id="rId752" /><Relationship Type="http://schemas.openxmlformats.org/officeDocument/2006/relationships/hyperlink" Target="https://www.judeesfromscratch.com/products/dried-egg-white-powder" TargetMode="External" Id="rId753" /><Relationship Type="http://schemas.openxmlformats.org/officeDocument/2006/relationships/hyperlink" Target="https://www.judeesfromscratch.com/products/dried-egg-white-powder" TargetMode="External" Id="rId754" /><Relationship Type="http://schemas.openxmlformats.org/officeDocument/2006/relationships/hyperlink" Target="https://www.logixpathchef.com/app/food/getfoodnutrition?fdcid=173427" TargetMode="External" Id="rId755" /><Relationship Type="http://schemas.openxmlformats.org/officeDocument/2006/relationships/hyperlink" Target="https://www.logixpathchef.com/app/food/getfoodnutrition?fdcid=173427" TargetMode="External" Id="rId756" /><Relationship Type="http://schemas.openxmlformats.org/officeDocument/2006/relationships/hyperlink" Target="https://www.logixpathchef.com/app/food/getfoodnutrition?fdcid=173427" TargetMode="External" Id="rId757" /><Relationship Type="http://schemas.openxmlformats.org/officeDocument/2006/relationships/hyperlink" Target="https://www.logixpathchef.com/app/food/getfoodnutrition?fdcid=173427" TargetMode="External" Id="rId758" /><Relationship Type="http://schemas.openxmlformats.org/officeDocument/2006/relationships/hyperlink" Target="https://www.logixpathchef.com/app/food/getfoodnutrition?fdcid=173427" TargetMode="External" Id="rId759" /><Relationship Type="http://schemas.openxmlformats.org/officeDocument/2006/relationships/hyperlink" Target="https://www.logixpathchef.com/app/food/getfoodnutrition?fdcid=173427" TargetMode="External" Id="rId760" /><Relationship Type="http://schemas.openxmlformats.org/officeDocument/2006/relationships/hyperlink" Target="https://www.logixpathchef.com/app/food/getfoodnutrition?fdcid=173427" TargetMode="External" Id="rId761" /><Relationship Type="http://schemas.openxmlformats.org/officeDocument/2006/relationships/hyperlink" Target="https://www.logixpathchef.com/app/food/getfoodnutrition?fdcid=173427" TargetMode="External" Id="rId762" /><Relationship Type="http://schemas.openxmlformats.org/officeDocument/2006/relationships/hyperlink" Target="https://www.logixpathchef.com/app/food/getfoodnutrition?fdcid=173427" TargetMode="External" Id="rId763" /><Relationship Type="http://schemas.openxmlformats.org/officeDocument/2006/relationships/hyperlink" Target="https://www.judeesfromscratch.com/products/dried-egg-white-powder" TargetMode="External" Id="rId764" /><Relationship Type="http://schemas.openxmlformats.org/officeDocument/2006/relationships/hyperlink" Target="https://www.logixpathchef.com/app/food/getfoodnutrition?fdcid=173427" TargetMode="External" Id="rId765" /><Relationship Type="http://schemas.openxmlformats.org/officeDocument/2006/relationships/hyperlink" Target="https://www.logixpathchef.com/app/food/getfoodnutrition?fdcid=173427" TargetMode="External" Id="rId766" /><Relationship Type="http://schemas.openxmlformats.org/officeDocument/2006/relationships/hyperlink" Target="https://www.logixpathchef.com/app/food/getfoodnutrition?fdcid=173427" TargetMode="External" Id="rId767" /><Relationship Type="http://schemas.openxmlformats.org/officeDocument/2006/relationships/hyperlink" Target="https://www.logixpathchef.com/app/food/getfoodnutrition?fdcid=173427" TargetMode="External" Id="rId768" /><Relationship Type="http://schemas.openxmlformats.org/officeDocument/2006/relationships/hyperlink" Target="https://www.logixpathchef.com/app/food/getfoodnutrition?fdcid=173427" TargetMode="External" Id="rId769" /><Relationship Type="http://schemas.openxmlformats.org/officeDocument/2006/relationships/hyperlink" Target="https://www.logixpathchef.com/app/food/getfoodnutrition?fdcid=173427" TargetMode="External" Id="rId770" /><Relationship Type="http://schemas.openxmlformats.org/officeDocument/2006/relationships/hyperlink" Target="https://www.logixpathchef.com/app/food/getfoodnutrition?fdcid=173427" TargetMode="External" Id="rId771" /><Relationship Type="http://schemas.openxmlformats.org/officeDocument/2006/relationships/hyperlink" Target="https://ods.od.nih.gov/factsheets/Molybdenum-HealthProfessional/" TargetMode="External" Id="rId772" /><Relationship Type="http://schemas.openxmlformats.org/officeDocument/2006/relationships/hyperlink" Target="https://www.logixpathchef.com/app/food/getfoodnutrition?fdcid=173427" TargetMode="External" Id="rId773" /><Relationship Type="http://schemas.openxmlformats.org/officeDocument/2006/relationships/hyperlink" Target="https://www.logixpathchef.com/app/food/getfoodnutrition?fdcid=173427" TargetMode="External" Id="rId774" /><Relationship Type="http://schemas.openxmlformats.org/officeDocument/2006/relationships/hyperlink" Target="https://www.logixpathchef.com/app/food/getfoodnutrition?fdcid=173427" TargetMode="External" Id="rId775" /><Relationship Type="http://schemas.openxmlformats.org/officeDocument/2006/relationships/hyperlink" Target="https://www.logixpathchef.com/app/food/getfoodnutrition?fdcid=173427" TargetMode="External" Id="rId776" /><Relationship Type="http://schemas.openxmlformats.org/officeDocument/2006/relationships/hyperlink" Target="https://www.logixpathchef.com/app/food/getfoodnutrition?fdcid=173427" TargetMode="External" Id="rId777" /><Relationship Type="http://schemas.openxmlformats.org/officeDocument/2006/relationships/hyperlink" Target="https://www.logixpathchef.com/app/food/getfoodnutrition?fdcid=173427" TargetMode="External" Id="rId778" /><Relationship Type="http://schemas.openxmlformats.org/officeDocument/2006/relationships/hyperlink" Target="https://www.ars.usda.gov/ARSUserFiles/80400535/DATA/IODINE/IODINE_DATABASE_PDFVersion_2020.PDF" TargetMode="External" Id="rId779" /><Relationship Type="http://schemas.openxmlformats.org/officeDocument/2006/relationships/hyperlink" Target="https://www.logixpathchef.com/app/food/getfoodnutrition?fdcid=173427" TargetMode="External" Id="rId780" /><Relationship Type="http://schemas.openxmlformats.org/officeDocument/2006/relationships/hyperlink" Target="https://www.logixpathchef.com/app/food/getfoodnutrition?fdcid=173427" TargetMode="External" Id="rId781" /><Relationship Type="http://schemas.openxmlformats.org/officeDocument/2006/relationships/hyperlink" Target="https://www.logixpathchef.com/app/food/getfoodnutrition?fdcid=173427" TargetMode="External" Id="rId782" /><Relationship Type="http://schemas.openxmlformats.org/officeDocument/2006/relationships/hyperlink" Target="https://www.logixpathchef.com/app/food/getfoodnutrition?fdcid=173427" TargetMode="External" Id="rId783" /><Relationship Type="http://schemas.openxmlformats.org/officeDocument/2006/relationships/hyperlink" Target="https://www.logixpathchef.com/app/food/getfoodnutrition?fdcid=173427" TargetMode="External" Id="rId784" /><Relationship Type="http://schemas.openxmlformats.org/officeDocument/2006/relationships/hyperlink" Target="https://www.logixpathchef.com/app/food/getfoodnutrition?fdcid=173427" TargetMode="External" Id="rId785" /><Relationship Type="http://schemas.openxmlformats.org/officeDocument/2006/relationships/hyperlink" Target="https://www.logixpathchef.com/app/food/getfoodnutrition?fdcid=173427" TargetMode="External" Id="rId786" /><Relationship Type="http://schemas.openxmlformats.org/officeDocument/2006/relationships/hyperlink" Target="https://www.logixpathchef.com/app/food/getfoodnutrition?fdcid=173427" TargetMode="External" Id="rId787" /><Relationship Type="http://schemas.openxmlformats.org/officeDocument/2006/relationships/hyperlink" Target="https://www.logixpathchef.com/app/food/getfoodnutrition?fdcid=173427" TargetMode="External" Id="rId788" /><Relationship Type="http://schemas.openxmlformats.org/officeDocument/2006/relationships/hyperlink" Target="https://www.logixpathchef.com/app/food/getfoodnutrition?fdcid=173427" TargetMode="External" Id="rId789" /><Relationship Type="http://schemas.openxmlformats.org/officeDocument/2006/relationships/hyperlink" Target="https://www.logixpathchef.com/app/food/getfoodnutrition?fdcid=173427" TargetMode="External" Id="rId790" /><Relationship Type="http://schemas.openxmlformats.org/officeDocument/2006/relationships/hyperlink" Target="https://www.logixpathchef.com/app/food/getfoodnutrition?fdcid=173427" TargetMode="External" Id="rId791" /><Relationship Type="http://schemas.openxmlformats.org/officeDocument/2006/relationships/hyperlink" Target="https://www.logixpathchef.com/app/food/getfoodnutrition?fdcid=173427" TargetMode="External" Id="rId792" /><Relationship Type="http://schemas.openxmlformats.org/officeDocument/2006/relationships/hyperlink" Target="https://www.logixpathchef.com/app/food/getfoodnutrition?fdcid=173427" TargetMode="External" Id="rId793" /><Relationship Type="http://schemas.openxmlformats.org/officeDocument/2006/relationships/hyperlink" Target="https://www.logixpathchef.com/app/food/getfoodnutrition?fdcid=173427" TargetMode="External" Id="rId794" /><Relationship Type="http://schemas.openxmlformats.org/officeDocument/2006/relationships/hyperlink" Target="https://www.logixpathchef.com/app/food/getfoodnutrition?fdcid=173427" TargetMode="External" Id="rId795" /><Relationship Type="http://schemas.openxmlformats.org/officeDocument/2006/relationships/hyperlink" Target="https://www.logixpathchef.com/app/food/getfoodnutrition?fdcid=173427" TargetMode="External" Id="rId796" /><Relationship Type="http://schemas.openxmlformats.org/officeDocument/2006/relationships/hyperlink" Target="https://www.logixpathchef.com/app/food/getfoodnutrition?fdcid=173427" TargetMode="External" Id="rId797" /><Relationship Type="http://schemas.openxmlformats.org/officeDocument/2006/relationships/hyperlink" Target="https://www.logixpathchef.com/app/food/getfoodnutrition?fdcid=173427" TargetMode="External" Id="rId798" /><Relationship Type="http://schemas.openxmlformats.org/officeDocument/2006/relationships/hyperlink" Target="https://www.logixpathchef.com/app/food/getfoodnutrition?fdcid=173427" TargetMode="External" Id="rId799" /><Relationship Type="http://schemas.openxmlformats.org/officeDocument/2006/relationships/hyperlink" Target="https://www.logixpathchef.com/app/food/getfoodnutrition?fdcid=173427" TargetMode="External" Id="rId800" /><Relationship Type="http://schemas.openxmlformats.org/officeDocument/2006/relationships/hyperlink" Target="https://www.logixpathchef.com/app/food/getfoodnutrition?fdcid=173427" TargetMode="External" Id="rId801" /><Relationship Type="http://schemas.openxmlformats.org/officeDocument/2006/relationships/hyperlink" Target="https://www.logixpathchef.com/app/food/getfoodnutrition?fdcid=173427" TargetMode="External" Id="rId802" /><Relationship Type="http://schemas.openxmlformats.org/officeDocument/2006/relationships/hyperlink" Target="https://www.logixpathchef.com/app/food/getfoodnutrition?fdcid=173427" TargetMode="External" Id="rId803" /><Relationship Type="http://schemas.openxmlformats.org/officeDocument/2006/relationships/hyperlink" Target="https://www.logixpathchef.com/app/food/getfoodnutrition?fdcid=173427" TargetMode="External" Id="rId804" /><Relationship Type="http://schemas.openxmlformats.org/officeDocument/2006/relationships/hyperlink" Target="https://www.logixpathchef.com/app/food/getfoodnutrition?fdcid=173427" TargetMode="External" Id="rId805" /><Relationship Type="http://schemas.openxmlformats.org/officeDocument/2006/relationships/hyperlink" Target="https://www.logixpathchef.com/app/food/getfoodnutrition?fdcid=173427" TargetMode="External" Id="rId806" /><Relationship Type="http://schemas.openxmlformats.org/officeDocument/2006/relationships/hyperlink" Target="https://www.logixpathchef.com/app/food/getfoodnutrition?fdcid=173427" TargetMode="External" Id="rId807" /><Relationship Type="http://schemas.openxmlformats.org/officeDocument/2006/relationships/hyperlink" Target="https://www.logixpathchef.com/app/food/getfoodnutrition?fdcid=173427" TargetMode="External" Id="rId808" /><Relationship Type="http://schemas.openxmlformats.org/officeDocument/2006/relationships/hyperlink" Target="https://www.logixpathchef.com/app/food/getfoodnutrition?fdcid=173427" TargetMode="External" Id="rId809" /><Relationship Type="http://schemas.openxmlformats.org/officeDocument/2006/relationships/hyperlink" Target="https://www.logixpathchef.com/app/food/getfoodnutrition?fdcid=173427" TargetMode="External" Id="rId810" /><Relationship Type="http://schemas.openxmlformats.org/officeDocument/2006/relationships/hyperlink" Target="https://www.logixpathchef.com/app/food/getfoodnutrition?fdcid=173427" TargetMode="External" Id="rId811" /><Relationship Type="http://schemas.openxmlformats.org/officeDocument/2006/relationships/hyperlink" Target="https://www.logixpathchef.com/app/food/getfoodnutrition?fdcid=173427" TargetMode="External" Id="rId812" /><Relationship Type="http://schemas.openxmlformats.org/officeDocument/2006/relationships/hyperlink" Target="https://pmc.ncbi.nlm.nih.gov/articles/PMC6637774/" TargetMode="External" Id="rId813" /><Relationship Type="http://schemas.openxmlformats.org/officeDocument/2006/relationships/hyperlink" Target="https://www.logixpathchef.com/app/food/getfoodnutrition?fdcid=173427" TargetMode="External" Id="rId814" /><Relationship Type="http://schemas.openxmlformats.org/officeDocument/2006/relationships/hyperlink" Target="https://www.judeesfromscratch.com/products/dried-egg-white-powder" TargetMode="External" Id="rId815" /><Relationship Type="http://schemas.openxmlformats.org/officeDocument/2006/relationships/hyperlink" Target="https://www.logixpathchef.com/app/food/getfoodnutrition?fdcid=173427" TargetMode="External" Id="rId816" /><Relationship Type="http://schemas.openxmlformats.org/officeDocument/2006/relationships/hyperlink" Target="https://pubmed.ncbi.nlm.nih.gov/22779912/" TargetMode="External" Id="rId817" /><Relationship Type="http://schemas.openxmlformats.org/officeDocument/2006/relationships/hyperlink" Target="https://www.logixpathchef.com/app/food/getfoodnutrition?fdcid=173427" TargetMode="External" Id="rId818" /><Relationship Type="http://schemas.openxmlformats.org/officeDocument/2006/relationships/hyperlink" Target="https://www.logixpathchef.com/app/food/getfoodnutrition?fdcid=173427" TargetMode="External" Id="rId819" /><Relationship Type="http://schemas.openxmlformats.org/officeDocument/2006/relationships/hyperlink" Target="https://www.logixpathchef.com/app/food/getfoodnutrition?fdcid=173427" TargetMode="External" Id="rId820" /><Relationship Type="http://schemas.openxmlformats.org/officeDocument/2006/relationships/hyperlink" Target="https://www.judeesfromscratch.com/products/dried-egg-white-powder" TargetMode="External" Id="rId821" /><Relationship Type="http://schemas.openxmlformats.org/officeDocument/2006/relationships/hyperlink" Target="https://www.judeesfromscratch.com/products/dried-egg-white-powder" TargetMode="External" Id="rId822" /><Relationship Type="http://schemas.openxmlformats.org/officeDocument/2006/relationships/hyperlink" Target="https://www.judeesfromscratch.com/products/dried-egg-white-powder" TargetMode="External" Id="rId823" /><Relationship Type="http://schemas.openxmlformats.org/officeDocument/2006/relationships/hyperlink" Target="https://www.judeesfromscratch.com/products/dried-egg-white-powder" TargetMode="External" Id="rId824" /><Relationship Type="http://schemas.openxmlformats.org/officeDocument/2006/relationships/hyperlink" Target="https://www.logixpathchef.com/app/food/getfoodnutrition?fdcid=173427" TargetMode="External" Id="rId825" /><Relationship Type="http://schemas.openxmlformats.org/officeDocument/2006/relationships/hyperlink" Target="https://www.judeesfromscratch.com/products/dried-egg-white-powder" TargetMode="External" Id="rId826" /><Relationship Type="http://schemas.openxmlformats.org/officeDocument/2006/relationships/hyperlink" Target="https://www.fda.gov/media/159745/download" TargetMode="External" Id="rId827" /><Relationship Type="http://schemas.openxmlformats.org/officeDocument/2006/relationships/hyperlink" Target="https://www.fda.gov/media/159745/download" TargetMode="External" Id="rId828" /><Relationship Type="http://schemas.openxmlformats.org/officeDocument/2006/relationships/hyperlink" Target="https://www.fda.gov/media/159745/download" TargetMode="External" Id="rId829" /><Relationship Type="http://schemas.openxmlformats.org/officeDocument/2006/relationships/hyperlink" Target="https://www.fda.gov/media/159745/download" TargetMode="External" Id="rId830" /><Relationship Type="http://schemas.openxmlformats.org/officeDocument/2006/relationships/hyperlink" Target="https://www.fatsecret.com/calories-nutrition/love-beets/organic-cooked-beets" TargetMode="External" Id="rId831" /><Relationship Type="http://schemas.openxmlformats.org/officeDocument/2006/relationships/hyperlink" Target="https://www.fatsecret.com/calories-nutrition/love-beets/organic-cooked-beets" TargetMode="External" Id="rId832" /><Relationship Type="http://schemas.openxmlformats.org/officeDocument/2006/relationships/hyperlink" Target="https://www.fatsecret.com/calories-nutrition/love-beets/organic-cooked-beets" TargetMode="External" Id="rId833" /><Relationship Type="http://schemas.openxmlformats.org/officeDocument/2006/relationships/hyperlink" Target="https://www.fatsecret.com/calories-nutrition/love-beets/organic-cooked-beets" TargetMode="External" Id="rId834" /><Relationship Type="http://schemas.openxmlformats.org/officeDocument/2006/relationships/hyperlink" Target="https://www.fatsecret.com/calories-nutrition/love-beets/organic-cooked-beets" TargetMode="External" Id="rId835" /><Relationship Type="http://schemas.openxmlformats.org/officeDocument/2006/relationships/hyperlink" Target="https://www.fatsecret.com/calories-nutrition/love-beets/organic-cooked-beets" TargetMode="External" Id="rId836" /><Relationship Type="http://schemas.openxmlformats.org/officeDocument/2006/relationships/hyperlink" Target="https://www.fatsecret.com/calories-nutrition/love-beets/organic-cooked-beets" TargetMode="External" Id="rId837" /><Relationship Type="http://schemas.openxmlformats.org/officeDocument/2006/relationships/hyperlink" Target="https://www.fatsecret.com/calories-nutrition/love-beets/organic-cooked-beets" TargetMode="External" Id="rId838" /><Relationship Type="http://schemas.openxmlformats.org/officeDocument/2006/relationships/hyperlink" Target="https://www.fatsecret.com/calories-nutrition/love-beets/organic-cooked-beets" TargetMode="External" Id="rId839" /><Relationship Type="http://schemas.openxmlformats.org/officeDocument/2006/relationships/hyperlink" Target="https://www.logixpathchef.com/app/food/getfoodnutrition?fdcid=169145" TargetMode="External" Id="rId840" /><Relationship Type="http://schemas.openxmlformats.org/officeDocument/2006/relationships/hyperlink" Target="https://www.logixpathchef.com/app/food/getfoodnutrition?fdcid=169145" TargetMode="External" Id="rId841" /><Relationship Type="http://schemas.openxmlformats.org/officeDocument/2006/relationships/hyperlink" Target="https://www.logixpathchef.com/app/food/getfoodnutrition?fdcid=169145" TargetMode="External" Id="rId842" /><Relationship Type="http://schemas.openxmlformats.org/officeDocument/2006/relationships/hyperlink" Target="https://www.logixpathchef.com/app/food/getfoodnutrition?fdcid=169145" TargetMode="External" Id="rId843" /><Relationship Type="http://schemas.openxmlformats.org/officeDocument/2006/relationships/hyperlink" Target="https://www.fatsecret.com/calories-nutrition/love-beets/organic-cooked-beets" TargetMode="External" Id="rId844" /><Relationship Type="http://schemas.openxmlformats.org/officeDocument/2006/relationships/hyperlink" Target="https://www.fatsecret.com/calories-nutrition/love-beets/organic-cooked-beets" TargetMode="External" Id="rId845" /><Relationship Type="http://schemas.openxmlformats.org/officeDocument/2006/relationships/hyperlink" Target="https://www.fatsecret.com/calories-nutrition/love-beets/organic-cooked-beets" TargetMode="External" Id="rId846" /><Relationship Type="http://schemas.openxmlformats.org/officeDocument/2006/relationships/hyperlink" Target="https://www.fatsecret.com/calories-nutrition/love-beets/organic-cooked-beets" TargetMode="External" Id="rId847" /><Relationship Type="http://schemas.openxmlformats.org/officeDocument/2006/relationships/hyperlink" Target="https://www.fatsecret.com/calories-nutrition/love-beets/organic-cooked-beets" TargetMode="External" Id="rId848" /><Relationship Type="http://schemas.openxmlformats.org/officeDocument/2006/relationships/hyperlink" Target="https://www.logixpathchef.com/app/food/getfoodnutrition?fdcid=169145" TargetMode="External" Id="rId849" /><Relationship Type="http://schemas.openxmlformats.org/officeDocument/2006/relationships/hyperlink" Target="https://www.logixpathchef.com/app/food/getfoodnutrition?fdcid=169145" TargetMode="External" Id="rId850" /><Relationship Type="http://schemas.openxmlformats.org/officeDocument/2006/relationships/hyperlink" Target="https://www.logixpathchef.com/app/food/getfoodnutrition?fdcid=169145" TargetMode="External" Id="rId851" /><Relationship Type="http://schemas.openxmlformats.org/officeDocument/2006/relationships/hyperlink" Target="https://www.logixpathchef.com/app/food/getfoodnutrition?fdcid=169145" TargetMode="External" Id="rId852" /><Relationship Type="http://schemas.openxmlformats.org/officeDocument/2006/relationships/hyperlink" Target="https://www.logixpathchef.com/app/food/getfoodnutrition?fdcid=169145" TargetMode="External" Id="rId853" /><Relationship Type="http://schemas.openxmlformats.org/officeDocument/2006/relationships/hyperlink" Target="https://www.fatsecret.com/calories-nutrition/love-beets/organic-cooked-beets" TargetMode="External" Id="rId854" /><Relationship Type="http://schemas.openxmlformats.org/officeDocument/2006/relationships/hyperlink" Target="https://www.logixpathchef.com/app/food/getfoodnutrition?fdcid=169145" TargetMode="External" Id="rId855" /><Relationship Type="http://schemas.openxmlformats.org/officeDocument/2006/relationships/hyperlink" Target="https://www.logixpathchef.com/app/food/getfoodnutrition?fdcid=169145" TargetMode="External" Id="rId856" /><Relationship Type="http://schemas.openxmlformats.org/officeDocument/2006/relationships/hyperlink" Target="https://www.logixpathchef.com/app/food/getfoodnutrition?fdcid=169145" TargetMode="External" Id="rId857" /><Relationship Type="http://schemas.openxmlformats.org/officeDocument/2006/relationships/hyperlink" Target="https://www.logixpathchef.com/app/food/getfoodnutrition?fdcid=169145" TargetMode="External" Id="rId858" /><Relationship Type="http://schemas.openxmlformats.org/officeDocument/2006/relationships/hyperlink" Target="https://www.logixpathchef.com/app/food/getfoodnutrition?fdcid=169145" TargetMode="External" Id="rId859" /><Relationship Type="http://schemas.openxmlformats.org/officeDocument/2006/relationships/hyperlink" Target="https://www.logixpathchef.com/app/food/getfoodnutrition?fdcid=169145" TargetMode="External" Id="rId860" /><Relationship Type="http://schemas.openxmlformats.org/officeDocument/2006/relationships/hyperlink" Target="https://www.logixpathchef.com/app/food/getfoodnutrition?fdcid=169145" TargetMode="External" Id="rId861" /><Relationship Type="http://schemas.openxmlformats.org/officeDocument/2006/relationships/hyperlink" Target="https://www.ars.usda.gov/ARSUserFiles/80400535/DATA/IODINE/IODINE_DATABASE_PDFVersion_2020.PDF" TargetMode="External" Id="rId862" /><Relationship Type="http://schemas.openxmlformats.org/officeDocument/2006/relationships/hyperlink" Target="https://www.logixpathchef.com/app/food/getfoodnutrition?fdcid=169145" TargetMode="External" Id="rId863" /><Relationship Type="http://schemas.openxmlformats.org/officeDocument/2006/relationships/hyperlink" Target="https://www.logixpathchef.com/app/food/getfoodnutrition?fdcid=169145" TargetMode="External" Id="rId864" /><Relationship Type="http://schemas.openxmlformats.org/officeDocument/2006/relationships/hyperlink" Target="https://www.logixpathchef.com/app/food/getfoodnutrition?fdcid=169145" TargetMode="External" Id="rId865" /><Relationship Type="http://schemas.openxmlformats.org/officeDocument/2006/relationships/hyperlink" Target="https://www.logixpathchef.com/app/food/getfoodnutrition?fdcid=169145" TargetMode="External" Id="rId866" /><Relationship Type="http://schemas.openxmlformats.org/officeDocument/2006/relationships/hyperlink" Target="https://www.logixpathchef.com/app/food/getfoodnutrition?fdcid=169145" TargetMode="External" Id="rId867" /><Relationship Type="http://schemas.openxmlformats.org/officeDocument/2006/relationships/hyperlink" Target="https://www.logixpathchef.com/app/food/getfoodnutrition?fdcid=169145" TargetMode="External" Id="rId868" /><Relationship Type="http://schemas.openxmlformats.org/officeDocument/2006/relationships/hyperlink" Target="https://www.logixpathchef.com/app/food/getfoodnutrition?fdcid=169145" TargetMode="External" Id="rId869" /><Relationship Type="http://schemas.openxmlformats.org/officeDocument/2006/relationships/hyperlink" Target="https://www.logixpathchef.com/app/food/getfoodnutrition?fdcid=169145" TargetMode="External" Id="rId870" /><Relationship Type="http://schemas.openxmlformats.org/officeDocument/2006/relationships/hyperlink" Target="https://www.logixpathchef.com/app/food/getfoodnutrition?fdcid=169145" TargetMode="External" Id="rId871" /><Relationship Type="http://schemas.openxmlformats.org/officeDocument/2006/relationships/hyperlink" Target="https://www.logixpathchef.com/app/food/getfoodnutrition?fdcid=169145" TargetMode="External" Id="rId872" /><Relationship Type="http://schemas.openxmlformats.org/officeDocument/2006/relationships/hyperlink" Target="https://www.logixpathchef.com/app/food/getfoodnutrition?fdcid=169145" TargetMode="External" Id="rId873" /><Relationship Type="http://schemas.openxmlformats.org/officeDocument/2006/relationships/hyperlink" Target="https://www.logixpathchef.com/app/food/getfoodnutrition?fdcid=169145" TargetMode="External" Id="rId874" /><Relationship Type="http://schemas.openxmlformats.org/officeDocument/2006/relationships/hyperlink" Target="https://www.logixpathchef.com/app/food/getfoodnutrition?fdcid=169145" TargetMode="External" Id="rId875" /><Relationship Type="http://schemas.openxmlformats.org/officeDocument/2006/relationships/hyperlink" Target="https://www.logixpathchef.com/app/food/getfoodnutrition?fdcid=169145" TargetMode="External" Id="rId876" /><Relationship Type="http://schemas.openxmlformats.org/officeDocument/2006/relationships/hyperlink" Target="https://www.logixpathchef.com/app/food/getfoodnutrition?fdcid=169145" TargetMode="External" Id="rId877" /><Relationship Type="http://schemas.openxmlformats.org/officeDocument/2006/relationships/hyperlink" Target="https://www.logixpathchef.com/app/food/getfoodnutrition?fdcid=169145" TargetMode="External" Id="rId878" /><Relationship Type="http://schemas.openxmlformats.org/officeDocument/2006/relationships/hyperlink" Target="https://www.logixpathchef.com/app/food/getfoodnutrition?fdcid=169145" TargetMode="External" Id="rId879" /><Relationship Type="http://schemas.openxmlformats.org/officeDocument/2006/relationships/hyperlink" Target="https://www.logixpathchef.com/app/food/getfoodnutrition?fdcid=169145" TargetMode="External" Id="rId880" /><Relationship Type="http://schemas.openxmlformats.org/officeDocument/2006/relationships/hyperlink" Target="https://www.logixpathchef.com/app/food/getfoodnutrition?fdcid=169145" TargetMode="External" Id="rId881" /><Relationship Type="http://schemas.openxmlformats.org/officeDocument/2006/relationships/hyperlink" Target="https://www.logixpathchef.com/app/food/getfoodnutrition?fdcid=169145" TargetMode="External" Id="rId882" /><Relationship Type="http://schemas.openxmlformats.org/officeDocument/2006/relationships/hyperlink" Target="https://www.logixpathchef.com/app/food/getfoodnutrition?fdcid=169145" TargetMode="External" Id="rId883" /><Relationship Type="http://schemas.openxmlformats.org/officeDocument/2006/relationships/hyperlink" Target="https://www.logixpathchef.com/app/food/getfoodnutrition?fdcid=169145" TargetMode="External" Id="rId884" /><Relationship Type="http://schemas.openxmlformats.org/officeDocument/2006/relationships/hyperlink" Target="https://www.logixpathchef.com/app/food/getfoodnutrition?fdcid=169145" TargetMode="External" Id="rId885" /><Relationship Type="http://schemas.openxmlformats.org/officeDocument/2006/relationships/hyperlink" Target="https://www.logixpathchef.com/app/food/getfoodnutrition?fdcid=169145" TargetMode="External" Id="rId886" /><Relationship Type="http://schemas.openxmlformats.org/officeDocument/2006/relationships/hyperlink" Target="https://www.logixpathchef.com/app/food/getfoodnutrition?fdcid=169145" TargetMode="External" Id="rId887" /><Relationship Type="http://schemas.openxmlformats.org/officeDocument/2006/relationships/hyperlink" Target="https://www.cambridge.org/core/services/aop-cambridge-core/content/view/9AAD5BFE984EF28D7DC741C0ECE73724/S0007114505000504a.pdf/lignan_contents_of_dutch_plant_foods_a_database_including_lariciresinol_pinoresinol_secoisolariciresinol_and_matairesinol.pdf" TargetMode="External" Id="rId888" /><Relationship Type="http://schemas.openxmlformats.org/officeDocument/2006/relationships/hyperlink" Target="https://www.logixpathchef.com/app/food/getfoodnutrition?fdcid=169145" TargetMode="External" Id="rId889" /><Relationship Type="http://schemas.openxmlformats.org/officeDocument/2006/relationships/hyperlink" Target="https://www.logixpathchef.com/app/food/getfoodnutrition?fdcid=169145" TargetMode="External" Id="rId890" /><Relationship Type="http://schemas.openxmlformats.org/officeDocument/2006/relationships/hyperlink" Target="https://www.logixpathchef.com/app/food/getfoodnutrition?fdcid=169145" TargetMode="External" Id="rId891" /><Relationship Type="http://schemas.openxmlformats.org/officeDocument/2006/relationships/hyperlink" Target="https://www.logixpathchef.com/app/food/getfoodnutrition?fdcid=169145" TargetMode="External" Id="rId892" /><Relationship Type="http://schemas.openxmlformats.org/officeDocument/2006/relationships/hyperlink" Target="https://www.logixpathchef.com/app/food/getfoodnutrition?fdcid=169145" TargetMode="External" Id="rId893" /><Relationship Type="http://schemas.openxmlformats.org/officeDocument/2006/relationships/hyperlink" Target="https://fdc.nal.usda.gov/fdc-datasets/FoodData_Central_sr_legacy_food_csv_2018-04.zip" TargetMode="External" Id="rId894" /><Relationship Type="http://schemas.openxmlformats.org/officeDocument/2006/relationships/hyperlink" Target="https://pmc.ncbi.nlm.nih.gov/articles/PMC10000616/" TargetMode="External" Id="rId895" /><Relationship Type="http://schemas.openxmlformats.org/officeDocument/2006/relationships/hyperlink" Target="https://pmc.ncbi.nlm.nih.gov/articles/PMC6637774/" TargetMode="External" Id="rId896" /><Relationship Type="http://schemas.openxmlformats.org/officeDocument/2006/relationships/hyperlink" Target="https://www.logixpathchef.com/app/food/getfoodnutrition?fdcid=169145" TargetMode="External" Id="rId897" /><Relationship Type="http://schemas.openxmlformats.org/officeDocument/2006/relationships/hyperlink" Target="https://www.fatsecret.com/calories-nutrition/love-beets/organic-cooked-beets" TargetMode="External" Id="rId898" /><Relationship Type="http://schemas.openxmlformats.org/officeDocument/2006/relationships/hyperlink" Target="https://www.logixpathchef.com/app/food/getfoodnutrition?fdcid=169145" TargetMode="External" Id="rId899" /><Relationship Type="http://schemas.openxmlformats.org/officeDocument/2006/relationships/hyperlink" Target="https://www.fatsecret.com/calories-nutrition/love-beets/organic-cooked-beets" TargetMode="External" Id="rId900" /><Relationship Type="http://schemas.openxmlformats.org/officeDocument/2006/relationships/hyperlink" Target="https://www.logixpathchef.com/app/food/getfoodnutrition?fdcid=169145" TargetMode="External" Id="rId901" /><Relationship Type="http://schemas.openxmlformats.org/officeDocument/2006/relationships/hyperlink" Target="https://www.fatsecret.com/calories-nutrition/love-beets/organic-cooked-beets" TargetMode="External" Id="rId902" /><Relationship Type="http://schemas.openxmlformats.org/officeDocument/2006/relationships/hyperlink" Target="https://www.logixpathchef.com/app/food/getfoodnutrition?fdcid=169145" TargetMode="External" Id="rId903" /><Relationship Type="http://schemas.openxmlformats.org/officeDocument/2006/relationships/hyperlink" Target="https://www.fatsecret.com/calories-nutrition/love-beets/organic-cooked-beets" TargetMode="External" Id="rId904" /><Relationship Type="http://schemas.openxmlformats.org/officeDocument/2006/relationships/hyperlink" Target="https://www.fatsecret.com/calories-nutrition/love-beets/organic-cooked-beets" TargetMode="External" Id="rId905" /><Relationship Type="http://schemas.openxmlformats.org/officeDocument/2006/relationships/hyperlink" Target="https://www.fatsecret.com/calories-nutrition/love-beets/organic-cooked-beets" TargetMode="External" Id="rId906" /><Relationship Type="http://schemas.openxmlformats.org/officeDocument/2006/relationships/hyperlink" Target="https://www.fatsecret.com/calories-nutrition/love-beets/organic-cooked-beets" TargetMode="External" Id="rId907" /><Relationship Type="http://schemas.openxmlformats.org/officeDocument/2006/relationships/hyperlink" Target="https://www.logixpathchef.com/app/food/getfoodnutrition?fdcid=169145" TargetMode="External" Id="rId908" /><Relationship Type="http://schemas.openxmlformats.org/officeDocument/2006/relationships/hyperlink" Target="https://www.fatsecret.com/calories-nutrition/love-beets/organic-cooked-beets" TargetMode="External" Id="rId909" /><Relationship Type="http://schemas.openxmlformats.org/officeDocument/2006/relationships/hyperlink" Target="https://www.fda.gov/media/159745/download" TargetMode="External" Id="rId910" /><Relationship Type="http://schemas.openxmlformats.org/officeDocument/2006/relationships/hyperlink" Target="https://www.fda.gov/media/159745/download" TargetMode="External" Id="rId911" /><Relationship Type="http://schemas.openxmlformats.org/officeDocument/2006/relationships/hyperlink" Target="https://www.fda.gov/media/159745/download" TargetMode="External" Id="rId912" /><Relationship Type="http://schemas.openxmlformats.org/officeDocument/2006/relationships/hyperlink" Target="https://www.fda.gov/media/159745/download" TargetMode="External" Id="rId913" /><Relationship Type="http://schemas.openxmlformats.org/officeDocument/2006/relationships/hyperlink" Target="https://pmc.ncbi.nlm.nih.gov/articles/PMC7796401/" TargetMode="External" Id="rId914" /><Relationship Type="http://schemas.openxmlformats.org/officeDocument/2006/relationships/hyperlink" Target="https://pmc.ncbi.nlm.nih.gov/articles/PMC7796401/" TargetMode="External" Id="rId915" /><Relationship Type="http://schemas.openxmlformats.org/officeDocument/2006/relationships/hyperlink" Target="https://caffoff.com/products/traditional-decaf-matcha" TargetMode="External" Id="rId916" /><Relationship Type="http://schemas.openxmlformats.org/officeDocument/2006/relationships/hyperlink" Target="https://caffoff.com/products/traditional-decaf-matcha" TargetMode="External" Id="rId917" /><Relationship Type="http://schemas.openxmlformats.org/officeDocument/2006/relationships/hyperlink" Target="https://caffoff.com/products/traditional-decaf-matcha" TargetMode="External" Id="rId918" /><Relationship Type="http://schemas.openxmlformats.org/officeDocument/2006/relationships/hyperlink" Target="https://caffoff.com/products/traditional-decaf-matcha" TargetMode="External" Id="rId919" /><Relationship Type="http://schemas.openxmlformats.org/officeDocument/2006/relationships/hyperlink" Target="https://pmc.ncbi.nlm.nih.gov/articles/PMC7796401/" TargetMode="External" Id="rId920" /><Relationship Type="http://schemas.openxmlformats.org/officeDocument/2006/relationships/hyperlink" Target="https://pmc.ncbi.nlm.nih.gov/articles/PMC11049459/" TargetMode="External" Id="rId921" /><Relationship Type="http://schemas.openxmlformats.org/officeDocument/2006/relationships/hyperlink" Target="https://pmc.ncbi.nlm.nih.gov/articles/PMC11049459/" TargetMode="External" Id="rId922" /><Relationship Type="http://schemas.openxmlformats.org/officeDocument/2006/relationships/hyperlink" Target="https://pmc.ncbi.nlm.nih.gov/articles/PMC11049459/" TargetMode="External" Id="rId923" /><Relationship Type="http://schemas.openxmlformats.org/officeDocument/2006/relationships/hyperlink" Target="https://pmc.ncbi.nlm.nih.gov/articles/PMC11049459/" TargetMode="External" Id="rId924" /><Relationship Type="http://schemas.openxmlformats.org/officeDocument/2006/relationships/hyperlink" Target="https://pmc.ncbi.nlm.nih.gov/articles/PMC11049459/" TargetMode="External" Id="rId925" /><Relationship Type="http://schemas.openxmlformats.org/officeDocument/2006/relationships/hyperlink" Target="https://pmc.ncbi.nlm.nih.gov/articles/PMC11049459/" TargetMode="External" Id="rId926" /><Relationship Type="http://schemas.openxmlformats.org/officeDocument/2006/relationships/hyperlink" Target="https://pmc.ncbi.nlm.nih.gov/articles/PMC7796401/" TargetMode="External" Id="rId927" /><Relationship Type="http://schemas.openxmlformats.org/officeDocument/2006/relationships/hyperlink" Target="https://pmc.ncbi.nlm.nih.gov/articles/PMC7796401/" TargetMode="External" Id="rId928" /><Relationship Type="http://schemas.openxmlformats.org/officeDocument/2006/relationships/hyperlink" Target="https://pmc.ncbi.nlm.nih.gov/articles/PMC7796401/" TargetMode="External" Id="rId929" /><Relationship Type="http://schemas.openxmlformats.org/officeDocument/2006/relationships/hyperlink" Target="https://caffoff.com/products/traditional-decaf-matcha" TargetMode="External" Id="rId930" /><Relationship Type="http://schemas.openxmlformats.org/officeDocument/2006/relationships/hyperlink" Target="https://pmc.ncbi.nlm.nih.gov/articles/PMC7796401/" TargetMode="External" Id="rId931" /><Relationship Type="http://schemas.openxmlformats.org/officeDocument/2006/relationships/hyperlink" Target="https://pmc.ncbi.nlm.nih.gov/articles/PMC7796401/" TargetMode="External" Id="rId932" /><Relationship Type="http://schemas.openxmlformats.org/officeDocument/2006/relationships/hyperlink" Target="https://www.gotmatcha.com/pages/matcha-nutritional-facts" TargetMode="External" Id="rId933" /><Relationship Type="http://schemas.openxmlformats.org/officeDocument/2006/relationships/hyperlink" Target="https://www.gotmatcha.com/pages/matcha-nutritional-facts" TargetMode="External" Id="rId934" /><Relationship Type="http://schemas.openxmlformats.org/officeDocument/2006/relationships/hyperlink" Target="https://www.gotmatcha.com/pages/matcha-nutritional-facts" TargetMode="External" Id="rId935" /><Relationship Type="http://schemas.openxmlformats.org/officeDocument/2006/relationships/hyperlink" Target="https://www.gotmatcha.com/pages/matcha-nutritional-facts" TargetMode="External" Id="rId936" /><Relationship Type="http://schemas.openxmlformats.org/officeDocument/2006/relationships/hyperlink" Target="https://www.gotmatcha.com/pages/matcha-nutritional-facts" TargetMode="External" Id="rId937" /><Relationship Type="http://schemas.openxmlformats.org/officeDocument/2006/relationships/hyperlink" Target="https://pmc.ncbi.nlm.nih.gov/articles/PMC7796401/" TargetMode="External" Id="rId938" /><Relationship Type="http://schemas.openxmlformats.org/officeDocument/2006/relationships/hyperlink" Target="https://www.gotmatcha.com/pages/matcha-nutritional-facts" TargetMode="External" Id="rId939" /><Relationship Type="http://schemas.openxmlformats.org/officeDocument/2006/relationships/hyperlink" Target="https://www.gotmatcha.com/pages/matcha-nutritional-facts" TargetMode="External" Id="rId940" /><Relationship Type="http://schemas.openxmlformats.org/officeDocument/2006/relationships/hyperlink" Target="https://pmc.ncbi.nlm.nih.gov/articles/PMC7796401/" TargetMode="External" Id="rId941" /><Relationship Type="http://schemas.openxmlformats.org/officeDocument/2006/relationships/hyperlink" Target="https://pmc.ncbi.nlm.nih.gov/articles/PMC7796401/" TargetMode="External" Id="rId942" /><Relationship Type="http://schemas.openxmlformats.org/officeDocument/2006/relationships/hyperlink" Target="https://pmc.ncbi.nlm.nih.gov/articles/PMC7796401/" TargetMode="External" Id="rId943" /><Relationship Type="http://schemas.openxmlformats.org/officeDocument/2006/relationships/hyperlink" Target="https://pmc.ncbi.nlm.nih.gov/articles/PMC7796401/" TargetMode="External" Id="rId944" /><Relationship Type="http://schemas.openxmlformats.org/officeDocument/2006/relationships/hyperlink" Target="https://pmc.ncbi.nlm.nih.gov/articles/PMC7796401/" TargetMode="External" Id="rId945" /><Relationship Type="http://schemas.openxmlformats.org/officeDocument/2006/relationships/hyperlink" Target="https://pmc.ncbi.nlm.nih.gov/articles/PMC7796401/" TargetMode="External" Id="rId946" /><Relationship Type="http://schemas.openxmlformats.org/officeDocument/2006/relationships/hyperlink" Target="https://pmc.ncbi.nlm.nih.gov/articles/PMC7796401/" TargetMode="External" Id="rId947" /><Relationship Type="http://schemas.openxmlformats.org/officeDocument/2006/relationships/hyperlink" Target="https://pmc.ncbi.nlm.nih.gov/articles/PMC7796401/" TargetMode="External" Id="rId948" /><Relationship Type="http://schemas.openxmlformats.org/officeDocument/2006/relationships/hyperlink" Target="https://caffoff.com/products/traditional-decaf-matcha" TargetMode="External" Id="rId949" /><Relationship Type="http://schemas.openxmlformats.org/officeDocument/2006/relationships/hyperlink" Target="https://pmc.ncbi.nlm.nih.gov/articles/PMC7796401/" TargetMode="External" Id="rId950" /><Relationship Type="http://schemas.openxmlformats.org/officeDocument/2006/relationships/hyperlink" Target="https://pmc.ncbi.nlm.nih.gov/articles/PMC7796401/" TargetMode="External" Id="rId951" /><Relationship Type="http://schemas.openxmlformats.org/officeDocument/2006/relationships/hyperlink" Target="https://caffoff.com/products/traditional-decaf-matcha" TargetMode="External" Id="rId952" /><Relationship Type="http://schemas.openxmlformats.org/officeDocument/2006/relationships/hyperlink" Target="https://caffoff.com/products/traditional-decaf-matcha" TargetMode="External" Id="rId953" /><Relationship Type="http://schemas.openxmlformats.org/officeDocument/2006/relationships/hyperlink" Target="https://pmc.ncbi.nlm.nih.gov/articles/PMC7796401/" TargetMode="External" Id="rId954" /><Relationship Type="http://schemas.openxmlformats.org/officeDocument/2006/relationships/hyperlink" Target="https://pmc.ncbi.nlm.nih.gov/articles/PMC7796401/" TargetMode="External" Id="rId955" /><Relationship Type="http://schemas.openxmlformats.org/officeDocument/2006/relationships/hyperlink" Target="https://pmc.ncbi.nlm.nih.gov/articles/PMC7796401/" TargetMode="External" Id="rId956" /><Relationship Type="http://schemas.openxmlformats.org/officeDocument/2006/relationships/hyperlink" Target="https://pmc.ncbi.nlm.nih.gov/articles/PMC7796401/" TargetMode="External" Id="rId957" /><Relationship Type="http://schemas.openxmlformats.org/officeDocument/2006/relationships/hyperlink" Target="https://pmc.ncbi.nlm.nih.gov/articles/PMC7796401/" TargetMode="External" Id="rId958" /><Relationship Type="http://schemas.openxmlformats.org/officeDocument/2006/relationships/hyperlink" Target="https://caffoff.com/products/traditional-decaf-matcha" TargetMode="External" Id="rId959" /><Relationship Type="http://schemas.openxmlformats.org/officeDocument/2006/relationships/hyperlink" Target="https://pmc.ncbi.nlm.nih.gov/articles/PMC7796401/" TargetMode="External" Id="rId960" /><Relationship Type="http://schemas.openxmlformats.org/officeDocument/2006/relationships/hyperlink" Target="https://pmc.ncbi.nlm.nih.gov/articles/PMC7796401/" TargetMode="External" Id="rId961" /><Relationship Type="http://schemas.openxmlformats.org/officeDocument/2006/relationships/hyperlink" Target="https://caffoff.com/products/traditional-decaf-matcha" TargetMode="External" Id="rId962" /><Relationship Type="http://schemas.openxmlformats.org/officeDocument/2006/relationships/hyperlink" Target="https://caffoff.com/products/traditional-decaf-matcha" TargetMode="External" Id="rId963" /><Relationship Type="http://schemas.openxmlformats.org/officeDocument/2006/relationships/hyperlink" Target="https://caffoff.com/products/traditional-decaf-matcha" TargetMode="External" Id="rId964" /><Relationship Type="http://schemas.openxmlformats.org/officeDocument/2006/relationships/hyperlink" Target="https://pubmed.ncbi.nlm.nih.gov/14579431/" TargetMode="External" Id="rId965" /><Relationship Type="http://schemas.openxmlformats.org/officeDocument/2006/relationships/hyperlink" Target="https://caffoff.com/products/traditional-decaf-matcha" TargetMode="External" Id="rId966" /><Relationship Type="http://schemas.openxmlformats.org/officeDocument/2006/relationships/hyperlink" Target="https://caffoff.com/products/traditional-decaf-matcha" TargetMode="External" Id="rId967" /><Relationship Type="http://schemas.openxmlformats.org/officeDocument/2006/relationships/hyperlink" Target="https://caffoff.com/products/traditional-decaf-matcha" TargetMode="External" Id="rId968" /><Relationship Type="http://schemas.openxmlformats.org/officeDocument/2006/relationships/hyperlink" Target="https://caffoff.com/products/traditional-decaf-matcha" TargetMode="External" Id="rId969" /><Relationship Type="http://schemas.openxmlformats.org/officeDocument/2006/relationships/hyperlink" Target="https://pmc.ncbi.nlm.nih.gov/articles/PMC7796401/" TargetMode="External" Id="rId970" /><Relationship Type="http://schemas.openxmlformats.org/officeDocument/2006/relationships/hyperlink" Target="https://pmc.ncbi.nlm.nih.gov/articles/PMC7796401/" TargetMode="External" Id="rId971" /><Relationship Type="http://schemas.openxmlformats.org/officeDocument/2006/relationships/hyperlink" Target="https://pmc.ncbi.nlm.nih.gov/articles/PMC7796401/" TargetMode="External" Id="rId972" /><Relationship Type="http://schemas.openxmlformats.org/officeDocument/2006/relationships/hyperlink" Target="https://pmc.ncbi.nlm.nih.gov/articles/PMC7796401/" TargetMode="External" Id="rId973" /><Relationship Type="http://schemas.openxmlformats.org/officeDocument/2006/relationships/hyperlink" Target="https://caffoff.com/products/traditional-decaf-matcha" TargetMode="External" Id="rId974" /><Relationship Type="http://schemas.openxmlformats.org/officeDocument/2006/relationships/hyperlink" Target="https://caffoff.com/products/traditional-decaf-matcha" TargetMode="External" Id="rId975" /><Relationship Type="http://schemas.openxmlformats.org/officeDocument/2006/relationships/hyperlink" Target="https://caffoff.com/products/traditional-decaf-matcha" TargetMode="External" Id="rId976" /><Relationship Type="http://schemas.openxmlformats.org/officeDocument/2006/relationships/hyperlink" Target="https://pmc.ncbi.nlm.nih.gov/articles/PMC7796401/" TargetMode="External" Id="rId977" /><Relationship Type="http://schemas.openxmlformats.org/officeDocument/2006/relationships/hyperlink" Target="https://caffoff.com/products/traditional-decaf-matcha" TargetMode="External" Id="rId978" /><Relationship Type="http://schemas.openxmlformats.org/officeDocument/2006/relationships/hyperlink" Target="https://pmc.ncbi.nlm.nih.gov/articles/PMC7796401/" TargetMode="External" Id="rId979" /><Relationship Type="http://schemas.openxmlformats.org/officeDocument/2006/relationships/hyperlink" Target="https://pmc.ncbi.nlm.nih.gov/articles/PMC7796401/" TargetMode="External" Id="rId980" /><Relationship Type="http://schemas.openxmlformats.org/officeDocument/2006/relationships/hyperlink" Target="https://caffoff.com/products/traditional-decaf-matcha" TargetMode="External" Id="rId981" /><Relationship Type="http://schemas.openxmlformats.org/officeDocument/2006/relationships/hyperlink" Target="https://pmc.ncbi.nlm.nih.gov/articles/PMC7796401/" TargetMode="External" Id="rId982" /><Relationship Type="http://schemas.openxmlformats.org/officeDocument/2006/relationships/hyperlink" Target="https://caffoff.com/products/traditional-decaf-matcha" TargetMode="External" Id="rId983" /><Relationship Type="http://schemas.openxmlformats.org/officeDocument/2006/relationships/hyperlink" Target="https://caffoff.com/products/traditional-decaf-matcha" TargetMode="External" Id="rId984" /><Relationship Type="http://schemas.openxmlformats.org/officeDocument/2006/relationships/hyperlink" Target="https://caffoff.com/products/traditional-decaf-matcha" TargetMode="External" Id="rId985" /><Relationship Type="http://schemas.openxmlformats.org/officeDocument/2006/relationships/hyperlink" Target="https://caffoff.com/products/traditional-decaf-matcha" TargetMode="External" Id="rId986" /><Relationship Type="http://schemas.openxmlformats.org/officeDocument/2006/relationships/hyperlink" Target="https://caffoff.com/products/traditional-decaf-matcha" TargetMode="External" Id="rId987" /><Relationship Type="http://schemas.openxmlformats.org/officeDocument/2006/relationships/hyperlink" Target="https://pubmed.ncbi.nlm.nih.gov/25675136/" TargetMode="External" Id="rId988" /><Relationship Type="http://schemas.openxmlformats.org/officeDocument/2006/relationships/hyperlink" Target="https://caffoff.com/products/traditional-decaf-matcha" TargetMode="External" Id="rId989" /><Relationship Type="http://schemas.openxmlformats.org/officeDocument/2006/relationships/hyperlink" Target="https://pubmed.ncbi.nlm.nih.gov/14579431/" TargetMode="External" Id="rId990" /><Relationship Type="http://schemas.openxmlformats.org/officeDocument/2006/relationships/hyperlink" Target="https://caffoff.com/products/traditional-decaf-matcha" TargetMode="External" Id="rId991" /><Relationship Type="http://schemas.openxmlformats.org/officeDocument/2006/relationships/hyperlink" Target="https://caffoff.com/products/traditional-decaf-matcha" TargetMode="External" Id="rId992" /><Relationship Type="http://schemas.openxmlformats.org/officeDocument/2006/relationships/hyperlink" Target="https://www.fda.gov/media/159745/download" TargetMode="External" Id="rId993" /><Relationship Type="http://schemas.openxmlformats.org/officeDocument/2006/relationships/hyperlink" Target="https://www.fda.gov/media/159745/download" TargetMode="External" Id="rId994" /><Relationship Type="http://schemas.openxmlformats.org/officeDocument/2006/relationships/hyperlink" Target="https://www.fda.gov/media/159745/download" TargetMode="External" Id="rId995" /><Relationship Type="http://schemas.openxmlformats.org/officeDocument/2006/relationships/hyperlink" Target="https://www.fda.gov/media/159745/download" TargetMode="External" Id="rId996" /><Relationship Type="http://schemas.openxmlformats.org/officeDocument/2006/relationships/hyperlink" Target="https://lakewoodorganic.com/products/lakewood-organic-pure-pomegranate-juice-32-ounce-pack-of-6" TargetMode="External" Id="rId997" /><Relationship Type="http://schemas.openxmlformats.org/officeDocument/2006/relationships/hyperlink" Target="https://www.logixpathchef.com/app/food/getfoodnutrition?fdcid=167787" TargetMode="External" Id="rId998" /><Relationship Type="http://schemas.openxmlformats.org/officeDocument/2006/relationships/hyperlink" Target="https://lakewoodorganic.com/products/lakewood-organic-pure-pomegranate-juice-32-ounce-pack-of-6" TargetMode="External" Id="rId999" /><Relationship Type="http://schemas.openxmlformats.org/officeDocument/2006/relationships/hyperlink" Target="https://lakewoodorganic.com/products/lakewood-organic-pure-pomegranate-juice-32-ounce-pack-of-6" TargetMode="External" Id="rId1000" /><Relationship Type="http://schemas.openxmlformats.org/officeDocument/2006/relationships/hyperlink" Target="https://lakewoodorganic.com/products/lakewood-organic-pure-pomegranate-juice-32-ounce-pack-of-6" TargetMode="External" Id="rId1001" /><Relationship Type="http://schemas.openxmlformats.org/officeDocument/2006/relationships/hyperlink" Target="https://lakewoodorganic.com/products/lakewood-organic-pure-pomegranate-juice-32-ounce-pack-of-6" TargetMode="External" Id="rId1002" /><Relationship Type="http://schemas.openxmlformats.org/officeDocument/2006/relationships/hyperlink" Target="https://www.logixpathchef.com/app/food/getfoodnutrition?fdcid=167787" TargetMode="External" Id="rId1003" /><Relationship Type="http://schemas.openxmlformats.org/officeDocument/2006/relationships/hyperlink" Target="https://www.logixpathchef.com/app/food/getfoodnutrition?fdcid=167787" TargetMode="External" Id="rId1004" /><Relationship Type="http://schemas.openxmlformats.org/officeDocument/2006/relationships/hyperlink" Target="https://www.logixpathchef.com/app/food/getfoodnutrition?fdcid=167787" TargetMode="External" Id="rId1005" /><Relationship Type="http://schemas.openxmlformats.org/officeDocument/2006/relationships/hyperlink" Target="https://www.logixpathchef.com/app/food/getfoodnutrition?fdcid=167787" TargetMode="External" Id="rId1006" /><Relationship Type="http://schemas.openxmlformats.org/officeDocument/2006/relationships/hyperlink" Target="https://www.logixpathchef.com/app/food/getfoodnutrition?fdcid=167787" TargetMode="External" Id="rId1007" /><Relationship Type="http://schemas.openxmlformats.org/officeDocument/2006/relationships/hyperlink" Target="https://www.logixpathchef.com/app/food/getfoodnutrition?fdcid=167787" TargetMode="External" Id="rId1008" /><Relationship Type="http://schemas.openxmlformats.org/officeDocument/2006/relationships/hyperlink" Target="https://www.logixpathchef.com/app/food/getfoodnutrition?fdcid=167787" TargetMode="External" Id="rId1009" /><Relationship Type="http://schemas.openxmlformats.org/officeDocument/2006/relationships/hyperlink" Target="https://www.logixpathchef.com/app/food/getfoodnutrition?fdcid=167787" TargetMode="External" Id="rId1010" /><Relationship Type="http://schemas.openxmlformats.org/officeDocument/2006/relationships/hyperlink" Target="https://lakewoodorganic.com/products/lakewood-organic-pure-pomegranate-juice-32-ounce-pack-of-6" TargetMode="External" Id="rId1011" /><Relationship Type="http://schemas.openxmlformats.org/officeDocument/2006/relationships/hyperlink" Target="https://lakewoodorganic.com/products/lakewood-organic-pure-pomegranate-juice-32-ounce-pack-of-6" TargetMode="External" Id="rId1012" /><Relationship Type="http://schemas.openxmlformats.org/officeDocument/2006/relationships/hyperlink" Target="https://lakewoodorganic.com/products/lakewood-organic-pure-pomegranate-juice-32-ounce-pack-of-6" TargetMode="External" Id="rId1013" /><Relationship Type="http://schemas.openxmlformats.org/officeDocument/2006/relationships/hyperlink" Target="https://www.logixpathchef.com/app/food/getfoodnutrition?fdcid=167787" TargetMode="External" Id="rId1014" /><Relationship Type="http://schemas.openxmlformats.org/officeDocument/2006/relationships/hyperlink" Target="https://www.logixpathchef.com/app/food/getfoodnutrition?fdcid=167787" TargetMode="External" Id="rId1015" /><Relationship Type="http://schemas.openxmlformats.org/officeDocument/2006/relationships/hyperlink" Target="https://www.logixpathchef.com/app/food/getfoodnutrition?fdcid=167787" TargetMode="External" Id="rId1016" /><Relationship Type="http://schemas.openxmlformats.org/officeDocument/2006/relationships/hyperlink" Target="https://www.logixpathchef.com/app/food/getfoodnutrition?fdcid=167787" TargetMode="External" Id="rId1017" /><Relationship Type="http://schemas.openxmlformats.org/officeDocument/2006/relationships/hyperlink" Target="https://www.logixpathchef.com/app/food/getfoodnutrition?fdcid=167787" TargetMode="External" Id="rId1018" /><Relationship Type="http://schemas.openxmlformats.org/officeDocument/2006/relationships/hyperlink" Target="https://www.logixpathchef.com/app/food/getfoodnutrition?fdcid=167787" TargetMode="External" Id="rId1019" /><Relationship Type="http://schemas.openxmlformats.org/officeDocument/2006/relationships/hyperlink" Target="https://www.logixpathchef.com/app/food/getfoodnutrition?fdcid=167787" TargetMode="External" Id="rId1020" /><Relationship Type="http://schemas.openxmlformats.org/officeDocument/2006/relationships/hyperlink" Target="https://www.logixpathchef.com/app/food/getfoodnutrition?fdcid=167787" TargetMode="External" Id="rId1021" /><Relationship Type="http://schemas.openxmlformats.org/officeDocument/2006/relationships/hyperlink" Target="https://www.logixpathchef.com/app/food/getfoodnutrition?fdcid=167787" TargetMode="External" Id="rId1022" /><Relationship Type="http://schemas.openxmlformats.org/officeDocument/2006/relationships/hyperlink" Target="https://www.logixpathchef.com/app/food/getfoodnutrition?fdcid=167787" TargetMode="External" Id="rId1023" /><Relationship Type="http://schemas.openxmlformats.org/officeDocument/2006/relationships/hyperlink" Target="https://www.logixpathchef.com/app/food/getfoodnutrition?fdcid=167787" TargetMode="External" Id="rId1024" /><Relationship Type="http://schemas.openxmlformats.org/officeDocument/2006/relationships/hyperlink" Target="https://www.logixpathchef.com/app/food/getfoodnutrition?fdcid=167787" TargetMode="External" Id="rId1025" /><Relationship Type="http://schemas.openxmlformats.org/officeDocument/2006/relationships/hyperlink" Target="https://www.logixpathchef.com/app/food/getfoodnutrition?fdcid=167787" TargetMode="External" Id="rId1026" /><Relationship Type="http://schemas.openxmlformats.org/officeDocument/2006/relationships/hyperlink" Target="https://www.logixpathchef.com/app/food/getfoodnutrition?fdcid=167787" TargetMode="External" Id="rId1027" /><Relationship Type="http://schemas.openxmlformats.org/officeDocument/2006/relationships/hyperlink" Target="https://www.logixpathchef.com/app/food/getfoodnutrition?fdcid=167787" TargetMode="External" Id="rId1028" /><Relationship Type="http://schemas.openxmlformats.org/officeDocument/2006/relationships/hyperlink" Target="https://www.logixpathchef.com/app/food/getfoodnutrition?fdcid=167787" TargetMode="External" Id="rId1029" /><Relationship Type="http://schemas.openxmlformats.org/officeDocument/2006/relationships/hyperlink" Target="https://www.logixpathchef.com/app/food/getfoodnutrition?fdcid=167787" TargetMode="External" Id="rId1030" /><Relationship Type="http://schemas.openxmlformats.org/officeDocument/2006/relationships/hyperlink" Target="https://www.logixpathchef.com/app/food/getfoodnutrition?fdcid=167787" TargetMode="External" Id="rId1031" /><Relationship Type="http://schemas.openxmlformats.org/officeDocument/2006/relationships/hyperlink" Target="https://www.logixpathchef.com/app/food/getfoodnutrition?fdcid=167787" TargetMode="External" Id="rId1032" /><Relationship Type="http://schemas.openxmlformats.org/officeDocument/2006/relationships/hyperlink" Target="https://www.logixpathchef.com/app/food/getfoodnutrition?fdcid=167787" TargetMode="External" Id="rId1033" /><Relationship Type="http://schemas.openxmlformats.org/officeDocument/2006/relationships/hyperlink" Target="https://www.logixpathchef.com/app/food/getfoodnutrition?fdcid=167787" TargetMode="External" Id="rId1034" /><Relationship Type="http://schemas.openxmlformats.org/officeDocument/2006/relationships/hyperlink" Target="https://www.logixpathchef.com/app/food/getfoodnutrition?fdcid=167787" TargetMode="External" Id="rId1035" /><Relationship Type="http://schemas.openxmlformats.org/officeDocument/2006/relationships/hyperlink" Target="https://www.logixpathchef.com/app/food/getfoodnutrition?fdcid=167787" TargetMode="External" Id="rId1036" /><Relationship Type="http://schemas.openxmlformats.org/officeDocument/2006/relationships/hyperlink" Target="https://www.logixpathchef.com/app/food/getfoodnutrition?fdcid=167787" TargetMode="External" Id="rId1037" /><Relationship Type="http://schemas.openxmlformats.org/officeDocument/2006/relationships/hyperlink" Target="https://www.logixpathchef.com/app/food/getfoodnutrition?fdcid=167787" TargetMode="External" Id="rId1038" /><Relationship Type="http://schemas.openxmlformats.org/officeDocument/2006/relationships/hyperlink" Target="https://www.logixpathchef.com/app/food/getfoodnutrition?fdcid=167787" TargetMode="External" Id="rId1039" /><Relationship Type="http://schemas.openxmlformats.org/officeDocument/2006/relationships/hyperlink" Target="https://www.logixpathchef.com/app/food/getfoodnutrition?fdcid=167787" TargetMode="External" Id="rId1040" /><Relationship Type="http://schemas.openxmlformats.org/officeDocument/2006/relationships/hyperlink" Target="https://www.logixpathchef.com/app/food/getfoodnutrition?fdcid=167787" TargetMode="External" Id="rId1041" /><Relationship Type="http://schemas.openxmlformats.org/officeDocument/2006/relationships/hyperlink" Target="https://www.logixpathchef.com/app/food/getfoodnutrition?fdcid=167787" TargetMode="External" Id="rId1042" /><Relationship Type="http://schemas.openxmlformats.org/officeDocument/2006/relationships/hyperlink" Target="https://www.logixpathchef.com/app/food/getfoodnutrition?fdcid=167787" TargetMode="External" Id="rId1043" /><Relationship Type="http://schemas.openxmlformats.org/officeDocument/2006/relationships/hyperlink" Target="https://www.logixpathchef.com/app/food/getfoodnutrition?fdcid=167787" TargetMode="External" Id="rId1044" /><Relationship Type="http://schemas.openxmlformats.org/officeDocument/2006/relationships/hyperlink" Target="https://www.logixpathchef.com/app/food/getfoodnutrition?fdcid=167787" TargetMode="External" Id="rId1045" /><Relationship Type="http://schemas.openxmlformats.org/officeDocument/2006/relationships/hyperlink" Target="https://www.logixpathchef.com/app/food/getfoodnutrition?fdcid=167787" TargetMode="External" Id="rId1046" /><Relationship Type="http://schemas.openxmlformats.org/officeDocument/2006/relationships/hyperlink" Target="https://www.ars.usda.gov/ARSUserFiles/80400535/Data/Flav/Flav3.3.pdf" TargetMode="External" Id="rId1047" /><Relationship Type="http://schemas.openxmlformats.org/officeDocument/2006/relationships/hyperlink" Target="https://lakewoodorganic.com/products/lakewood-organic-pure-pomegranate-juice-32-ounce-pack-of-6" TargetMode="External" Id="rId1048" /><Relationship Type="http://schemas.openxmlformats.org/officeDocument/2006/relationships/hyperlink" Target="https://lakewoodorganic.com/products/lakewood-organic-pure-pomegranate-juice-32-ounce-pack-of-6" TargetMode="External" Id="rId1049" /><Relationship Type="http://schemas.openxmlformats.org/officeDocument/2006/relationships/hyperlink" Target="http://phenol-explorer.eu/reports/39" TargetMode="External" Id="rId1050" /><Relationship Type="http://schemas.openxmlformats.org/officeDocument/2006/relationships/hyperlink" Target="https://www.ars.usda.gov/ARSUserFiles/80400535/Data/PA/PA02-1.pdf" TargetMode="External" Id="rId1051" /><Relationship Type="http://schemas.openxmlformats.org/officeDocument/2006/relationships/hyperlink" Target="https://lakewoodorganic.com/products/lakewood-organic-pure-pomegranate-juice-32-ounce-pack-of-6" TargetMode="External" Id="rId1052" /><Relationship Type="http://schemas.openxmlformats.org/officeDocument/2006/relationships/hyperlink" Target="https://www.ars.usda.gov/ARSUserFiles/80400535/Data/Flav/Flav3.3.pdf" TargetMode="External" Id="rId1053" /><Relationship Type="http://schemas.openxmlformats.org/officeDocument/2006/relationships/hyperlink" Target="https://pmc.ncbi.nlm.nih.gov/articles/PMC6429205/" TargetMode="External" Id="rId1054" /><Relationship Type="http://schemas.openxmlformats.org/officeDocument/2006/relationships/hyperlink" Target="https://www.logixpathchef.com/app/food/getfoodnutrition?fdcid=167787" TargetMode="External" Id="rId1055" /><Relationship Type="http://schemas.openxmlformats.org/officeDocument/2006/relationships/hyperlink" Target="https://www.logixpathchef.com/app/food/getfoodnutrition?fdcid=167787" TargetMode="External" Id="rId1056" /><Relationship Type="http://schemas.openxmlformats.org/officeDocument/2006/relationships/hyperlink" Target="https://www.logixpathchef.com/app/food/getfoodnutrition?fdcid=167787" TargetMode="External" Id="rId1057" /><Relationship Type="http://schemas.openxmlformats.org/officeDocument/2006/relationships/hyperlink" Target="https://www.logixpathchef.com/app/food/getfoodnutrition?fdcid=167787" TargetMode="External" Id="rId1058" /><Relationship Type="http://schemas.openxmlformats.org/officeDocument/2006/relationships/hyperlink" Target="https://www.logixpathchef.com/app/food/getfoodnutrition?fdcid=167787" TargetMode="External" Id="rId1059" /><Relationship Type="http://schemas.openxmlformats.org/officeDocument/2006/relationships/hyperlink" Target="https://www.logixpathchef.com/app/food/getfoodnutrition?fdcid=167787" TargetMode="External" Id="rId1060" /><Relationship Type="http://schemas.openxmlformats.org/officeDocument/2006/relationships/hyperlink" Target="https://www.logixpathchef.com/app/food/getfoodnutrition?fdcid=167787" TargetMode="External" Id="rId1061" /><Relationship Type="http://schemas.openxmlformats.org/officeDocument/2006/relationships/hyperlink" Target="https://www.logixpathchef.com/app/food/getfoodnutrition?fdcid=167787" TargetMode="External" Id="rId1062" /><Relationship Type="http://schemas.openxmlformats.org/officeDocument/2006/relationships/hyperlink" Target="https://www.logixpathchef.com/app/food/getfoodnutrition?fdcid=167787" TargetMode="External" Id="rId1063" /><Relationship Type="http://schemas.openxmlformats.org/officeDocument/2006/relationships/hyperlink" Target="https://lakewoodorganic.com/products/lakewood-organic-pure-pomegranate-juice-32-ounce-pack-of-6" TargetMode="External" Id="rId1064" /><Relationship Type="http://schemas.openxmlformats.org/officeDocument/2006/relationships/hyperlink" Target="https://www.logixpathchef.com/app/food/getfoodnutrition?fdcid=167787" TargetMode="External" Id="rId1065" /><Relationship Type="http://schemas.openxmlformats.org/officeDocument/2006/relationships/hyperlink" Target="https://lakewoodorganic.com/products/lakewood-organic-pure-pomegranate-juice-32-ounce-pack-of-6" TargetMode="External" Id="rId1066" /><Relationship Type="http://schemas.openxmlformats.org/officeDocument/2006/relationships/hyperlink" Target="https://www.logixpathchef.com/app/food/getfoodnutrition?fdcid=167787" TargetMode="External" Id="rId1067" /><Relationship Type="http://schemas.openxmlformats.org/officeDocument/2006/relationships/hyperlink" Target="https://lakewoodorganic.com/products/lakewood-organic-pure-pomegranate-juice-32-ounce-pack-of-6" TargetMode="External" Id="rId1068" /><Relationship Type="http://schemas.openxmlformats.org/officeDocument/2006/relationships/hyperlink" Target="https://www.logixpathchef.com/app/food/getfoodnutrition?fdcid=167787" TargetMode="External" Id="rId1069" /><Relationship Type="http://schemas.openxmlformats.org/officeDocument/2006/relationships/hyperlink" Target="https://lakewoodorganic.com/products/lakewood-organic-pure-pomegranate-juice-32-ounce-pack-of-6" TargetMode="External" Id="rId1070" /><Relationship Type="http://schemas.openxmlformats.org/officeDocument/2006/relationships/hyperlink" Target="https://www.logixpathchef.com/app/food/getfoodnutrition?fdcid=167787" TargetMode="External" Id="rId1071" /><Relationship Type="http://schemas.openxmlformats.org/officeDocument/2006/relationships/hyperlink" Target="https://lakewoodorganic.com/products/lakewood-organic-pure-pomegranate-juice-32-ounce-pack-of-6" TargetMode="External" Id="rId1072" /><Relationship Type="http://schemas.openxmlformats.org/officeDocument/2006/relationships/hyperlink" Target="https://lakewoodorganic.com/products/lakewood-organic-pure-pomegranate-juice-32-ounce-pack-of-6" TargetMode="External" Id="rId1073" /><Relationship Type="http://schemas.openxmlformats.org/officeDocument/2006/relationships/hyperlink" Target="https://www.logixpathchef.com/app/food/getfoodnutrition?fdcid=167787" TargetMode="External" Id="rId1074" /><Relationship Type="http://schemas.openxmlformats.org/officeDocument/2006/relationships/hyperlink" Target="https://lakewoodorganic.com/products/lakewood-organic-pure-pomegranate-juice-32-ounce-pack-of-6" TargetMode="External" Id="rId1075" /><Relationship Type="http://schemas.openxmlformats.org/officeDocument/2006/relationships/hyperlink" Target="https://www.fda.gov/media/159745/download" TargetMode="External" Id="rId1076" /><Relationship Type="http://schemas.openxmlformats.org/officeDocument/2006/relationships/hyperlink" Target="https://www.fda.gov/media/159745/download" TargetMode="External" Id="rId1077" /><Relationship Type="http://schemas.openxmlformats.org/officeDocument/2006/relationships/hyperlink" Target="https://www.fda.gov/media/159745/download" TargetMode="External" Id="rId1078" /><Relationship Type="http://schemas.openxmlformats.org/officeDocument/2006/relationships/hyperlink" Target="https://www.fda.gov/media/159745/download" TargetMode="External" Id="rId1079" /><Relationship Type="http://schemas.openxmlformats.org/officeDocument/2006/relationships/hyperlink" Target="https://www.logixpathchef.com/app/food/getfoodnutrition?fdcid=171413" TargetMode="External" Id="rId1080" /><Relationship Type="http://schemas.openxmlformats.org/officeDocument/2006/relationships/hyperlink" Target="https://www.logixpathchef.com/app/food/getfoodnutrition?fdcid=171413" TargetMode="External" Id="rId1081" /><Relationship Type="http://schemas.openxmlformats.org/officeDocument/2006/relationships/hyperlink" Target="https://www.logixpathchef.com/app/food/getfoodnutrition?fdcid=171413" TargetMode="External" Id="rId1082" /><Relationship Type="http://schemas.openxmlformats.org/officeDocument/2006/relationships/hyperlink" Target="https://www.logixpathchef.com/app/food/getfoodnutrition?fdcid=171413" TargetMode="External" Id="rId1083" /><Relationship Type="http://schemas.openxmlformats.org/officeDocument/2006/relationships/hyperlink" Target="https://www.logixpathchef.com/app/food/getfoodnutrition?fdcid=171413" TargetMode="External" Id="rId1084" /><Relationship Type="http://schemas.openxmlformats.org/officeDocument/2006/relationships/hyperlink" Target="https://www.logixpathchef.com/app/food/getfoodnutrition?fdcid=171413" TargetMode="External" Id="rId1085" /><Relationship Type="http://schemas.openxmlformats.org/officeDocument/2006/relationships/hyperlink" Target="https://www.logixpathchef.com/app/food/getfoodnutrition?fdcid=171413" TargetMode="External" Id="rId1086" /><Relationship Type="http://schemas.openxmlformats.org/officeDocument/2006/relationships/hyperlink" Target="https://www.logixpathchef.com/app/food/getfoodnutrition?fdcid=171413" TargetMode="External" Id="rId1087" /><Relationship Type="http://schemas.openxmlformats.org/officeDocument/2006/relationships/hyperlink" Target="https://www.logixpathchef.com/app/food/getfoodnutrition?fdcid=171413" TargetMode="External" Id="rId1088" /><Relationship Type="http://schemas.openxmlformats.org/officeDocument/2006/relationships/hyperlink" Target="https://www.logixpathchef.com/app/food/getfoodnutrition?fdcid=171413" TargetMode="External" Id="rId1089" /><Relationship Type="http://schemas.openxmlformats.org/officeDocument/2006/relationships/hyperlink" Target="https://www.logixpathchef.com/app/food/getfoodnutrition?fdcid=171413" TargetMode="External" Id="rId1090" /><Relationship Type="http://schemas.openxmlformats.org/officeDocument/2006/relationships/hyperlink" Target="https://www.logixpathchef.com/app/food/getfoodnutrition?fdcid=171413" TargetMode="External" Id="rId1091" /><Relationship Type="http://schemas.openxmlformats.org/officeDocument/2006/relationships/hyperlink" Target="https://www.logixpathchef.com/app/food/getfoodnutrition?fdcid=171413" TargetMode="External" Id="rId1092" /><Relationship Type="http://schemas.openxmlformats.org/officeDocument/2006/relationships/hyperlink" Target="https://www.logixpathchef.com/app/food/getfoodnutrition?fdcid=171413" TargetMode="External" Id="rId1093" /><Relationship Type="http://schemas.openxmlformats.org/officeDocument/2006/relationships/hyperlink" Target="https://www.logixpathchef.com/app/food/getfoodnutrition?fdcid=171413" TargetMode="External" Id="rId1094" /><Relationship Type="http://schemas.openxmlformats.org/officeDocument/2006/relationships/hyperlink" Target="https://www.logixpathchef.com/app/food/getfoodnutrition?fdcid=171413" TargetMode="External" Id="rId1095" /><Relationship Type="http://schemas.openxmlformats.org/officeDocument/2006/relationships/hyperlink" Target="https://www.logixpathchef.com/app/food/getfoodnutrition?fdcid=171413" TargetMode="External" Id="rId1096" /><Relationship Type="http://schemas.openxmlformats.org/officeDocument/2006/relationships/hyperlink" Target="https://www.logixpathchef.com/app/food/getfoodnutrition?fdcid=171413" TargetMode="External" Id="rId1097" /><Relationship Type="http://schemas.openxmlformats.org/officeDocument/2006/relationships/hyperlink" Target="https://www.logixpathchef.com/app/food/getfoodnutrition?fdcid=171413" TargetMode="External" Id="rId1098" /><Relationship Type="http://schemas.openxmlformats.org/officeDocument/2006/relationships/hyperlink" Target="https://www.logixpathchef.com/app/food/getfoodnutrition?fdcid=171413" TargetMode="External" Id="rId1099" /><Relationship Type="http://schemas.openxmlformats.org/officeDocument/2006/relationships/hyperlink" Target="https://www.logixpathchef.com/app/food/getfoodnutrition?fdcid=171413" TargetMode="External" Id="rId1100" /><Relationship Type="http://schemas.openxmlformats.org/officeDocument/2006/relationships/hyperlink" Target="https://www.logixpathchef.com/app/food/getfoodnutrition?fdcid=171413" TargetMode="External" Id="rId1101" /><Relationship Type="http://schemas.openxmlformats.org/officeDocument/2006/relationships/hyperlink" Target="https://www.logixpathchef.com/app/food/getfoodnutrition?fdcid=171413" TargetMode="External" Id="rId1102" /><Relationship Type="http://schemas.openxmlformats.org/officeDocument/2006/relationships/hyperlink" Target="https://www.logixpathchef.com/app/food/getfoodnutrition?fdcid=171413" TargetMode="External" Id="rId1103" /><Relationship Type="http://schemas.openxmlformats.org/officeDocument/2006/relationships/hyperlink" Target="https://www.logixpathchef.com/app/food/getfoodnutrition?fdcid=171413" TargetMode="External" Id="rId1104" /><Relationship Type="http://schemas.openxmlformats.org/officeDocument/2006/relationships/hyperlink" Target="https://www.logixpathchef.com/app/food/getfoodnutrition?fdcid=171413" TargetMode="External" Id="rId1105" /><Relationship Type="http://schemas.openxmlformats.org/officeDocument/2006/relationships/hyperlink" Target="https://www.logixpathchef.com/app/food/getfoodnutrition?fdcid=171413" TargetMode="External" Id="rId1106" /><Relationship Type="http://schemas.openxmlformats.org/officeDocument/2006/relationships/hyperlink" Target="https://www.logixpathchef.com/app/food/getfoodnutrition?fdcid=171413" TargetMode="External" Id="rId1107" /><Relationship Type="http://schemas.openxmlformats.org/officeDocument/2006/relationships/hyperlink" Target="https://www.logixpathchef.com/app/food/getfoodnutrition?fdcid=171413" TargetMode="External" Id="rId1108" /><Relationship Type="http://schemas.openxmlformats.org/officeDocument/2006/relationships/hyperlink" Target="https://www.logixpathchef.com/app/food/getfoodnutrition?fdcid=171413" TargetMode="External" Id="rId1109" /><Relationship Type="http://schemas.openxmlformats.org/officeDocument/2006/relationships/hyperlink" Target="https://www.logixpathchef.com/app/food/getfoodnutrition?fdcid=171413" TargetMode="External" Id="rId1110" /><Relationship Type="http://schemas.openxmlformats.org/officeDocument/2006/relationships/hyperlink" Target="https://www.ars.usda.gov/ARSUserFiles/80400535/DATA/IODINE/IODINE_DATABASE_PDFVersion_2020.PDF" TargetMode="External" Id="rId1111" /><Relationship Type="http://schemas.openxmlformats.org/officeDocument/2006/relationships/hyperlink" Target="https://www.logixpathchef.com/app/food/getfoodnutrition?fdcid=171413" TargetMode="External" Id="rId1112" /><Relationship Type="http://schemas.openxmlformats.org/officeDocument/2006/relationships/hyperlink" Target="https://www.logixpathchef.com/app/food/getfoodnutrition?fdcid=171413" TargetMode="External" Id="rId1113" /><Relationship Type="http://schemas.openxmlformats.org/officeDocument/2006/relationships/hyperlink" Target="https://www.logixpathchef.com/app/food/getfoodnutrition?fdcid=171413" TargetMode="External" Id="rId1114" /><Relationship Type="http://schemas.openxmlformats.org/officeDocument/2006/relationships/hyperlink" Target="https://www.logixpathchef.com/app/food/getfoodnutrition?fdcid=171413" TargetMode="External" Id="rId1115" /><Relationship Type="http://schemas.openxmlformats.org/officeDocument/2006/relationships/hyperlink" Target="https://www.logixpathchef.com/app/food/getfoodnutrition?fdcid=171413" TargetMode="External" Id="rId1116" /><Relationship Type="http://schemas.openxmlformats.org/officeDocument/2006/relationships/hyperlink" Target="https://www.logixpathchef.com/app/food/getfoodnutrition?fdcid=171413" TargetMode="External" Id="rId1117" /><Relationship Type="http://schemas.openxmlformats.org/officeDocument/2006/relationships/hyperlink" Target="https://www.logixpathchef.com/app/food/getfoodnutrition?fdcid=171413" TargetMode="External" Id="rId1118" /><Relationship Type="http://schemas.openxmlformats.org/officeDocument/2006/relationships/hyperlink" Target="https://www.logixpathchef.com/app/food/getfoodnutrition?fdcid=171413" TargetMode="External" Id="rId1119" /><Relationship Type="http://schemas.openxmlformats.org/officeDocument/2006/relationships/hyperlink" Target="https://www.logixpathchef.com/app/food/getfoodnutrition?fdcid=171413" TargetMode="External" Id="rId1120" /><Relationship Type="http://schemas.openxmlformats.org/officeDocument/2006/relationships/hyperlink" Target="https://www.logixpathchef.com/app/food/getfoodnutrition?fdcid=171413" TargetMode="External" Id="rId1121" /><Relationship Type="http://schemas.openxmlformats.org/officeDocument/2006/relationships/hyperlink" Target="https://www.logixpathchef.com/app/food/getfoodnutrition?fdcid=171413" TargetMode="External" Id="rId1122" /><Relationship Type="http://schemas.openxmlformats.org/officeDocument/2006/relationships/hyperlink" Target="https://www.logixpathchef.com/app/food/getfoodnutrition?fdcid=171413" TargetMode="External" Id="rId1123" /><Relationship Type="http://schemas.openxmlformats.org/officeDocument/2006/relationships/hyperlink" Target="https://www.logixpathchef.com/app/food/getfoodnutrition?fdcid=171413" TargetMode="External" Id="rId1124" /><Relationship Type="http://schemas.openxmlformats.org/officeDocument/2006/relationships/hyperlink" Target="https://www.logixpathchef.com/app/food/getfoodnutrition?fdcid=171413" TargetMode="External" Id="rId1125" /><Relationship Type="http://schemas.openxmlformats.org/officeDocument/2006/relationships/hyperlink" Target="https://www.logixpathchef.com/app/food/getfoodnutrition?fdcid=171413" TargetMode="External" Id="rId1126" /><Relationship Type="http://schemas.openxmlformats.org/officeDocument/2006/relationships/hyperlink" Target="https://www.logixpathchef.com/app/food/getfoodnutrition?fdcid=171413" TargetMode="External" Id="rId1127" /><Relationship Type="http://schemas.openxmlformats.org/officeDocument/2006/relationships/hyperlink" Target="https://www.logixpathchef.com/app/food/getfoodnutrition?fdcid=171413" TargetMode="External" Id="rId1128" /><Relationship Type="http://schemas.openxmlformats.org/officeDocument/2006/relationships/hyperlink" Target="https://www.logixpathchef.com/app/food/getfoodnutrition?fdcid=171413" TargetMode="External" Id="rId1129" /><Relationship Type="http://schemas.openxmlformats.org/officeDocument/2006/relationships/hyperlink" Target="https://www.logixpathchef.com/app/food/getfoodnutrition?fdcid=171413" TargetMode="External" Id="rId1130" /><Relationship Type="http://schemas.openxmlformats.org/officeDocument/2006/relationships/hyperlink" Target="https://www.logixpathchef.com/app/food/getfoodnutrition?fdcid=171413" TargetMode="External" Id="rId1131" /><Relationship Type="http://schemas.openxmlformats.org/officeDocument/2006/relationships/hyperlink" Target="https://www.logixpathchef.com/app/food/getfoodnutrition?fdcid=171413" TargetMode="External" Id="rId1132" /><Relationship Type="http://schemas.openxmlformats.org/officeDocument/2006/relationships/hyperlink" Target="https://www.logixpathchef.com/app/food/getfoodnutrition?fdcid=171413" TargetMode="External" Id="rId1133" /><Relationship Type="http://schemas.openxmlformats.org/officeDocument/2006/relationships/hyperlink" Target="https://www.logixpathchef.com/app/food/getfoodnutrition?fdcid=171413" TargetMode="External" Id="rId1134" /><Relationship Type="http://schemas.openxmlformats.org/officeDocument/2006/relationships/hyperlink" Target="https://www.wholefoodsmarket.com/product/molon-lave-organic-extra-virgin-olive-oil-b09mqy45j3" TargetMode="External" Id="rId1135" /><Relationship Type="http://schemas.openxmlformats.org/officeDocument/2006/relationships/hyperlink" Target="https://www.logixpathchef.com/app/food/getfoodnutrition?fdcid=171413" TargetMode="External" Id="rId1136" /><Relationship Type="http://schemas.openxmlformats.org/officeDocument/2006/relationships/hyperlink" Target="https://pmc.ncbi.nlm.nih.gov/articles/PMC6429205/" TargetMode="External" Id="rId1137" /><Relationship Type="http://schemas.openxmlformats.org/officeDocument/2006/relationships/hyperlink" Target="https://www.logixpathchef.com/app/food/getfoodnutrition?fdcid=171413" TargetMode="External" Id="rId1138" /><Relationship Type="http://schemas.openxmlformats.org/officeDocument/2006/relationships/hyperlink" Target="https://www.logixpathchef.com/app/food/getfoodnutrition?fdcid=171413" TargetMode="External" Id="rId1139" /><Relationship Type="http://schemas.openxmlformats.org/officeDocument/2006/relationships/hyperlink" Target="https://www.logixpathchef.com/app/food/getfoodnutrition?fdcid=171413" TargetMode="External" Id="rId1140" /><Relationship Type="http://schemas.openxmlformats.org/officeDocument/2006/relationships/hyperlink" Target="https://www.logixpathchef.com/app/food/getfoodnutrition?fdcid=171413" TargetMode="External" Id="rId1141" /><Relationship Type="http://schemas.openxmlformats.org/officeDocument/2006/relationships/hyperlink" Target="https://www.logixpathchef.com/app/food/getfoodnutrition?fdcid=171413" TargetMode="External" Id="rId1142" /><Relationship Type="http://schemas.openxmlformats.org/officeDocument/2006/relationships/hyperlink" Target="https://www.logixpathchef.com/app/food/getfoodnutrition?fdcid=171413" TargetMode="External" Id="rId1143" /><Relationship Type="http://schemas.openxmlformats.org/officeDocument/2006/relationships/hyperlink" Target="https://www.logixpathchef.com/app/food/getfoodnutrition?fdcid=171413" TargetMode="External" Id="rId1144" /><Relationship Type="http://schemas.openxmlformats.org/officeDocument/2006/relationships/hyperlink" Target="https://www.logixpathchef.com/app/food/getfoodnutrition?fdcid=171413" TargetMode="External" Id="rId1145" /><Relationship Type="http://schemas.openxmlformats.org/officeDocument/2006/relationships/hyperlink" Target="https://www.logixpathchef.com/app/food/getfoodnutrition?fdcid=171413" TargetMode="External" Id="rId1146" /><Relationship Type="http://schemas.openxmlformats.org/officeDocument/2006/relationships/hyperlink" Target="https://www.logixpathchef.com/app/food/getfoodnutrition?fdcid=171413" TargetMode="External" Id="rId1147" /><Relationship Type="http://schemas.openxmlformats.org/officeDocument/2006/relationships/hyperlink" Target="https://www.logixpathchef.com/app/food/getfoodnutrition?fdcid=171413" TargetMode="External" Id="rId1148" /><Relationship Type="http://schemas.openxmlformats.org/officeDocument/2006/relationships/hyperlink" Target="https://www.logixpathchef.com/app/food/getfoodnutrition?fdcid=171413" TargetMode="External" Id="rId1149" /><Relationship Type="http://schemas.openxmlformats.org/officeDocument/2006/relationships/hyperlink" Target="https://superfoodly.com/coq10-foods-the-50-highest-natural-dietary-sources/" TargetMode="External" Id="rId1150" /><Relationship Type="http://schemas.openxmlformats.org/officeDocument/2006/relationships/hyperlink" Target="https://www.logixpathchef.com/app/food/getfoodnutrition?fdcid=171413" TargetMode="External" Id="rId1151" /><Relationship Type="http://schemas.openxmlformats.org/officeDocument/2006/relationships/hyperlink" Target="https://www.logixpathchef.com/app/food/getfoodnutrition?fdcid=171413" TargetMode="External" Id="rId1152" /><Relationship Type="http://schemas.openxmlformats.org/officeDocument/2006/relationships/hyperlink" Target="https://www.logixpathchef.com/app/food/getfoodnutrition?fdcid=171413" TargetMode="External" Id="rId1153" /><Relationship Type="http://schemas.openxmlformats.org/officeDocument/2006/relationships/hyperlink" Target="https://www.logixpathchef.com/app/food/getfoodnutrition?fdcid=171413" TargetMode="External" Id="rId1154" /><Relationship Type="http://schemas.openxmlformats.org/officeDocument/2006/relationships/hyperlink" Target="https://www.logixpathchef.com/app/food/getfoodnutrition?fdcid=171413" TargetMode="External" Id="rId1155" /><Relationship Type="http://schemas.openxmlformats.org/officeDocument/2006/relationships/hyperlink" Target="https://www.logixpathchef.com/app/food/getfoodnutrition?fdcid=171413" TargetMode="External" Id="rId1156" /><Relationship Type="http://schemas.openxmlformats.org/officeDocument/2006/relationships/hyperlink" Target="https://fdc.nal.usda.gov/fdc-datasets/FoodData_Central_sr_legacy_food_csv_2018-04.zip" TargetMode="External" Id="rId1157" /><Relationship Type="http://schemas.openxmlformats.org/officeDocument/2006/relationships/hyperlink" Target="https://www.logixpathchef.com/app/food/getfoodnutrition?fdcid=171413" TargetMode="External" Id="rId1158" /><Relationship Type="http://schemas.openxmlformats.org/officeDocument/2006/relationships/hyperlink" Target="https://www.fda.gov/media/159745/download" TargetMode="External" Id="rId1159" /><Relationship Type="http://schemas.openxmlformats.org/officeDocument/2006/relationships/hyperlink" Target="https://www.fda.gov/media/159745/download" TargetMode="External" Id="rId1160" /><Relationship Type="http://schemas.openxmlformats.org/officeDocument/2006/relationships/hyperlink" Target="https://www.fda.gov/media/159745/download" TargetMode="External" Id="rId1161" /><Relationship Type="http://schemas.openxmlformats.org/officeDocument/2006/relationships/hyperlink" Target="https://www.fda.gov/media/159745/download" TargetMode="External" Id="rId1162" /><Relationship Type="http://schemas.openxmlformats.org/officeDocument/2006/relationships/hyperlink" Target="https://lekithos.com/products/organic-deoiled-sunflower-lecithin-powder" TargetMode="External" Id="rId1163" /><Relationship Type="http://schemas.openxmlformats.org/officeDocument/2006/relationships/hyperlink" Target="https://lekithos.com/products/organic-deoiled-sunflower-lecithin-powder" TargetMode="External" Id="rId1164" /><Relationship Type="http://schemas.openxmlformats.org/officeDocument/2006/relationships/hyperlink" Target="https://lekithos.com/products/organic-deoiled-sunflower-lecithin-powder" TargetMode="External" Id="rId1165" /><Relationship Type="http://schemas.openxmlformats.org/officeDocument/2006/relationships/hyperlink" Target="https://lekithos.com/products/organic-deoiled-sunflower-lecithin-powder" TargetMode="External" Id="rId1166" /><Relationship Type="http://schemas.openxmlformats.org/officeDocument/2006/relationships/hyperlink" Target="https://lekithos.com/products/organic-deoiled-sunflower-lecithin-powder" TargetMode="External" Id="rId1167" /><Relationship Type="http://schemas.openxmlformats.org/officeDocument/2006/relationships/hyperlink" Target="https://lekithos.com/products/organic-deoiled-sunflower-lecithin-powder" TargetMode="External" Id="rId1168" /><Relationship Type="http://schemas.openxmlformats.org/officeDocument/2006/relationships/hyperlink" Target="https://lekithos.com/products/organic-deoiled-sunflower-lecithin-powder" TargetMode="External" Id="rId1169" /><Relationship Type="http://schemas.openxmlformats.org/officeDocument/2006/relationships/hyperlink" Target="https://lekithos.com/products/organic-deoiled-sunflower-lecithin-powder" TargetMode="External" Id="rId1170" /><Relationship Type="http://schemas.openxmlformats.org/officeDocument/2006/relationships/hyperlink" Target="https://www.logixpathchef.com/app/food/getfoodnutrition?fdcid=171015" TargetMode="External" Id="rId1171" /><Relationship Type="http://schemas.openxmlformats.org/officeDocument/2006/relationships/hyperlink" Target="https://www.logixpathchef.com/app/food/getfoodnutrition?fdcid=171015" TargetMode="External" Id="rId1172" /><Relationship Type="http://schemas.openxmlformats.org/officeDocument/2006/relationships/hyperlink" Target="https://www.logixpathchef.com/app/food/getfoodnutrition?fdcid=171015" TargetMode="External" Id="rId1173" /><Relationship Type="http://schemas.openxmlformats.org/officeDocument/2006/relationships/hyperlink" Target="https://www.logixpathchef.com/app/food/getfoodnutrition?fdcid=171015" TargetMode="External" Id="rId1174" /><Relationship Type="http://schemas.openxmlformats.org/officeDocument/2006/relationships/hyperlink" Target="https://www.logixpathchef.com/app/food/getfoodnutrition?fdcid=171015" TargetMode="External" Id="rId1175" /><Relationship Type="http://schemas.openxmlformats.org/officeDocument/2006/relationships/hyperlink" Target="https://lekithos.com/products/organic-deoiled-sunflower-lecithin-powder" TargetMode="External" Id="rId1176" /><Relationship Type="http://schemas.openxmlformats.org/officeDocument/2006/relationships/hyperlink" Target="https://lekithos.com/products/organic-deoiled-sunflower-lecithin-powder" TargetMode="External" Id="rId1177" /><Relationship Type="http://schemas.openxmlformats.org/officeDocument/2006/relationships/hyperlink" Target="https://lekithos.com/products/organic-deoiled-sunflower-lecithin-powder" TargetMode="External" Id="rId1178" /><Relationship Type="http://schemas.openxmlformats.org/officeDocument/2006/relationships/hyperlink" Target="https://lekithos.com/products/organic-deoiled-sunflower-lecithin-powder" TargetMode="External" Id="rId1179" /><Relationship Type="http://schemas.openxmlformats.org/officeDocument/2006/relationships/hyperlink" Target="https://lekithos.com/products/organic-deoiled-sunflower-lecithin-powder" TargetMode="External" Id="rId1180" /><Relationship Type="http://schemas.openxmlformats.org/officeDocument/2006/relationships/hyperlink" Target="https://www.amazon.com/Lekithos-Organic-Deoiled-Sunflower-Lecithin/dp/B0DK6226T5" TargetMode="External" Id="rId1181" /><Relationship Type="http://schemas.openxmlformats.org/officeDocument/2006/relationships/hyperlink" Target="https://lekithos.com/products/organic-deoiled-sunflower-lecithin-powder" TargetMode="External" Id="rId1182" /><Relationship Type="http://schemas.openxmlformats.org/officeDocument/2006/relationships/hyperlink" Target="https://lekithos.com/products/organic-deoiled-sunflower-lecithin-powder" TargetMode="External" Id="rId1183" /><Relationship Type="http://schemas.openxmlformats.org/officeDocument/2006/relationships/hyperlink" Target="https://lekithos.com/products/organic-deoiled-sunflower-lecithin-powder" TargetMode="External" Id="rId1184" /><Relationship Type="http://schemas.openxmlformats.org/officeDocument/2006/relationships/hyperlink" Target="https://lekithos.com/products/organic-deoiled-sunflower-lecithin-powder" TargetMode="External" Id="rId1185" /><Relationship Type="http://schemas.openxmlformats.org/officeDocument/2006/relationships/hyperlink" Target="https://lekithos.com/products/organic-deoiled-sunflower-lecithin-powder" TargetMode="External" Id="rId1186" /><Relationship Type="http://schemas.openxmlformats.org/officeDocument/2006/relationships/hyperlink" Target="https://lekithos.com/products/organic-deoiled-sunflower-lecithin-powder" TargetMode="External" Id="rId1187" /><Relationship Type="http://schemas.openxmlformats.org/officeDocument/2006/relationships/hyperlink" Target="https://lekithos.com/products/organic-deoiled-sunflower-lecithin-powder" TargetMode="External" Id="rId1188" /><Relationship Type="http://schemas.openxmlformats.org/officeDocument/2006/relationships/hyperlink" Target="https://lekithos.com/products/organic-deoiled-sunflower-lecithin-powder" TargetMode="External" Id="rId1189" /><Relationship Type="http://schemas.openxmlformats.org/officeDocument/2006/relationships/hyperlink" Target="https://lekithos.com/products/organic-deoiled-sunflower-lecithin-powder" TargetMode="External" Id="rId1190" /><Relationship Type="http://schemas.openxmlformats.org/officeDocument/2006/relationships/hyperlink" Target="https://lekithos.com/products/organic-deoiled-sunflower-lecithin-powder" TargetMode="External" Id="rId1191" /><Relationship Type="http://schemas.openxmlformats.org/officeDocument/2006/relationships/hyperlink" Target="https://lekithos.com/products/organic-deoiled-sunflower-lecithin-powder" TargetMode="External" Id="rId1192" /><Relationship Type="http://schemas.openxmlformats.org/officeDocument/2006/relationships/hyperlink" Target="https://lekithos.com/products/organic-deoiled-sunflower-lecithin-powder" TargetMode="External" Id="rId1193" /><Relationship Type="http://schemas.openxmlformats.org/officeDocument/2006/relationships/hyperlink" Target="https://lekithos.com/products/organic-deoiled-sunflower-lecithin-powder" TargetMode="External" Id="rId1194" /><Relationship Type="http://schemas.openxmlformats.org/officeDocument/2006/relationships/hyperlink" Target="https://lekithos.com/products/organic-deoiled-sunflower-lecithin-powder" TargetMode="External" Id="rId1195" /><Relationship Type="http://schemas.openxmlformats.org/officeDocument/2006/relationships/hyperlink" Target="https://lekithos.com/products/organic-deoiled-sunflower-lecithin-powder" TargetMode="External" Id="rId1196" /><Relationship Type="http://schemas.openxmlformats.org/officeDocument/2006/relationships/hyperlink" Target="https://lekithos.com/products/organic-deoiled-sunflower-lecithin-powder" TargetMode="External" Id="rId1197" /><Relationship Type="http://schemas.openxmlformats.org/officeDocument/2006/relationships/hyperlink" Target="https://lekithos.com/products/organic-deoiled-sunflower-lecithin-powder" TargetMode="External" Id="rId1198" /><Relationship Type="http://schemas.openxmlformats.org/officeDocument/2006/relationships/hyperlink" Target="https://lekithos.com/products/organic-deoiled-sunflower-lecithin-powder" TargetMode="External" Id="rId1199" /><Relationship Type="http://schemas.openxmlformats.org/officeDocument/2006/relationships/hyperlink" Target="https://lekithos.com/products/organic-deoiled-sunflower-lecithin-powder" TargetMode="External" Id="rId1200" /><Relationship Type="http://schemas.openxmlformats.org/officeDocument/2006/relationships/hyperlink" Target="https://lekithos.com/products/organic-deoiled-sunflower-lecithin-powder" TargetMode="External" Id="rId1201" /><Relationship Type="http://schemas.openxmlformats.org/officeDocument/2006/relationships/hyperlink" Target="https://lekithos.com/products/organic-deoiled-sunflower-lecithin-powder" TargetMode="External" Id="rId1202" /><Relationship Type="http://schemas.openxmlformats.org/officeDocument/2006/relationships/hyperlink" Target="https://lekithos.com/products/organic-deoiled-sunflower-lecithin-powder" TargetMode="External" Id="rId1203" /><Relationship Type="http://schemas.openxmlformats.org/officeDocument/2006/relationships/hyperlink" Target="https://lekithos.com/products/organic-deoiled-sunflower-lecithin-powder" TargetMode="External" Id="rId1204" /><Relationship Type="http://schemas.openxmlformats.org/officeDocument/2006/relationships/hyperlink" Target="https://lekithos.com/products/organic-deoiled-sunflower-lecithin-powder" TargetMode="External" Id="rId1205" /><Relationship Type="http://schemas.openxmlformats.org/officeDocument/2006/relationships/hyperlink" Target="https://lekithos.com/products/organic-deoiled-sunflower-lecithin-powder" TargetMode="External" Id="rId1206" /><Relationship Type="http://schemas.openxmlformats.org/officeDocument/2006/relationships/hyperlink" Target="https://lekithos.com/products/organic-deoiled-sunflower-lecithin-powder" TargetMode="External" Id="rId1207" /><Relationship Type="http://schemas.openxmlformats.org/officeDocument/2006/relationships/hyperlink" Target="https://lekithos.com/products/organic-deoiled-sunflower-lecithin-powder" TargetMode="External" Id="rId1208" /><Relationship Type="http://schemas.openxmlformats.org/officeDocument/2006/relationships/hyperlink" Target="https://lekithos.com/products/organic-deoiled-sunflower-lecithin-powder" TargetMode="External" Id="rId1209" /><Relationship Type="http://schemas.openxmlformats.org/officeDocument/2006/relationships/hyperlink" Target="https://lekithos.com/products/organic-deoiled-sunflower-lecithin-powder" TargetMode="External" Id="rId1210" /><Relationship Type="http://schemas.openxmlformats.org/officeDocument/2006/relationships/hyperlink" Target="https://lekithos.com/products/organic-deoiled-sunflower-lecithin-powder" TargetMode="External" Id="rId1211" /><Relationship Type="http://schemas.openxmlformats.org/officeDocument/2006/relationships/hyperlink" Target="https://lekithos.com/products/organic-deoiled-sunflower-lecithin-powder" TargetMode="External" Id="rId1212" /><Relationship Type="http://schemas.openxmlformats.org/officeDocument/2006/relationships/hyperlink" Target="https://lekithos.com/products/organic-deoiled-sunflower-lecithin-powder" TargetMode="External" Id="rId1213" /><Relationship Type="http://schemas.openxmlformats.org/officeDocument/2006/relationships/hyperlink" Target="https://lekithos.com/products/organic-deoiled-sunflower-lecithin-powder" TargetMode="External" Id="rId1214" /><Relationship Type="http://schemas.openxmlformats.org/officeDocument/2006/relationships/hyperlink" Target="https://lekithos.com/products/organic-deoiled-sunflower-lecithin-powder" TargetMode="External" Id="rId1215" /><Relationship Type="http://schemas.openxmlformats.org/officeDocument/2006/relationships/hyperlink" Target="https://lekithos.com/products/organic-deoiled-sunflower-lecithin-powder" TargetMode="External" Id="rId1216" /><Relationship Type="http://schemas.openxmlformats.org/officeDocument/2006/relationships/hyperlink" Target="https://lekithos.com/products/organic-deoiled-sunflower-lecithin-powder" TargetMode="External" Id="rId1217" /><Relationship Type="http://schemas.openxmlformats.org/officeDocument/2006/relationships/hyperlink" Target="https://lekithos.com/products/organic-deoiled-sunflower-lecithin-powder" TargetMode="External" Id="rId1218" /><Relationship Type="http://schemas.openxmlformats.org/officeDocument/2006/relationships/hyperlink" Target="https://lekithos.com/products/organic-deoiled-sunflower-lecithin-powder" TargetMode="External" Id="rId1219" /><Relationship Type="http://schemas.openxmlformats.org/officeDocument/2006/relationships/hyperlink" Target="https://lekithos.com/products/organic-deoiled-sunflower-lecithin-powder" TargetMode="External" Id="rId1220" /><Relationship Type="http://schemas.openxmlformats.org/officeDocument/2006/relationships/hyperlink" Target="https://lekithos.com/products/organic-deoiled-sunflower-lecithin-powder" TargetMode="External" Id="rId1221" /><Relationship Type="http://schemas.openxmlformats.org/officeDocument/2006/relationships/hyperlink" Target="https://lekithos.com/products/organic-deoiled-sunflower-lecithin-powder" TargetMode="External" Id="rId1222" /><Relationship Type="http://schemas.openxmlformats.org/officeDocument/2006/relationships/hyperlink" Target="https://lekithos.com/products/organic-deoiled-sunflower-lecithin-powder" TargetMode="External" Id="rId1223" /><Relationship Type="http://schemas.openxmlformats.org/officeDocument/2006/relationships/hyperlink" Target="https://lekithos.com/products/organic-deoiled-sunflower-lecithin-powder" TargetMode="External" Id="rId1224" /><Relationship Type="http://schemas.openxmlformats.org/officeDocument/2006/relationships/hyperlink" Target="https://lekithos.com/products/organic-deoiled-sunflower-lecithin-powder" TargetMode="External" Id="rId1225" /><Relationship Type="http://schemas.openxmlformats.org/officeDocument/2006/relationships/hyperlink" Target="https://lekithos.com/products/organic-deoiled-sunflower-lecithin-powder" TargetMode="External" Id="rId1226" /><Relationship Type="http://schemas.openxmlformats.org/officeDocument/2006/relationships/hyperlink" Target="https://lekithos.com/products/organic-deoiled-sunflower-lecithin-powder" TargetMode="External" Id="rId1227" /><Relationship Type="http://schemas.openxmlformats.org/officeDocument/2006/relationships/hyperlink" Target="https://lekithos.com/products/organic-deoiled-sunflower-lecithin-powder" TargetMode="External" Id="rId1228" /><Relationship Type="http://schemas.openxmlformats.org/officeDocument/2006/relationships/hyperlink" Target="https://lekithos.com/products/organic-deoiled-sunflower-lecithin-powder" TargetMode="External" Id="rId1229" /><Relationship Type="http://schemas.openxmlformats.org/officeDocument/2006/relationships/hyperlink" Target="https://lekithos.com/products/organic-deoiled-sunflower-lecithin-powder" TargetMode="External" Id="rId1230" /><Relationship Type="http://schemas.openxmlformats.org/officeDocument/2006/relationships/hyperlink" Target="https://lekithos.com/products/organic-deoiled-sunflower-lecithin-powder" TargetMode="External" Id="rId1231" /><Relationship Type="http://schemas.openxmlformats.org/officeDocument/2006/relationships/hyperlink" Target="https://lekithos.com/products/organic-deoiled-sunflower-lecithin-powder" TargetMode="External" Id="rId1232" /><Relationship Type="http://schemas.openxmlformats.org/officeDocument/2006/relationships/hyperlink" Target="https://lekithos.com/products/organic-deoiled-sunflower-lecithin-powder" TargetMode="External" Id="rId1233" /><Relationship Type="http://schemas.openxmlformats.org/officeDocument/2006/relationships/hyperlink" Target="https://lekithos.com/products/organic-deoiled-sunflower-lecithin-powder" TargetMode="External" Id="rId1234" /><Relationship Type="http://schemas.openxmlformats.org/officeDocument/2006/relationships/hyperlink" Target="https://lekithos.com/products/organic-deoiled-sunflower-lecithin-powder" TargetMode="External" Id="rId1235" /><Relationship Type="http://schemas.openxmlformats.org/officeDocument/2006/relationships/hyperlink" Target="https://lekithos.com/products/organic-deoiled-sunflower-lecithin-powder" TargetMode="External" Id="rId1236" /><Relationship Type="http://schemas.openxmlformats.org/officeDocument/2006/relationships/hyperlink" Target="https://lekithos.com/products/organic-deoiled-sunflower-lecithin-powder" TargetMode="External" Id="rId1237" /><Relationship Type="http://schemas.openxmlformats.org/officeDocument/2006/relationships/hyperlink" Target="https://lekithos.com/products/organic-deoiled-sunflower-lecithin-powder" TargetMode="External" Id="rId1238" /><Relationship Type="http://schemas.openxmlformats.org/officeDocument/2006/relationships/hyperlink" Target="https://lekithos.com/products/organic-deoiled-sunflower-lecithin-powder" TargetMode="External" Id="rId1239" /><Relationship Type="http://schemas.openxmlformats.org/officeDocument/2006/relationships/hyperlink" Target="https://lekithos.com/products/organic-deoiled-sunflower-lecithin-powder" TargetMode="External" Id="rId1240" /><Relationship Type="http://schemas.openxmlformats.org/officeDocument/2006/relationships/hyperlink" Target="https://lekithos.com/products/organic-deoiled-sunflower-lecithin-powder" TargetMode="External" Id="rId1241" /><Relationship Type="http://schemas.openxmlformats.org/officeDocument/2006/relationships/hyperlink" Target="https://www.fda.gov/media/159745/download" TargetMode="External" Id="rId1242" /><Relationship Type="http://schemas.openxmlformats.org/officeDocument/2006/relationships/hyperlink" Target="https://www.fda.gov/media/159745/download" TargetMode="External" Id="rId1243" /><Relationship Type="http://schemas.openxmlformats.org/officeDocument/2006/relationships/hyperlink" Target="https://www.fda.gov/media/159745/download" TargetMode="External" Id="rId1244" /><Relationship Type="http://schemas.openxmlformats.org/officeDocument/2006/relationships/hyperlink" Target="https://www.fda.gov/media/159745/download" TargetMode="External" Id="rId1245" /><Relationship Type="http://schemas.openxmlformats.org/officeDocument/2006/relationships/hyperlink" Target="https://www.mortonsalt.com/product/morton-himalayan-pink-salt-iodized/" TargetMode="External" Id="rId1246" /><Relationship Type="http://schemas.openxmlformats.org/officeDocument/2006/relationships/hyperlink" Target="https://www.mortonsalt.com/product/morton-himalayan-pink-salt-iodized/" TargetMode="External" Id="rId1247" /><Relationship Type="http://schemas.openxmlformats.org/officeDocument/2006/relationships/hyperlink" Target="https://www.mortonsalt.com/product/morton-himalayan-pink-salt-iodized/" TargetMode="External" Id="rId1248" /><Relationship Type="http://schemas.openxmlformats.org/officeDocument/2006/relationships/hyperlink" Target="https://www.mortonsalt.com/product/morton-himalayan-pink-salt-iodized/" TargetMode="External" Id="rId1249" /><Relationship Type="http://schemas.openxmlformats.org/officeDocument/2006/relationships/hyperlink" Target="https://www.mortonsalt.com/product/morton-himalayan-pink-salt-iodized/" TargetMode="External" Id="rId1250" /><Relationship Type="http://schemas.openxmlformats.org/officeDocument/2006/relationships/hyperlink" Target="https://www.mortonsalt.com/product/morton-himalayan-pink-salt-iodized/" TargetMode="External" Id="rId1251" /><Relationship Type="http://schemas.openxmlformats.org/officeDocument/2006/relationships/hyperlink" Target="https://www.mortonsalt.com/product/morton-himalayan-pink-salt-iodized/" TargetMode="External" Id="rId1252" /><Relationship Type="http://schemas.openxmlformats.org/officeDocument/2006/relationships/hyperlink" Target="https://www.mortonsalt.com/product/morton-himalayan-pink-salt-iodized/" TargetMode="External" Id="rId1253" /><Relationship Type="http://schemas.openxmlformats.org/officeDocument/2006/relationships/hyperlink" Target="https://www.mortonsalt.com/product/morton-himalayan-pink-salt-iodized/" TargetMode="External" Id="rId1254" /><Relationship Type="http://schemas.openxmlformats.org/officeDocument/2006/relationships/hyperlink" Target="https://www.mortonsalt.com/product/morton-himalayan-pink-salt-iodized/" TargetMode="External" Id="rId1255" /><Relationship Type="http://schemas.openxmlformats.org/officeDocument/2006/relationships/hyperlink" Target="https://www.mortonsalt.com/product/morton-himalayan-pink-salt-iodized/" TargetMode="External" Id="rId1256" /><Relationship Type="http://schemas.openxmlformats.org/officeDocument/2006/relationships/hyperlink" Target="https://www.mortonsalt.com/product/morton-himalayan-pink-salt-iodized/" TargetMode="External" Id="rId1257" /><Relationship Type="http://schemas.openxmlformats.org/officeDocument/2006/relationships/hyperlink" Target="https://www.mortonsalt.com/product/morton-himalayan-pink-salt-iodized/" TargetMode="External" Id="rId1258" /><Relationship Type="http://schemas.openxmlformats.org/officeDocument/2006/relationships/hyperlink" Target="https://www.mortonsalt.com/product/morton-himalayan-pink-salt-iodized/" TargetMode="External" Id="rId1259" /><Relationship Type="http://schemas.openxmlformats.org/officeDocument/2006/relationships/hyperlink" Target="https://www.mortonsalt.com/product/morton-himalayan-pink-salt-iodized/" TargetMode="External" Id="rId1260" /><Relationship Type="http://schemas.openxmlformats.org/officeDocument/2006/relationships/hyperlink" Target="https://www.mortonsalt.com/product/morton-himalayan-pink-salt-iodized/" TargetMode="External" Id="rId1261" /><Relationship Type="http://schemas.openxmlformats.org/officeDocument/2006/relationships/hyperlink" Target="https://www.mortonsalt.com/product/morton-himalayan-pink-salt-iodized/" TargetMode="External" Id="rId1262" /><Relationship Type="http://schemas.openxmlformats.org/officeDocument/2006/relationships/hyperlink" Target="https://www.mortonsalt.com/product/morton-himalayan-pink-salt-iodized/" TargetMode="External" Id="rId1263" /><Relationship Type="http://schemas.openxmlformats.org/officeDocument/2006/relationships/hyperlink" Target="https://www.mortonsalt.com/product/morton-himalayan-pink-salt-iodized/" TargetMode="External" Id="rId1264" /><Relationship Type="http://schemas.openxmlformats.org/officeDocument/2006/relationships/hyperlink" Target="https://www.mortonsalt.com/product/morton-himalayan-pink-salt-iodized/" TargetMode="External" Id="rId1265" /><Relationship Type="http://schemas.openxmlformats.org/officeDocument/2006/relationships/hyperlink" Target="https://www.mortonsalt.com/product/morton-himalayan-pink-salt-iodized/" TargetMode="External" Id="rId1266" /><Relationship Type="http://schemas.openxmlformats.org/officeDocument/2006/relationships/hyperlink" Target="https://www.mortonsalt.com/product/morton-himalayan-pink-salt-iodized/" TargetMode="External" Id="rId1267" /><Relationship Type="http://schemas.openxmlformats.org/officeDocument/2006/relationships/hyperlink" Target="https://www.mortonsalt.com/product/morton-himalayan-pink-salt-iodized/" TargetMode="External" Id="rId1268" /><Relationship Type="http://schemas.openxmlformats.org/officeDocument/2006/relationships/hyperlink" Target="https://www.mortonsalt.com/product/morton-himalayan-pink-salt-iodized/" TargetMode="External" Id="rId1269" /><Relationship Type="http://schemas.openxmlformats.org/officeDocument/2006/relationships/hyperlink" Target="https://www.mortonsalt.com/product/morton-himalayan-pink-salt-iodized/" TargetMode="External" Id="rId1270" /><Relationship Type="http://schemas.openxmlformats.org/officeDocument/2006/relationships/hyperlink" Target="https://www.mortonsalt.com/product/morton-himalayan-pink-salt-iodized/" TargetMode="External" Id="rId1271" /><Relationship Type="http://schemas.openxmlformats.org/officeDocument/2006/relationships/hyperlink" Target="https://www.mortonsalt.com/product/morton-himalayan-pink-salt-iodized/" TargetMode="External" Id="rId1272" /><Relationship Type="http://schemas.openxmlformats.org/officeDocument/2006/relationships/hyperlink" Target="https://www.mortonsalt.com/product/morton-himalayan-pink-salt-iodized/" TargetMode="External" Id="rId1273" /><Relationship Type="http://schemas.openxmlformats.org/officeDocument/2006/relationships/hyperlink" Target="https://www.mortonsalt.com/product/morton-himalayan-pink-salt-iodized/" TargetMode="External" Id="rId1274" /><Relationship Type="http://schemas.openxmlformats.org/officeDocument/2006/relationships/hyperlink" Target="https://www.mortonsalt.com/product/morton-himalayan-pink-salt-iodized/" TargetMode="External" Id="rId1275" /><Relationship Type="http://schemas.openxmlformats.org/officeDocument/2006/relationships/hyperlink" Target="https://www.mortonsalt.com/product/morton-himalayan-pink-salt-iodized/" TargetMode="External" Id="rId1276" /><Relationship Type="http://schemas.openxmlformats.org/officeDocument/2006/relationships/hyperlink" Target="https://www.mortonsalt.com/product/morton-himalayan-pink-salt-iodized/" TargetMode="External" Id="rId1277" /><Relationship Type="http://schemas.openxmlformats.org/officeDocument/2006/relationships/hyperlink" Target="https://www.mortonsalt.com/product/morton-himalayan-pink-salt-iodized/" TargetMode="External" Id="rId1278" /><Relationship Type="http://schemas.openxmlformats.org/officeDocument/2006/relationships/hyperlink" Target="https://www.mortonsalt.com/product/morton-himalayan-pink-salt-iodized/" TargetMode="External" Id="rId1279" /><Relationship Type="http://schemas.openxmlformats.org/officeDocument/2006/relationships/hyperlink" Target="https://www.mortonsalt.com/product/morton-himalayan-pink-salt-iodized/" TargetMode="External" Id="rId1280" /><Relationship Type="http://schemas.openxmlformats.org/officeDocument/2006/relationships/hyperlink" Target="https://www.mortonsalt.com/product/morton-himalayan-pink-salt-iodized/" TargetMode="External" Id="rId1281" /><Relationship Type="http://schemas.openxmlformats.org/officeDocument/2006/relationships/hyperlink" Target="https://www.mortonsalt.com/product/morton-himalayan-pink-salt-iodized/" TargetMode="External" Id="rId1282" /><Relationship Type="http://schemas.openxmlformats.org/officeDocument/2006/relationships/hyperlink" Target="https://www.mortonsalt.com/product/morton-himalayan-pink-salt-iodized/" TargetMode="External" Id="rId1283" /><Relationship Type="http://schemas.openxmlformats.org/officeDocument/2006/relationships/hyperlink" Target="https://www.mortonsalt.com/product/morton-himalayan-pink-salt-iodized/" TargetMode="External" Id="rId1284" /><Relationship Type="http://schemas.openxmlformats.org/officeDocument/2006/relationships/hyperlink" Target="https://www.mortonsalt.com/product/morton-himalayan-pink-salt-iodized/" TargetMode="External" Id="rId1285" /><Relationship Type="http://schemas.openxmlformats.org/officeDocument/2006/relationships/hyperlink" Target="https://www.mortonsalt.com/product/morton-himalayan-pink-salt-iodized/" TargetMode="External" Id="rId1286" /><Relationship Type="http://schemas.openxmlformats.org/officeDocument/2006/relationships/hyperlink" Target="https://www.mortonsalt.com/product/morton-himalayan-pink-salt-iodized/" TargetMode="External" Id="rId1287" /><Relationship Type="http://schemas.openxmlformats.org/officeDocument/2006/relationships/hyperlink" Target="https://www.mortonsalt.com/product/morton-himalayan-pink-salt-iodized/" TargetMode="External" Id="rId1288" /><Relationship Type="http://schemas.openxmlformats.org/officeDocument/2006/relationships/hyperlink" Target="https://www.mortonsalt.com/product/morton-himalayan-pink-salt-iodized/" TargetMode="External" Id="rId1289" /><Relationship Type="http://schemas.openxmlformats.org/officeDocument/2006/relationships/hyperlink" Target="https://www.mortonsalt.com/product/morton-himalayan-pink-salt-iodized/" TargetMode="External" Id="rId1290" /><Relationship Type="http://schemas.openxmlformats.org/officeDocument/2006/relationships/hyperlink" Target="https://www.mortonsalt.com/product/morton-himalayan-pink-salt-iodized/" TargetMode="External" Id="rId1291" /><Relationship Type="http://schemas.openxmlformats.org/officeDocument/2006/relationships/hyperlink" Target="https://www.mortonsalt.com/product/morton-himalayan-pink-salt-iodized/" TargetMode="External" Id="rId1292" /><Relationship Type="http://schemas.openxmlformats.org/officeDocument/2006/relationships/hyperlink" Target="https://www.mortonsalt.com/product/morton-himalayan-pink-salt-iodized/" TargetMode="External" Id="rId1293" /><Relationship Type="http://schemas.openxmlformats.org/officeDocument/2006/relationships/hyperlink" Target="https://www.mortonsalt.com/product/morton-himalayan-pink-salt-iodized/" TargetMode="External" Id="rId1294" /><Relationship Type="http://schemas.openxmlformats.org/officeDocument/2006/relationships/hyperlink" Target="https://www.mortonsalt.com/product/morton-himalayan-pink-salt-iodized/" TargetMode="External" Id="rId1295" /><Relationship Type="http://schemas.openxmlformats.org/officeDocument/2006/relationships/hyperlink" Target="https://www.mortonsalt.com/product/morton-himalayan-pink-salt-iodized/" TargetMode="External" Id="rId1296" /><Relationship Type="http://schemas.openxmlformats.org/officeDocument/2006/relationships/hyperlink" Target="https://www.mortonsalt.com/product/morton-himalayan-pink-salt-iodized/" TargetMode="External" Id="rId1297" /><Relationship Type="http://schemas.openxmlformats.org/officeDocument/2006/relationships/hyperlink" Target="https://www.mortonsalt.com/product/morton-himalayan-pink-salt-iodized/" TargetMode="External" Id="rId1298" /><Relationship Type="http://schemas.openxmlformats.org/officeDocument/2006/relationships/hyperlink" Target="https://www.mortonsalt.com/product/morton-himalayan-pink-salt-iodized/" TargetMode="External" Id="rId1299" /><Relationship Type="http://schemas.openxmlformats.org/officeDocument/2006/relationships/hyperlink" Target="https://www.mortonsalt.com/product/morton-himalayan-pink-salt-iodized/" TargetMode="External" Id="rId1300" /><Relationship Type="http://schemas.openxmlformats.org/officeDocument/2006/relationships/hyperlink" Target="https://www.mortonsalt.com/product/morton-himalayan-pink-salt-iodized/" TargetMode="External" Id="rId1301" /><Relationship Type="http://schemas.openxmlformats.org/officeDocument/2006/relationships/hyperlink" Target="https://www.mortonsalt.com/product/morton-himalayan-pink-salt-iodized/" TargetMode="External" Id="rId1302" /><Relationship Type="http://schemas.openxmlformats.org/officeDocument/2006/relationships/hyperlink" Target="https://www.mortonsalt.com/product/morton-himalayan-pink-salt-iodized/" TargetMode="External" Id="rId1303" /><Relationship Type="http://schemas.openxmlformats.org/officeDocument/2006/relationships/hyperlink" Target="https://www.mortonsalt.com/product/morton-himalayan-pink-salt-iodized/" TargetMode="External" Id="rId1304" /><Relationship Type="http://schemas.openxmlformats.org/officeDocument/2006/relationships/hyperlink" Target="https://www.mortonsalt.com/product/morton-himalayan-pink-salt-iodized/" TargetMode="External" Id="rId1305" /><Relationship Type="http://schemas.openxmlformats.org/officeDocument/2006/relationships/hyperlink" Target="https://www.mortonsalt.com/product/morton-himalayan-pink-salt-iodized/" TargetMode="External" Id="rId1306" /><Relationship Type="http://schemas.openxmlformats.org/officeDocument/2006/relationships/hyperlink" Target="https://www.mortonsalt.com/product/morton-himalayan-pink-salt-iodized/" TargetMode="External" Id="rId1307" /><Relationship Type="http://schemas.openxmlformats.org/officeDocument/2006/relationships/hyperlink" Target="https://www.mortonsalt.com/product/morton-himalayan-pink-salt-iodized/" TargetMode="External" Id="rId1308" /><Relationship Type="http://schemas.openxmlformats.org/officeDocument/2006/relationships/hyperlink" Target="https://www.mortonsalt.com/product/morton-himalayan-pink-salt-iodized/" TargetMode="External" Id="rId1309" /><Relationship Type="http://schemas.openxmlformats.org/officeDocument/2006/relationships/hyperlink" Target="https://www.mortonsalt.com/product/morton-himalayan-pink-salt-iodized/" TargetMode="External" Id="rId1310" /><Relationship Type="http://schemas.openxmlformats.org/officeDocument/2006/relationships/hyperlink" Target="https://www.mortonsalt.com/product/morton-himalayan-pink-salt-iodized/" TargetMode="External" Id="rId1311" /><Relationship Type="http://schemas.openxmlformats.org/officeDocument/2006/relationships/hyperlink" Target="https://www.mortonsalt.com/product/morton-himalayan-pink-salt-iodized/" TargetMode="External" Id="rId1312" /><Relationship Type="http://schemas.openxmlformats.org/officeDocument/2006/relationships/hyperlink" Target="https://www.mortonsalt.com/product/morton-himalayan-pink-salt-iodized/" TargetMode="External" Id="rId1313" /><Relationship Type="http://schemas.openxmlformats.org/officeDocument/2006/relationships/hyperlink" Target="https://www.mortonsalt.com/product/morton-himalayan-pink-salt-iodized/" TargetMode="External" Id="rId1314" /><Relationship Type="http://schemas.openxmlformats.org/officeDocument/2006/relationships/hyperlink" Target="https://www.mortonsalt.com/product/morton-himalayan-pink-salt-iodized/" TargetMode="External" Id="rId1315" /><Relationship Type="http://schemas.openxmlformats.org/officeDocument/2006/relationships/hyperlink" Target="https://www.mortonsalt.com/product/morton-himalayan-pink-salt-iodized/" TargetMode="External" Id="rId1316" /><Relationship Type="http://schemas.openxmlformats.org/officeDocument/2006/relationships/hyperlink" Target="https://www.mortonsalt.com/product/morton-himalayan-pink-salt-iodized/" TargetMode="External" Id="rId1317" /><Relationship Type="http://schemas.openxmlformats.org/officeDocument/2006/relationships/hyperlink" Target="https://www.mortonsalt.com/product/morton-himalayan-pink-salt-iodized/" TargetMode="External" Id="rId1318" /><Relationship Type="http://schemas.openxmlformats.org/officeDocument/2006/relationships/hyperlink" Target="https://www.mortonsalt.com/product/morton-himalayan-pink-salt-iodized/" TargetMode="External" Id="rId1319" /><Relationship Type="http://schemas.openxmlformats.org/officeDocument/2006/relationships/hyperlink" Target="https://www.mortonsalt.com/product/morton-himalayan-pink-salt-iodized/" TargetMode="External" Id="rId1320" /><Relationship Type="http://schemas.openxmlformats.org/officeDocument/2006/relationships/hyperlink" Target="https://www.mortonsalt.com/product/morton-himalayan-pink-salt-iodized/" TargetMode="External" Id="rId1321" /><Relationship Type="http://schemas.openxmlformats.org/officeDocument/2006/relationships/hyperlink" Target="https://www.mortonsalt.com/product/morton-himalayan-pink-salt-iodized/" TargetMode="External" Id="rId1322" /><Relationship Type="http://schemas.openxmlformats.org/officeDocument/2006/relationships/hyperlink" Target="https://www.mortonsalt.com/product/morton-himalayan-pink-salt-iodized/" TargetMode="External" Id="rId1323" /><Relationship Type="http://schemas.openxmlformats.org/officeDocument/2006/relationships/hyperlink" Target="https://www.mortonsalt.com/product/morton-himalayan-pink-salt-iodized/" TargetMode="External" Id="rId1324" /><Relationship Type="http://schemas.openxmlformats.org/officeDocument/2006/relationships/hyperlink" Target="https://www.mortonsalt.com/product/morton-himalayan-pink-salt-iodized/" TargetMode="External" Id="rId1325" /><Relationship Type="http://schemas.openxmlformats.org/officeDocument/2006/relationships/hyperlink" Target="https://www.mortonsalt.com/product/morton-himalayan-pink-salt-iodized/" TargetMode="External" Id="rId1326" /><Relationship Type="http://schemas.openxmlformats.org/officeDocument/2006/relationships/hyperlink" Target="https://www.mortonsalt.com/product/morton-himalayan-pink-salt-iodized/" TargetMode="External" Id="rId1327" /><Relationship Type="http://schemas.openxmlformats.org/officeDocument/2006/relationships/hyperlink" Target="https://www.mortonsalt.com/product/morton-himalayan-pink-salt-iodized/" TargetMode="External" Id="rId1328" /><Relationship Type="http://schemas.openxmlformats.org/officeDocument/2006/relationships/hyperlink" Target="https://www.logixpathchef.com/app/food/getfoodnutrition?fdcid=170903" TargetMode="External" Id="rId1329" /><Relationship Type="http://schemas.openxmlformats.org/officeDocument/2006/relationships/hyperlink" Target="https://www.logixpathchef.com/app/food/getfoodnutrition?fdcid=170903" TargetMode="External" Id="rId1330" /><Relationship Type="http://schemas.openxmlformats.org/officeDocument/2006/relationships/hyperlink" Target="https://www.simplyorganic.com/products/vanilla-extract" TargetMode="External" Id="rId1331" /><Relationship Type="http://schemas.openxmlformats.org/officeDocument/2006/relationships/hyperlink" Target="https://www.simplyorganic.com/products/vanilla-extract" TargetMode="External" Id="rId1332" /><Relationship Type="http://schemas.openxmlformats.org/officeDocument/2006/relationships/hyperlink" Target="https://www.simplyorganic.com/products/vanilla-extract" TargetMode="External" Id="rId1333" /><Relationship Type="http://schemas.openxmlformats.org/officeDocument/2006/relationships/hyperlink" Target="https://www.simplyorganic.com/products/vanilla-extract" TargetMode="External" Id="rId1334" /><Relationship Type="http://schemas.openxmlformats.org/officeDocument/2006/relationships/hyperlink" Target="https://www.simplyorganic.com/products/vanilla-extract" TargetMode="External" Id="rId1335" /><Relationship Type="http://schemas.openxmlformats.org/officeDocument/2006/relationships/hyperlink" Target="https://www.logixpathchef.com/app/food/getfoodnutrition?fdcid=170903" TargetMode="External" Id="rId1336" /><Relationship Type="http://schemas.openxmlformats.org/officeDocument/2006/relationships/hyperlink" Target="https://www.logixpathchef.com/app/food/getfoodnutrition?fdcid=170903" TargetMode="External" Id="rId1337" /><Relationship Type="http://schemas.openxmlformats.org/officeDocument/2006/relationships/hyperlink" Target="https://www.logixpathchef.com/app/food/getfoodnutrition?fdcid=170903" TargetMode="External" Id="rId1338" /><Relationship Type="http://schemas.openxmlformats.org/officeDocument/2006/relationships/hyperlink" Target="https://www.logixpathchef.com/app/food/getfoodnutrition?fdcid=170903" TargetMode="External" Id="rId1339" /><Relationship Type="http://schemas.openxmlformats.org/officeDocument/2006/relationships/hyperlink" Target="https://www.logixpathchef.com/app/food/getfoodnutrition?fdcid=170903" TargetMode="External" Id="rId1340" /><Relationship Type="http://schemas.openxmlformats.org/officeDocument/2006/relationships/hyperlink" Target="https://www.logixpathchef.com/app/food/getfoodnutrition?fdcid=170903" TargetMode="External" Id="rId1341" /><Relationship Type="http://schemas.openxmlformats.org/officeDocument/2006/relationships/hyperlink" Target="https://www.logixpathchef.com/app/food/getfoodnutrition?fdcid=170903" TargetMode="External" Id="rId1342" /><Relationship Type="http://schemas.openxmlformats.org/officeDocument/2006/relationships/hyperlink" Target="https://www.logixpathchef.com/app/food/getfoodnutrition?fdcid=170903" TargetMode="External" Id="rId1343" /><Relationship Type="http://schemas.openxmlformats.org/officeDocument/2006/relationships/hyperlink" Target="https://www.logixpathchef.com/app/food/getfoodnutrition?fdcid=170903" TargetMode="External" Id="rId1344" /><Relationship Type="http://schemas.openxmlformats.org/officeDocument/2006/relationships/hyperlink" Target="https://www.simplyorganic.com/products/vanilla-extract" TargetMode="External" Id="rId1345" /><Relationship Type="http://schemas.openxmlformats.org/officeDocument/2006/relationships/hyperlink" Target="https://www.logixpathchef.com/app/food/getfoodnutrition?fdcid=170903" TargetMode="External" Id="rId1346" /><Relationship Type="http://schemas.openxmlformats.org/officeDocument/2006/relationships/hyperlink" Target="https://www.logixpathchef.com/app/food/getfoodnutrition?fdcid=170903" TargetMode="External" Id="rId1347" /><Relationship Type="http://schemas.openxmlformats.org/officeDocument/2006/relationships/hyperlink" Target="https://www.logixpathchef.com/app/food/getfoodnutrition?fdcid=170903" TargetMode="External" Id="rId1348" /><Relationship Type="http://schemas.openxmlformats.org/officeDocument/2006/relationships/hyperlink" Target="https://www.logixpathchef.com/app/food/getfoodnutrition?fdcid=170903" TargetMode="External" Id="rId1349" /><Relationship Type="http://schemas.openxmlformats.org/officeDocument/2006/relationships/hyperlink" Target="https://www.logixpathchef.com/app/food/getfoodnutrition?fdcid=170903" TargetMode="External" Id="rId1350" /><Relationship Type="http://schemas.openxmlformats.org/officeDocument/2006/relationships/hyperlink" Target="https://www.logixpathchef.com/app/food/getfoodnutrition?fdcid=170903" TargetMode="External" Id="rId1351" /><Relationship Type="http://schemas.openxmlformats.org/officeDocument/2006/relationships/hyperlink" Target="https://www.logixpathchef.com/app/food/getfoodnutrition?fdcid=170903" TargetMode="External" Id="rId1352" /><Relationship Type="http://schemas.openxmlformats.org/officeDocument/2006/relationships/hyperlink" Target="https://www.logixpathchef.com/app/food/getfoodnutrition?fdcid=170903" TargetMode="External" Id="rId1353" /><Relationship Type="http://schemas.openxmlformats.org/officeDocument/2006/relationships/hyperlink" Target="https://www.logixpathchef.com/app/food/getfoodnutrition?fdcid=170903" TargetMode="External" Id="rId1354" /><Relationship Type="http://schemas.openxmlformats.org/officeDocument/2006/relationships/hyperlink" Target="https://www.logixpathchef.com/app/food/getfoodnutrition?fdcid=170903" TargetMode="External" Id="rId1355" /><Relationship Type="http://schemas.openxmlformats.org/officeDocument/2006/relationships/hyperlink" Target="https://www.logixpathchef.com/app/food/getfoodnutrition?fdcid=170903" TargetMode="External" Id="rId1356" /><Relationship Type="http://schemas.openxmlformats.org/officeDocument/2006/relationships/hyperlink" Target="https://www.logixpathchef.com/app/food/getfoodnutrition?fdcid=170903" TargetMode="External" Id="rId1357" /><Relationship Type="http://schemas.openxmlformats.org/officeDocument/2006/relationships/hyperlink" Target="https://www.logixpathchef.com/app/food/getfoodnutrition?fdcid=170903" TargetMode="External" Id="rId1358" /><Relationship Type="http://schemas.openxmlformats.org/officeDocument/2006/relationships/hyperlink" Target="https://www.logixpathchef.com/app/food/getfoodnutrition?fdcid=170903" TargetMode="External" Id="rId1359" /><Relationship Type="http://schemas.openxmlformats.org/officeDocument/2006/relationships/hyperlink" Target="https://www.logixpathchef.com/app/food/getfoodnutrition?fdcid=170903" TargetMode="External" Id="rId1360" /><Relationship Type="http://schemas.openxmlformats.org/officeDocument/2006/relationships/hyperlink" Target="https://www.logixpathchef.com/app/food/getfoodnutrition?fdcid=170903" TargetMode="External" Id="rId1361" /><Relationship Type="http://schemas.openxmlformats.org/officeDocument/2006/relationships/hyperlink" Target="https://www.logixpathchef.com/app/food/getfoodnutrition?fdcid=170903" TargetMode="External" Id="rId1362" /><Relationship Type="http://schemas.openxmlformats.org/officeDocument/2006/relationships/hyperlink" Target="https://www.logixpathchef.com/app/food/getfoodnutrition?fdcid=170903" TargetMode="External" Id="rId1363" /><Relationship Type="http://schemas.openxmlformats.org/officeDocument/2006/relationships/hyperlink" Target="https://www.logixpathchef.com/app/food/getfoodnutrition?fdcid=170903" TargetMode="External" Id="rId1364" /><Relationship Type="http://schemas.openxmlformats.org/officeDocument/2006/relationships/hyperlink" Target="https://www.logixpathchef.com/app/food/getfoodnutrition?fdcid=170903" TargetMode="External" Id="rId1365" /><Relationship Type="http://schemas.openxmlformats.org/officeDocument/2006/relationships/hyperlink" Target="https://www.logixpathchef.com/app/food/getfoodnutrition?fdcid=170903" TargetMode="External" Id="rId1366" /><Relationship Type="http://schemas.openxmlformats.org/officeDocument/2006/relationships/hyperlink" Target="https://www.logixpathchef.com/app/food/getfoodnutrition?fdcid=170903" TargetMode="External" Id="rId1367" /><Relationship Type="http://schemas.openxmlformats.org/officeDocument/2006/relationships/hyperlink" Target="https://www.logixpathchef.com/app/food/getfoodnutrition?fdcid=170903" TargetMode="External" Id="rId1368" /><Relationship Type="http://schemas.openxmlformats.org/officeDocument/2006/relationships/hyperlink" Target="https://www.logixpathchef.com/app/food/getfoodnutrition?fdcid=170903" TargetMode="External" Id="rId1369" /><Relationship Type="http://schemas.openxmlformats.org/officeDocument/2006/relationships/hyperlink" Target="https://www.logixpathchef.com/app/food/getfoodnutrition?fdcid=170903" TargetMode="External" Id="rId1370" /><Relationship Type="http://schemas.openxmlformats.org/officeDocument/2006/relationships/hyperlink" Target="https://www.logixpathchef.com/app/food/getfoodnutrition?fdcid=170903" TargetMode="External" Id="rId1371" /><Relationship Type="http://schemas.openxmlformats.org/officeDocument/2006/relationships/hyperlink" Target="https://www.logixpathchef.com/app/food/getfoodnutrition?fdcid=170903" TargetMode="External" Id="rId1372" /><Relationship Type="http://schemas.openxmlformats.org/officeDocument/2006/relationships/hyperlink" Target="https://www.logixpathchef.com/app/food/getfoodnutrition?fdcid=170903" TargetMode="External" Id="rId1373" /><Relationship Type="http://schemas.openxmlformats.org/officeDocument/2006/relationships/hyperlink" Target="https://www.logixpathchef.com/app/food/getfoodnutrition?fdcid=170903" TargetMode="External" Id="rId1374" /><Relationship Type="http://schemas.openxmlformats.org/officeDocument/2006/relationships/hyperlink" Target="https://www.logixpathchef.com/app/food/getfoodnutrition?fdcid=170903" TargetMode="External" Id="rId1375" /><Relationship Type="http://schemas.openxmlformats.org/officeDocument/2006/relationships/hyperlink" Target="https://www.logixpathchef.com/app/food/getfoodnutrition?fdcid=170903" TargetMode="External" Id="rId1376" /><Relationship Type="http://schemas.openxmlformats.org/officeDocument/2006/relationships/hyperlink" Target="https://www.logixpathchef.com/app/food/getfoodnutrition?fdcid=170903" TargetMode="External" Id="rId1377" /><Relationship Type="http://schemas.openxmlformats.org/officeDocument/2006/relationships/hyperlink" Target="https://www.logixpathchef.com/app/food/getfoodnutrition?fdcid=170903" TargetMode="External" Id="rId1378" /><Relationship Type="http://schemas.openxmlformats.org/officeDocument/2006/relationships/hyperlink" Target="https://www.logixpathchef.com/app/food/getfoodnutrition?fdcid=170903" TargetMode="External" Id="rId1379" /><Relationship Type="http://schemas.openxmlformats.org/officeDocument/2006/relationships/hyperlink" Target="https://www.logixpathchef.com/app/food/getfoodnutrition?fdcid=170903" TargetMode="External" Id="rId1380" /><Relationship Type="http://schemas.openxmlformats.org/officeDocument/2006/relationships/hyperlink" Target="https://www.logixpathchef.com/app/food/getfoodnutrition?fdcid=170903" TargetMode="External" Id="rId1381" /><Relationship Type="http://schemas.openxmlformats.org/officeDocument/2006/relationships/hyperlink" Target="https://www.logixpathchef.com/app/food/getfoodnutrition?fdcid=170903" TargetMode="External" Id="rId1382" /><Relationship Type="http://schemas.openxmlformats.org/officeDocument/2006/relationships/hyperlink" Target="https://www.logixpathchef.com/app/food/getfoodnutrition?fdcid=170903" TargetMode="External" Id="rId1383" /><Relationship Type="http://schemas.openxmlformats.org/officeDocument/2006/relationships/hyperlink" Target="https://www.logixpathchef.com/app/food/getfoodnutrition?fdcid=170903" TargetMode="External" Id="rId1384" /><Relationship Type="http://schemas.openxmlformats.org/officeDocument/2006/relationships/hyperlink" Target="https://www.logixpathchef.com/app/food/getfoodnutrition?fdcid=170903" TargetMode="External" Id="rId1385" /><Relationship Type="http://schemas.openxmlformats.org/officeDocument/2006/relationships/hyperlink" Target="https://www.logixpathchef.com/app/food/getfoodnutrition?fdcid=170903" TargetMode="External" Id="rId1386" /><Relationship Type="http://schemas.openxmlformats.org/officeDocument/2006/relationships/hyperlink" Target="https://www.logixpathchef.com/app/food/getfoodnutrition?fdcid=170903" TargetMode="External" Id="rId1387" /><Relationship Type="http://schemas.openxmlformats.org/officeDocument/2006/relationships/hyperlink" Target="https://www.logixpathchef.com/app/food/getfoodnutrition?fdcid=170903" TargetMode="External" Id="rId1388" /><Relationship Type="http://schemas.openxmlformats.org/officeDocument/2006/relationships/hyperlink" Target="https://www.logixpathchef.com/app/food/getfoodnutrition?fdcid=170903" TargetMode="External" Id="rId1389" /><Relationship Type="http://schemas.openxmlformats.org/officeDocument/2006/relationships/hyperlink" Target="https://www.logixpathchef.com/app/food/getfoodnutrition?fdcid=170903" TargetMode="External" Id="rId1390" /><Relationship Type="http://schemas.openxmlformats.org/officeDocument/2006/relationships/hyperlink" Target="https://www.logixpathchef.com/app/food/getfoodnutrition?fdcid=170903" TargetMode="External" Id="rId1391" /><Relationship Type="http://schemas.openxmlformats.org/officeDocument/2006/relationships/hyperlink" Target="https://www.logixpathchef.com/app/food/getfoodnutrition?fdcid=170903" TargetMode="External" Id="rId1392" /><Relationship Type="http://schemas.openxmlformats.org/officeDocument/2006/relationships/hyperlink" Target="https://www.logixpathchef.com/app/food/getfoodnutrition?fdcid=170903" TargetMode="External" Id="rId1393" /><Relationship Type="http://schemas.openxmlformats.org/officeDocument/2006/relationships/hyperlink" Target="https://www.logixpathchef.com/app/food/getfoodnutrition?fdcid=170903" TargetMode="External" Id="rId1394" /><Relationship Type="http://schemas.openxmlformats.org/officeDocument/2006/relationships/hyperlink" Target="https://www.logixpathchef.com/app/food/getfoodnutrition?fdcid=170903" TargetMode="External" Id="rId1395" /><Relationship Type="http://schemas.openxmlformats.org/officeDocument/2006/relationships/hyperlink" Target="https://www.logixpathchef.com/app/food/getfoodnutrition?fdcid=170903" TargetMode="External" Id="rId1396" /><Relationship Type="http://schemas.openxmlformats.org/officeDocument/2006/relationships/hyperlink" Target="https://www.logixpathchef.com/app/food/getfoodnutrition?fdcid=170903" TargetMode="External" Id="rId1397" /><Relationship Type="http://schemas.openxmlformats.org/officeDocument/2006/relationships/hyperlink" Target="https://www.logixpathchef.com/app/food/getfoodnutrition?fdcid=170903" TargetMode="External" Id="rId1398" /><Relationship Type="http://schemas.openxmlformats.org/officeDocument/2006/relationships/hyperlink" Target="https://www.logixpathchef.com/app/food/getfoodnutrition?fdcid=170903" TargetMode="External" Id="rId1399" /><Relationship Type="http://schemas.openxmlformats.org/officeDocument/2006/relationships/hyperlink" Target="https://www.logixpathchef.com/app/food/getfoodnutrition?fdcid=170903" TargetMode="External" Id="rId1400" /><Relationship Type="http://schemas.openxmlformats.org/officeDocument/2006/relationships/hyperlink" Target="https://www.logixpathchef.com/app/food/getfoodnutrition?fdcid=170903" TargetMode="External" Id="rId1401" /><Relationship Type="http://schemas.openxmlformats.org/officeDocument/2006/relationships/hyperlink" Target="https://www.logixpathchef.com/app/food/getfoodnutrition?fdcid=170903" TargetMode="External" Id="rId1402" /><Relationship Type="http://schemas.openxmlformats.org/officeDocument/2006/relationships/hyperlink" Target="https://www.logixpathchef.com/app/food/getfoodnutrition?fdcid=170903" TargetMode="External" Id="rId1403" /><Relationship Type="http://schemas.openxmlformats.org/officeDocument/2006/relationships/hyperlink" Target="https://www.logixpathchef.com/app/food/getfoodnutrition?fdcid=170903" TargetMode="External" Id="rId1404" /><Relationship Type="http://schemas.openxmlformats.org/officeDocument/2006/relationships/hyperlink" Target="https://www.logixpathchef.com/app/food/getfoodnutrition?fdcid=170903" TargetMode="External" Id="rId1405" /><Relationship Type="http://schemas.openxmlformats.org/officeDocument/2006/relationships/hyperlink" Target="https://www.logixpathchef.com/app/food/getfoodnutrition?fdcid=170903" TargetMode="External" Id="rId1406" /><Relationship Type="http://schemas.openxmlformats.org/officeDocument/2006/relationships/hyperlink" Target="https://www.logixpathchef.com/app/food/getfoodnutrition?fdcid=170903" TargetMode="External" Id="rId1407" /><Relationship Type="http://schemas.openxmlformats.org/officeDocument/2006/relationships/hyperlink" Target="https://www.logixpathchef.com/app/food/getfoodnutrition?fdcid=170903" TargetMode="External" Id="rId1408" /><Relationship Type="http://schemas.openxmlformats.org/officeDocument/2006/relationships/hyperlink" Target="https://www.logixpathchef.com/app/food/getfoodnutrition?fdcid=170903" TargetMode="External" Id="rId1409" /><Relationship Type="http://schemas.openxmlformats.org/officeDocument/2006/relationships/hyperlink" Target="https://www.logixpathchef.com/app/food/getfoodnutrition?fdcid=170903" TargetMode="External" Id="rId1410" /><Relationship Type="http://schemas.openxmlformats.org/officeDocument/2006/relationships/hyperlink" Target="https://www.logixpathchef.com/app/food/getfoodnutrition?fdcid=170903" TargetMode="External" Id="rId1411" /><Relationship Type="http://schemas.openxmlformats.org/officeDocument/2006/relationships/hyperlink" Target="https://www.logixpathchef.com/app/food/getfoodnutrition?fdcid=171320" TargetMode="External" Id="rId1412" /><Relationship Type="http://schemas.openxmlformats.org/officeDocument/2006/relationships/hyperlink" Target="https://www.logixpathchef.com/app/food/getfoodnutrition?fdcid=171320" TargetMode="External" Id="rId1413" /><Relationship Type="http://schemas.openxmlformats.org/officeDocument/2006/relationships/hyperlink" Target="https://www.logixpathchef.com/app/food/getfoodnutrition?fdcid=171320" TargetMode="External" Id="rId1414" /><Relationship Type="http://schemas.openxmlformats.org/officeDocument/2006/relationships/hyperlink" Target="https://www.logixpathchef.com/app/food/getfoodnutrition?fdcid=171320" TargetMode="External" Id="rId1415" /><Relationship Type="http://schemas.openxmlformats.org/officeDocument/2006/relationships/hyperlink" Target="https://www.logixpathchef.com/app/food/getfoodnutrition?fdcid=171320" TargetMode="External" Id="rId1416" /><Relationship Type="http://schemas.openxmlformats.org/officeDocument/2006/relationships/hyperlink" Target="https://www.logixpathchef.com/app/food/getfoodnutrition?fdcid=171320" TargetMode="External" Id="rId1417" /><Relationship Type="http://schemas.openxmlformats.org/officeDocument/2006/relationships/hyperlink" Target="https://www.logixpathchef.com/app/food/getfoodnutrition?fdcid=171320" TargetMode="External" Id="rId1418" /><Relationship Type="http://schemas.openxmlformats.org/officeDocument/2006/relationships/hyperlink" Target="https://www.logixpathchef.com/app/food/getfoodnutrition?fdcid=171320" TargetMode="External" Id="rId1419" /><Relationship Type="http://schemas.openxmlformats.org/officeDocument/2006/relationships/hyperlink" Target="https://www.logixpathchef.com/app/food/getfoodnutrition?fdcid=171320" TargetMode="External" Id="rId1420" /><Relationship Type="http://schemas.openxmlformats.org/officeDocument/2006/relationships/hyperlink" Target="https://www.logixpathchef.com/app/food/getfoodnutrition?fdcid=171320" TargetMode="External" Id="rId1421" /><Relationship Type="http://schemas.openxmlformats.org/officeDocument/2006/relationships/hyperlink" Target="https://www.logixpathchef.com/app/food/getfoodnutrition?fdcid=171320" TargetMode="External" Id="rId1422" /><Relationship Type="http://schemas.openxmlformats.org/officeDocument/2006/relationships/hyperlink" Target="https://www.logixpathchef.com/app/food/getfoodnutrition?fdcid=171320" TargetMode="External" Id="rId1423" /><Relationship Type="http://schemas.openxmlformats.org/officeDocument/2006/relationships/hyperlink" Target="https://www.logixpathchef.com/app/food/getfoodnutrition?fdcid=171320" TargetMode="External" Id="rId1424" /><Relationship Type="http://schemas.openxmlformats.org/officeDocument/2006/relationships/hyperlink" Target="https://www.logixpathchef.com/app/food/getfoodnutrition?fdcid=171320" TargetMode="External" Id="rId1425" /><Relationship Type="http://schemas.openxmlformats.org/officeDocument/2006/relationships/hyperlink" Target="https://www.logixpathchef.com/app/food/getfoodnutrition?fdcid=171320" TargetMode="External" Id="rId1426" /><Relationship Type="http://schemas.openxmlformats.org/officeDocument/2006/relationships/hyperlink" Target="https://www.logixpathchef.com/app/food/getfoodnutrition?fdcid=171320" TargetMode="External" Id="rId1427" /><Relationship Type="http://schemas.openxmlformats.org/officeDocument/2006/relationships/hyperlink" Target="https://www.logixpathchef.com/app/food/getfoodnutrition?fdcid=171320" TargetMode="External" Id="rId1428" /><Relationship Type="http://schemas.openxmlformats.org/officeDocument/2006/relationships/hyperlink" Target="https://www.logixpathchef.com/app/food/getfoodnutrition?fdcid=171320" TargetMode="External" Id="rId1429" /><Relationship Type="http://schemas.openxmlformats.org/officeDocument/2006/relationships/hyperlink" Target="https://www.logixpathchef.com/app/food/getfoodnutrition?fdcid=171320" TargetMode="External" Id="rId1430" /><Relationship Type="http://schemas.openxmlformats.org/officeDocument/2006/relationships/hyperlink" Target="https://www.logixpathchef.com/app/food/getfoodnutrition?fdcid=171320" TargetMode="External" Id="rId1431" /><Relationship Type="http://schemas.openxmlformats.org/officeDocument/2006/relationships/hyperlink" Target="https://www.logixpathchef.com/app/food/getfoodnutrition?fdcid=171320" TargetMode="External" Id="rId1432" /><Relationship Type="http://schemas.openxmlformats.org/officeDocument/2006/relationships/hyperlink" Target="https://www.logixpathchef.com/app/food/getfoodnutrition?fdcid=171320" TargetMode="External" Id="rId1433" /><Relationship Type="http://schemas.openxmlformats.org/officeDocument/2006/relationships/hyperlink" Target="https://www.logixpathchef.com/app/food/getfoodnutrition?fdcid=171320" TargetMode="External" Id="rId1434" /><Relationship Type="http://schemas.openxmlformats.org/officeDocument/2006/relationships/hyperlink" Target="https://www.logixpathchef.com/app/food/getfoodnutrition?fdcid=171320" TargetMode="External" Id="rId1435" /><Relationship Type="http://schemas.openxmlformats.org/officeDocument/2006/relationships/hyperlink" Target="https://www.logixpathchef.com/app/food/getfoodnutrition?fdcid=171320" TargetMode="External" Id="rId1436" /><Relationship Type="http://schemas.openxmlformats.org/officeDocument/2006/relationships/hyperlink" Target="https://www.logixpathchef.com/app/food/getfoodnutrition?fdcid=171320" TargetMode="External" Id="rId1437" /><Relationship Type="http://schemas.openxmlformats.org/officeDocument/2006/relationships/hyperlink" Target="https://www.logixpathchef.com/app/food/getfoodnutrition?fdcid=171320" TargetMode="External" Id="rId1438" /><Relationship Type="http://schemas.openxmlformats.org/officeDocument/2006/relationships/hyperlink" Target="https://www.logixpathchef.com/app/food/getfoodnutrition?fdcid=171320" TargetMode="External" Id="rId1439" /><Relationship Type="http://schemas.openxmlformats.org/officeDocument/2006/relationships/hyperlink" Target="https://www.logixpathchef.com/app/food/getfoodnutrition?fdcid=171320" TargetMode="External" Id="rId1440" /><Relationship Type="http://schemas.openxmlformats.org/officeDocument/2006/relationships/hyperlink" Target="https://www.logixpathchef.com/app/food/getfoodnutrition?fdcid=171320" TargetMode="External" Id="rId1441" /><Relationship Type="http://schemas.openxmlformats.org/officeDocument/2006/relationships/hyperlink" Target="https://www.logixpathchef.com/app/food/getfoodnutrition?fdcid=171320" TargetMode="External" Id="rId1442" /><Relationship Type="http://schemas.openxmlformats.org/officeDocument/2006/relationships/hyperlink" Target="https://www.logixpathchef.com/app/food/getfoodnutrition?fdcid=171320" TargetMode="External" Id="rId1443" /><Relationship Type="http://schemas.openxmlformats.org/officeDocument/2006/relationships/hyperlink" Target="https://www.logixpathchef.com/app/food/getfoodnutrition?fdcid=171320" TargetMode="External" Id="rId1444" /><Relationship Type="http://schemas.openxmlformats.org/officeDocument/2006/relationships/hyperlink" Target="https://www.logixpathchef.com/app/food/getfoodnutrition?fdcid=171320" TargetMode="External" Id="rId1445" /><Relationship Type="http://schemas.openxmlformats.org/officeDocument/2006/relationships/hyperlink" Target="https://www.logixpathchef.com/app/food/getfoodnutrition?fdcid=171320" TargetMode="External" Id="rId1446" /><Relationship Type="http://schemas.openxmlformats.org/officeDocument/2006/relationships/hyperlink" Target="https://www.logixpathchef.com/app/food/getfoodnutrition?fdcid=171320" TargetMode="External" Id="rId1447" /><Relationship Type="http://schemas.openxmlformats.org/officeDocument/2006/relationships/hyperlink" Target="https://www.logixpathchef.com/app/food/getfoodnutrition?fdcid=171320" TargetMode="External" Id="rId1448" /><Relationship Type="http://schemas.openxmlformats.org/officeDocument/2006/relationships/hyperlink" Target="https://www.logixpathchef.com/app/food/getfoodnutrition?fdcid=171320" TargetMode="External" Id="rId1449" /><Relationship Type="http://schemas.openxmlformats.org/officeDocument/2006/relationships/hyperlink" Target="https://www.logixpathchef.com/app/food/getfoodnutrition?fdcid=171320" TargetMode="External" Id="rId1450" /><Relationship Type="http://schemas.openxmlformats.org/officeDocument/2006/relationships/hyperlink" Target="https://www.logixpathchef.com/app/food/getfoodnutrition?fdcid=171320" TargetMode="External" Id="rId1451" /><Relationship Type="http://schemas.openxmlformats.org/officeDocument/2006/relationships/hyperlink" Target="https://www.logixpathchef.com/app/food/getfoodnutrition?fdcid=171320" TargetMode="External" Id="rId1452" /><Relationship Type="http://schemas.openxmlformats.org/officeDocument/2006/relationships/hyperlink" Target="https://www.logixpathchef.com/app/food/getfoodnutrition?fdcid=171320" TargetMode="External" Id="rId1453" /><Relationship Type="http://schemas.openxmlformats.org/officeDocument/2006/relationships/hyperlink" Target="https://www.logixpathchef.com/app/food/getfoodnutrition?fdcid=171320" TargetMode="External" Id="rId1454" /><Relationship Type="http://schemas.openxmlformats.org/officeDocument/2006/relationships/hyperlink" Target="https://www.logixpathchef.com/app/food/getfoodnutrition?fdcid=171320" TargetMode="External" Id="rId1455" /><Relationship Type="http://schemas.openxmlformats.org/officeDocument/2006/relationships/hyperlink" Target="https://www.logixpathchef.com/app/food/getfoodnutrition?fdcid=171320" TargetMode="External" Id="rId1456" /><Relationship Type="http://schemas.openxmlformats.org/officeDocument/2006/relationships/hyperlink" Target="https://www.logixpathchef.com/app/food/getfoodnutrition?fdcid=171320" TargetMode="External" Id="rId1457" /><Relationship Type="http://schemas.openxmlformats.org/officeDocument/2006/relationships/hyperlink" Target="https://www.logixpathchef.com/app/food/getfoodnutrition?fdcid=171320" TargetMode="External" Id="rId1458" /><Relationship Type="http://schemas.openxmlformats.org/officeDocument/2006/relationships/hyperlink" Target="https://www.logixpathchef.com/app/food/getfoodnutrition?fdcid=171320" TargetMode="External" Id="rId1459" /><Relationship Type="http://schemas.openxmlformats.org/officeDocument/2006/relationships/hyperlink" Target="https://www.logixpathchef.com/app/food/getfoodnutrition?fdcid=171320" TargetMode="External" Id="rId1460" /><Relationship Type="http://schemas.openxmlformats.org/officeDocument/2006/relationships/hyperlink" Target="https://www.logixpathchef.com/app/food/getfoodnutrition?fdcid=171320" TargetMode="External" Id="rId1461" /><Relationship Type="http://schemas.openxmlformats.org/officeDocument/2006/relationships/hyperlink" Target="https://www.logixpathchef.com/app/food/getfoodnutrition?fdcid=171320" TargetMode="External" Id="rId1462" /><Relationship Type="http://schemas.openxmlformats.org/officeDocument/2006/relationships/hyperlink" Target="https://www.logixpathchef.com/app/food/getfoodnutrition?fdcid=171320" TargetMode="External" Id="rId1463" /><Relationship Type="http://schemas.openxmlformats.org/officeDocument/2006/relationships/hyperlink" Target="https://www.logixpathchef.com/app/food/getfoodnutrition?fdcid=171320" TargetMode="External" Id="rId1464" /><Relationship Type="http://schemas.openxmlformats.org/officeDocument/2006/relationships/hyperlink" Target="https://www.logixpathchef.com/app/food/getfoodnutrition?fdcid=171320" TargetMode="External" Id="rId1465" /><Relationship Type="http://schemas.openxmlformats.org/officeDocument/2006/relationships/hyperlink" Target="https://www.logixpathchef.com/app/food/getfoodnutrition?fdcid=171320" TargetMode="External" Id="rId1466" /><Relationship Type="http://schemas.openxmlformats.org/officeDocument/2006/relationships/hyperlink" Target="https://www.logixpathchef.com/app/food/getfoodnutrition?fdcid=171320" TargetMode="External" Id="rId1467" /><Relationship Type="http://schemas.openxmlformats.org/officeDocument/2006/relationships/hyperlink" Target="https://www.logixpathchef.com/app/food/getfoodnutrition?fdcid=171320" TargetMode="External" Id="rId1468" /><Relationship Type="http://schemas.openxmlformats.org/officeDocument/2006/relationships/hyperlink" Target="https://www.logixpathchef.com/app/food/getfoodnutrition?fdcid=171320" TargetMode="External" Id="rId1469" /><Relationship Type="http://schemas.openxmlformats.org/officeDocument/2006/relationships/hyperlink" Target="https://www.logixpathchef.com/app/food/getfoodnutrition?fdcid=171320" TargetMode="External" Id="rId1470" /><Relationship Type="http://schemas.openxmlformats.org/officeDocument/2006/relationships/hyperlink" Target="https://www.logixpathchef.com/app/food/getfoodnutrition?fdcid=171320" TargetMode="External" Id="rId1471" /><Relationship Type="http://schemas.openxmlformats.org/officeDocument/2006/relationships/hyperlink" Target="https://www.logixpathchef.com/app/food/getfoodnutrition?fdcid=171320" TargetMode="External" Id="rId1472" /><Relationship Type="http://schemas.openxmlformats.org/officeDocument/2006/relationships/hyperlink" Target="https://www.logixpathchef.com/app/food/getfoodnutrition?fdcid=171320" TargetMode="External" Id="rId1473" /><Relationship Type="http://schemas.openxmlformats.org/officeDocument/2006/relationships/hyperlink" Target="https://www.logixpathchef.com/app/food/getfoodnutrition?fdcid=171320" TargetMode="External" Id="rId1474" /><Relationship Type="http://schemas.openxmlformats.org/officeDocument/2006/relationships/hyperlink" Target="https://www.logixpathchef.com/app/food/getfoodnutrition?fdcid=171320" TargetMode="External" Id="rId1475" /><Relationship Type="http://schemas.openxmlformats.org/officeDocument/2006/relationships/hyperlink" Target="https://www.logixpathchef.com/app/food/getfoodnutrition?fdcid=171320" TargetMode="External" Id="rId1476" /><Relationship Type="http://schemas.openxmlformats.org/officeDocument/2006/relationships/hyperlink" Target="https://www.logixpathchef.com/app/food/getfoodnutrition?fdcid=171320" TargetMode="External" Id="rId1477" /><Relationship Type="http://schemas.openxmlformats.org/officeDocument/2006/relationships/hyperlink" Target="https://www.logixpathchef.com/app/food/getfoodnutrition?fdcid=171320" TargetMode="External" Id="rId1478" /><Relationship Type="http://schemas.openxmlformats.org/officeDocument/2006/relationships/hyperlink" Target="https://www.logixpathchef.com/app/food/getfoodnutrition?fdcid=171320" TargetMode="External" Id="rId1479" /><Relationship Type="http://schemas.openxmlformats.org/officeDocument/2006/relationships/hyperlink" Target="https://www.logixpathchef.com/app/food/getfoodnutrition?fdcid=171320" TargetMode="External" Id="rId1480" /><Relationship Type="http://schemas.openxmlformats.org/officeDocument/2006/relationships/hyperlink" Target="https://www.logixpathchef.com/app/food/getfoodnutrition?fdcid=171320" TargetMode="External" Id="rId1481" /><Relationship Type="http://schemas.openxmlformats.org/officeDocument/2006/relationships/hyperlink" Target="https://www.logixpathchef.com/app/food/getfoodnutrition?fdcid=171320" TargetMode="External" Id="rId1482" /><Relationship Type="http://schemas.openxmlformats.org/officeDocument/2006/relationships/hyperlink" Target="https://www.logixpathchef.com/app/food/getfoodnutrition?fdcid=171320" TargetMode="External" Id="rId1483" /><Relationship Type="http://schemas.openxmlformats.org/officeDocument/2006/relationships/hyperlink" Target="https://www.logixpathchef.com/app/food/getfoodnutrition?fdcid=171320" TargetMode="External" Id="rId1484" /><Relationship Type="http://schemas.openxmlformats.org/officeDocument/2006/relationships/hyperlink" Target="https://www.logixpathchef.com/app/food/getfoodnutrition?fdcid=171320" TargetMode="External" Id="rId1485" /><Relationship Type="http://schemas.openxmlformats.org/officeDocument/2006/relationships/hyperlink" Target="https://www.logixpathchef.com/app/food/getfoodnutrition?fdcid=171320" TargetMode="External" Id="rId1486" /><Relationship Type="http://schemas.openxmlformats.org/officeDocument/2006/relationships/hyperlink" Target="https://www.logixpathchef.com/app/food/getfoodnutrition?fdcid=171320" TargetMode="External" Id="rId1487" /><Relationship Type="http://schemas.openxmlformats.org/officeDocument/2006/relationships/hyperlink" Target="https://www.logixpathchef.com/app/food/getfoodnutrition?fdcid=171320" TargetMode="External" Id="rId1488" /><Relationship Type="http://schemas.openxmlformats.org/officeDocument/2006/relationships/hyperlink" Target="https://www.logixpathchef.com/app/food/getfoodnutrition?fdcid=171320" TargetMode="External" Id="rId1489" /><Relationship Type="http://schemas.openxmlformats.org/officeDocument/2006/relationships/hyperlink" Target="https://www.logixpathchef.com/app/food/getfoodnutrition?fdcid=171320" TargetMode="External" Id="rId1490" /><Relationship Type="http://schemas.openxmlformats.org/officeDocument/2006/relationships/hyperlink" Target="https://www.fda.gov/media/159745/download" TargetMode="External" Id="rId1491" /><Relationship Type="http://schemas.openxmlformats.org/officeDocument/2006/relationships/hyperlink" Target="https://www.fda.gov/media/159745/download" TargetMode="External" Id="rId1492" /><Relationship Type="http://schemas.openxmlformats.org/officeDocument/2006/relationships/hyperlink" Target="https://www.fda.gov/media/159745/download" TargetMode="External" Id="rId1493" /><Relationship Type="http://schemas.openxmlformats.org/officeDocument/2006/relationships/hyperlink" Target="https://www.fda.gov/media/159745/download" TargetMode="External" Id="rId1494" /><Relationship Type="http://schemas.openxmlformats.org/officeDocument/2006/relationships/hyperlink" Target="https://www.wholefoodsmarket.com/product/365-by-whole-foods-market-organic-ground-mustard-seed-169-oz" TargetMode="External" Id="rId1495" /><Relationship Type="http://schemas.openxmlformats.org/officeDocument/2006/relationships/hyperlink" Target="https://www.wholefoodsmarket.com/product/365-by-whole-foods-market-organic-ground-mustard-seed-169-oz" TargetMode="External" Id="rId1496" /><Relationship Type="http://schemas.openxmlformats.org/officeDocument/2006/relationships/hyperlink" Target="https://www.wholefoodsmarket.com/product/365-by-whole-foods-market-organic-ground-mustard-seed-169-oz" TargetMode="External" Id="rId1497" /><Relationship Type="http://schemas.openxmlformats.org/officeDocument/2006/relationships/hyperlink" Target="https://www.wholefoodsmarket.com/product/365-by-whole-foods-market-organic-ground-mustard-seed-169-oz" TargetMode="External" Id="rId1498" /><Relationship Type="http://schemas.openxmlformats.org/officeDocument/2006/relationships/hyperlink" Target="https://www.wholefoodsmarket.com/product/365-by-whole-foods-market-organic-ground-mustard-seed-169-oz" TargetMode="External" Id="rId1499" /><Relationship Type="http://schemas.openxmlformats.org/officeDocument/2006/relationships/hyperlink" Target="https://www.wholefoodsmarket.com/product/365-by-whole-foods-market-organic-ground-mustard-seed-169-oz" TargetMode="External" Id="rId1500" /><Relationship Type="http://schemas.openxmlformats.org/officeDocument/2006/relationships/hyperlink" Target="https://www.wholefoodsmarket.com/product/365-by-whole-foods-market-organic-ground-mustard-seed-169-oz" TargetMode="External" Id="rId1501" /><Relationship Type="http://schemas.openxmlformats.org/officeDocument/2006/relationships/hyperlink" Target="https://www.wholefoodsmarket.com/product/365-by-whole-foods-market-organic-ground-mustard-seed-169-oz" TargetMode="External" Id="rId1502" /><Relationship Type="http://schemas.openxmlformats.org/officeDocument/2006/relationships/hyperlink" Target="https://www.wholefoodsmarket.com/product/365-by-whole-foods-market-organic-ground-mustard-seed-169-oz" TargetMode="External" Id="rId1503" /><Relationship Type="http://schemas.openxmlformats.org/officeDocument/2006/relationships/hyperlink" Target="https://www.wholefoodsmarket.com/product/365-by-whole-foods-market-organic-ground-mustard-seed-169-oz" TargetMode="External" Id="rId1504" /><Relationship Type="http://schemas.openxmlformats.org/officeDocument/2006/relationships/hyperlink" Target="https://www.wholefoodsmarket.com/product/365-by-whole-foods-market-organic-ground-mustard-seed-169-oz" TargetMode="External" Id="rId1505" /><Relationship Type="http://schemas.openxmlformats.org/officeDocument/2006/relationships/hyperlink" Target="https://www.wholefoodsmarket.com/product/365-by-whole-foods-market-organic-ground-mustard-seed-169-oz" TargetMode="External" Id="rId1506" /><Relationship Type="http://schemas.openxmlformats.org/officeDocument/2006/relationships/hyperlink" Target="https://www.wholefoodsmarket.com/product/365-by-whole-foods-market-organic-ground-mustard-seed-169-oz" TargetMode="External" Id="rId1507" /><Relationship Type="http://schemas.openxmlformats.org/officeDocument/2006/relationships/hyperlink" Target="https://www.wholefoodsmarket.com/product/365-by-whole-foods-market-organic-ground-mustard-seed-169-oz" TargetMode="External" Id="rId1508" /><Relationship Type="http://schemas.openxmlformats.org/officeDocument/2006/relationships/hyperlink" Target="https://www.wholefoodsmarket.com/product/365-by-whole-foods-market-organic-ground-mustard-seed-169-oz" TargetMode="External" Id="rId1509" /><Relationship Type="http://schemas.openxmlformats.org/officeDocument/2006/relationships/hyperlink" Target="https://www.wholefoodsmarket.com/product/365-by-whole-foods-market-organic-ground-mustard-seed-169-oz" TargetMode="External" Id="rId1510" /><Relationship Type="http://schemas.openxmlformats.org/officeDocument/2006/relationships/hyperlink" Target="https://www.wholefoodsmarket.com/product/365-by-whole-foods-market-organic-ground-mustard-seed-169-oz" TargetMode="External" Id="rId1511" /><Relationship Type="http://schemas.openxmlformats.org/officeDocument/2006/relationships/hyperlink" Target="https://www.wholefoodsmarket.com/product/365-by-whole-foods-market-organic-ground-mustard-seed-169-oz" TargetMode="External" Id="rId1512" /><Relationship Type="http://schemas.openxmlformats.org/officeDocument/2006/relationships/hyperlink" Target="https://www.wholefoodsmarket.com/product/365-by-whole-foods-market-organic-ground-mustard-seed-169-oz" TargetMode="External" Id="rId1513" /><Relationship Type="http://schemas.openxmlformats.org/officeDocument/2006/relationships/hyperlink" Target="https://www.wholefoodsmarket.com/product/365-by-whole-foods-market-organic-ground-mustard-seed-169-oz" TargetMode="External" Id="rId1514" /><Relationship Type="http://schemas.openxmlformats.org/officeDocument/2006/relationships/hyperlink" Target="https://www.wholefoodsmarket.com/product/365-by-whole-foods-market-organic-ground-mustard-seed-169-oz" TargetMode="External" Id="rId1515" /><Relationship Type="http://schemas.openxmlformats.org/officeDocument/2006/relationships/hyperlink" Target="https://www.wholefoodsmarket.com/product/365-by-whole-foods-market-organic-ground-mustard-seed-169-oz" TargetMode="External" Id="rId1516" /><Relationship Type="http://schemas.openxmlformats.org/officeDocument/2006/relationships/hyperlink" Target="https://www.wholefoodsmarket.com/product/365-by-whole-foods-market-organic-ground-mustard-seed-169-oz" TargetMode="External" Id="rId1517" /><Relationship Type="http://schemas.openxmlformats.org/officeDocument/2006/relationships/hyperlink" Target="https://www.wholefoodsmarket.com/product/365-by-whole-foods-market-organic-ground-mustard-seed-169-oz" TargetMode="External" Id="rId1518" /><Relationship Type="http://schemas.openxmlformats.org/officeDocument/2006/relationships/hyperlink" Target="https://www.wholefoodsmarket.com/product/365-by-whole-foods-market-organic-ground-mustard-seed-169-oz" TargetMode="External" Id="rId1519" /><Relationship Type="http://schemas.openxmlformats.org/officeDocument/2006/relationships/hyperlink" Target="https://www.wholefoodsmarket.com/product/365-by-whole-foods-market-organic-ground-mustard-seed-169-oz" TargetMode="External" Id="rId1520" /><Relationship Type="http://schemas.openxmlformats.org/officeDocument/2006/relationships/hyperlink" Target="https://www.wholefoodsmarket.com/product/365-by-whole-foods-market-organic-ground-mustard-seed-169-oz" TargetMode="External" Id="rId1521" /><Relationship Type="http://schemas.openxmlformats.org/officeDocument/2006/relationships/hyperlink" Target="https://www.wholefoodsmarket.com/product/365-by-whole-foods-market-organic-ground-mustard-seed-169-oz" TargetMode="External" Id="rId1522" /><Relationship Type="http://schemas.openxmlformats.org/officeDocument/2006/relationships/hyperlink" Target="https://www.wholefoodsmarket.com/product/365-by-whole-foods-market-organic-ground-mustard-seed-169-oz" TargetMode="External" Id="rId1523" /><Relationship Type="http://schemas.openxmlformats.org/officeDocument/2006/relationships/hyperlink" Target="https://www.wholefoodsmarket.com/product/365-by-whole-foods-market-organic-ground-mustard-seed-169-oz" TargetMode="External" Id="rId1524" /><Relationship Type="http://schemas.openxmlformats.org/officeDocument/2006/relationships/hyperlink" Target="https://www.wholefoodsmarket.com/product/365-by-whole-foods-market-organic-ground-mustard-seed-169-oz" TargetMode="External" Id="rId1525" /><Relationship Type="http://schemas.openxmlformats.org/officeDocument/2006/relationships/hyperlink" Target="https://www.wholefoodsmarket.com/product/365-by-whole-foods-market-organic-ground-mustard-seed-169-oz" TargetMode="External" Id="rId1526" /><Relationship Type="http://schemas.openxmlformats.org/officeDocument/2006/relationships/hyperlink" Target="https://www.wholefoodsmarket.com/product/365-by-whole-foods-market-organic-ground-mustard-seed-169-oz" TargetMode="External" Id="rId1527" /><Relationship Type="http://schemas.openxmlformats.org/officeDocument/2006/relationships/hyperlink" Target="https://www.wholefoodsmarket.com/product/365-by-whole-foods-market-organic-ground-mustard-seed-169-oz" TargetMode="External" Id="rId1528" /><Relationship Type="http://schemas.openxmlformats.org/officeDocument/2006/relationships/hyperlink" Target="https://www.wholefoodsmarket.com/product/365-by-whole-foods-market-organic-ground-mustard-seed-169-oz" TargetMode="External" Id="rId1529" /><Relationship Type="http://schemas.openxmlformats.org/officeDocument/2006/relationships/hyperlink" Target="https://www.wholefoodsmarket.com/product/365-by-whole-foods-market-organic-ground-mustard-seed-169-oz" TargetMode="External" Id="rId1530" /><Relationship Type="http://schemas.openxmlformats.org/officeDocument/2006/relationships/hyperlink" Target="https://www.wholefoodsmarket.com/product/365-by-whole-foods-market-organic-ground-mustard-seed-169-oz" TargetMode="External" Id="rId1531" /><Relationship Type="http://schemas.openxmlformats.org/officeDocument/2006/relationships/hyperlink" Target="https://www.wholefoodsmarket.com/product/365-by-whole-foods-market-organic-ground-mustard-seed-169-oz" TargetMode="External" Id="rId1532" /><Relationship Type="http://schemas.openxmlformats.org/officeDocument/2006/relationships/hyperlink" Target="https://www.wholefoodsmarket.com/product/365-by-whole-foods-market-organic-ground-mustard-seed-169-oz" TargetMode="External" Id="rId1533" /><Relationship Type="http://schemas.openxmlformats.org/officeDocument/2006/relationships/hyperlink" Target="https://www.wholefoodsmarket.com/product/365-by-whole-foods-market-organic-ground-mustard-seed-169-oz" TargetMode="External" Id="rId1534" /><Relationship Type="http://schemas.openxmlformats.org/officeDocument/2006/relationships/hyperlink" Target="https://www.wholefoodsmarket.com/product/365-by-whole-foods-market-organic-ground-mustard-seed-169-oz" TargetMode="External" Id="rId1535" /><Relationship Type="http://schemas.openxmlformats.org/officeDocument/2006/relationships/hyperlink" Target="https://www.wholefoodsmarket.com/product/365-by-whole-foods-market-organic-ground-mustard-seed-169-oz" TargetMode="External" Id="rId1536" /><Relationship Type="http://schemas.openxmlformats.org/officeDocument/2006/relationships/hyperlink" Target="https://www.wholefoodsmarket.com/product/365-by-whole-foods-market-organic-ground-mustard-seed-169-oz" TargetMode="External" Id="rId1537" /><Relationship Type="http://schemas.openxmlformats.org/officeDocument/2006/relationships/hyperlink" Target="https://www.wholefoodsmarket.com/product/365-by-whole-foods-market-organic-ground-mustard-seed-169-oz" TargetMode="External" Id="rId1538" /><Relationship Type="http://schemas.openxmlformats.org/officeDocument/2006/relationships/hyperlink" Target="https://www.wholefoodsmarket.com/product/365-by-whole-foods-market-organic-ground-mustard-seed-169-oz" TargetMode="External" Id="rId1539" /><Relationship Type="http://schemas.openxmlformats.org/officeDocument/2006/relationships/hyperlink" Target="https://www.wholefoodsmarket.com/product/365-by-whole-foods-market-organic-ground-mustard-seed-169-oz" TargetMode="External" Id="rId1540" /><Relationship Type="http://schemas.openxmlformats.org/officeDocument/2006/relationships/hyperlink" Target="https://www.wholefoodsmarket.com/product/365-by-whole-foods-market-organic-ground-mustard-seed-169-oz" TargetMode="External" Id="rId1541" /><Relationship Type="http://schemas.openxmlformats.org/officeDocument/2006/relationships/hyperlink" Target="https://www.wholefoodsmarket.com/product/365-by-whole-foods-market-organic-ground-mustard-seed-169-oz" TargetMode="External" Id="rId1542" /><Relationship Type="http://schemas.openxmlformats.org/officeDocument/2006/relationships/hyperlink" Target="https://www.wholefoodsmarket.com/product/365-by-whole-foods-market-organic-ground-mustard-seed-169-oz" TargetMode="External" Id="rId1543" /><Relationship Type="http://schemas.openxmlformats.org/officeDocument/2006/relationships/hyperlink" Target="https://www.wholefoodsmarket.com/product/365-by-whole-foods-market-organic-ground-mustard-seed-169-oz" TargetMode="External" Id="rId1544" /><Relationship Type="http://schemas.openxmlformats.org/officeDocument/2006/relationships/hyperlink" Target="https://www.wholefoodsmarket.com/product/365-by-whole-foods-market-organic-ground-mustard-seed-169-oz" TargetMode="External" Id="rId1545" /><Relationship Type="http://schemas.openxmlformats.org/officeDocument/2006/relationships/hyperlink" Target="https://www.wholefoodsmarket.com/product/365-by-whole-foods-market-organic-ground-mustard-seed-169-oz" TargetMode="External" Id="rId1546" /><Relationship Type="http://schemas.openxmlformats.org/officeDocument/2006/relationships/hyperlink" Target="https://www.wholefoodsmarket.com/product/365-by-whole-foods-market-organic-ground-mustard-seed-169-oz" TargetMode="External" Id="rId1547" /><Relationship Type="http://schemas.openxmlformats.org/officeDocument/2006/relationships/hyperlink" Target="https://www.wholefoodsmarket.com/product/365-by-whole-foods-market-organic-ground-mustard-seed-169-oz" TargetMode="External" Id="rId1548" /><Relationship Type="http://schemas.openxmlformats.org/officeDocument/2006/relationships/hyperlink" Target="https://www.wholefoodsmarket.com/product/365-by-whole-foods-market-organic-ground-mustard-seed-169-oz" TargetMode="External" Id="rId1549" /><Relationship Type="http://schemas.openxmlformats.org/officeDocument/2006/relationships/hyperlink" Target="https://www.wholefoodsmarket.com/product/365-by-whole-foods-market-organic-ground-mustard-seed-169-oz" TargetMode="External" Id="rId1550" /><Relationship Type="http://schemas.openxmlformats.org/officeDocument/2006/relationships/hyperlink" Target="https://www.wholefoodsmarket.com/product/365-by-whole-foods-market-organic-ground-mustard-seed-169-oz" TargetMode="External" Id="rId1551" /><Relationship Type="http://schemas.openxmlformats.org/officeDocument/2006/relationships/hyperlink" Target="https://www.wholefoodsmarket.com/product/365-by-whole-foods-market-organic-ground-mustard-seed-169-oz" TargetMode="External" Id="rId1552" /><Relationship Type="http://schemas.openxmlformats.org/officeDocument/2006/relationships/hyperlink" Target="https://www.wholefoodsmarket.com/product/365-by-whole-foods-market-organic-ground-mustard-seed-169-oz" TargetMode="External" Id="rId1553" /><Relationship Type="http://schemas.openxmlformats.org/officeDocument/2006/relationships/hyperlink" Target="https://www.wholefoodsmarket.com/product/365-by-whole-foods-market-organic-ground-mustard-seed-169-oz" TargetMode="External" Id="rId1554" /><Relationship Type="http://schemas.openxmlformats.org/officeDocument/2006/relationships/hyperlink" Target="https://www.wholefoodsmarket.com/product/365-by-whole-foods-market-organic-ground-mustard-seed-169-oz" TargetMode="External" Id="rId1555" /><Relationship Type="http://schemas.openxmlformats.org/officeDocument/2006/relationships/hyperlink" Target="https://www.wholefoodsmarket.com/product/365-by-whole-foods-market-organic-ground-mustard-seed-169-oz" TargetMode="External" Id="rId1556" /><Relationship Type="http://schemas.openxmlformats.org/officeDocument/2006/relationships/hyperlink" Target="https://www.wholefoodsmarket.com/product/365-by-whole-foods-market-organic-ground-mustard-seed-169-oz" TargetMode="External" Id="rId1557" /><Relationship Type="http://schemas.openxmlformats.org/officeDocument/2006/relationships/hyperlink" Target="https://www.wholefoodsmarket.com/product/365-by-whole-foods-market-organic-ground-mustard-seed-169-oz" TargetMode="External" Id="rId1558" /><Relationship Type="http://schemas.openxmlformats.org/officeDocument/2006/relationships/hyperlink" Target="https://www.wholefoodsmarket.com/product/365-by-whole-foods-market-organic-ground-mustard-seed-169-oz" TargetMode="External" Id="rId1559" /><Relationship Type="http://schemas.openxmlformats.org/officeDocument/2006/relationships/hyperlink" Target="https://www.wholefoodsmarket.com/product/365-by-whole-foods-market-organic-ground-mustard-seed-169-oz" TargetMode="External" Id="rId1560" /><Relationship Type="http://schemas.openxmlformats.org/officeDocument/2006/relationships/hyperlink" Target="https://www.wholefoodsmarket.com/product/365-by-whole-foods-market-organic-ground-mustard-seed-169-oz" TargetMode="External" Id="rId1561" /><Relationship Type="http://schemas.openxmlformats.org/officeDocument/2006/relationships/hyperlink" Target="https://www.wholefoodsmarket.com/product/365-by-whole-foods-market-organic-ground-mustard-seed-169-oz" TargetMode="External" Id="rId1562" /><Relationship Type="http://schemas.openxmlformats.org/officeDocument/2006/relationships/hyperlink" Target="https://www.wholefoodsmarket.com/product/365-by-whole-foods-market-organic-ground-mustard-seed-169-oz" TargetMode="External" Id="rId1563" /><Relationship Type="http://schemas.openxmlformats.org/officeDocument/2006/relationships/hyperlink" Target="https://www.wholefoodsmarket.com/product/365-by-whole-foods-market-organic-ground-mustard-seed-169-oz" TargetMode="External" Id="rId1564" /><Relationship Type="http://schemas.openxmlformats.org/officeDocument/2006/relationships/hyperlink" Target="https://www.wholefoodsmarket.com/product/365-by-whole-foods-market-organic-ground-mustard-seed-169-oz" TargetMode="External" Id="rId1565" /><Relationship Type="http://schemas.openxmlformats.org/officeDocument/2006/relationships/hyperlink" Target="https://www.wholefoodsmarket.com/product/365-by-whole-foods-market-organic-ground-mustard-seed-169-oz" TargetMode="External" Id="rId1566" /><Relationship Type="http://schemas.openxmlformats.org/officeDocument/2006/relationships/hyperlink" Target="https://www.wholefoodsmarket.com/product/365-by-whole-foods-market-organic-ground-mustard-seed-169-oz" TargetMode="External" Id="rId1567" /><Relationship Type="http://schemas.openxmlformats.org/officeDocument/2006/relationships/hyperlink" Target="https://www.wholefoodsmarket.com/product/365-by-whole-foods-market-organic-ground-mustard-seed-169-oz" TargetMode="External" Id="rId1568" /><Relationship Type="http://schemas.openxmlformats.org/officeDocument/2006/relationships/hyperlink" Target="https://www.wholefoodsmarket.com/product/365-by-whole-foods-market-organic-ground-mustard-seed-169-oz" TargetMode="External" Id="rId1569" /><Relationship Type="http://schemas.openxmlformats.org/officeDocument/2006/relationships/hyperlink" Target="https://www.wholefoodsmarket.com/product/365-by-whole-foods-market-organic-ground-mustard-seed-169-oz" TargetMode="External" Id="rId1570" /><Relationship Type="http://schemas.openxmlformats.org/officeDocument/2006/relationships/hyperlink" Target="https://www.wholefoodsmarket.com/product/365-by-whole-foods-market-organic-ground-mustard-seed-169-oz" TargetMode="External" Id="rId1571" /><Relationship Type="http://schemas.openxmlformats.org/officeDocument/2006/relationships/hyperlink" Target="https://www.wholefoodsmarket.com/product/365-by-whole-foods-market-organic-ground-mustard-seed-169-oz" TargetMode="External" Id="rId1572" /><Relationship Type="http://schemas.openxmlformats.org/officeDocument/2006/relationships/hyperlink" Target="https://www.wholefoodsmarket.com/product/365-by-whole-foods-market-organic-ground-mustard-seed-169-oz" TargetMode="External" Id="rId1573" /><Relationship Type="http://schemas.openxmlformats.org/officeDocument/2006/relationships/hyperlink" Target="https://www.wholefoodsmarket.com/product/365-by-whole-foods-market-organic-ground-mustard-seed-169-oz" TargetMode="External" Id="rId1574" /><Relationship Type="http://schemas.openxmlformats.org/officeDocument/2006/relationships/hyperlink" Target="https://www.wholefoodsmarket.com/product/365-by-whole-foods-market-organic-ground-mustard-seed-169-oz" TargetMode="External" Id="rId1575" /><Relationship Type="http://schemas.openxmlformats.org/officeDocument/2006/relationships/hyperlink" Target="https://www.wholefoodsmarket.com/product/365-by-whole-foods-market-organic-ground-mustard-seed-169-oz" TargetMode="External" Id="rId1576" /><Relationship Type="http://schemas.openxmlformats.org/officeDocument/2006/relationships/hyperlink" Target="https://www.wholefoodsmarket.com/product/365-by-whole-foods-market-organic-ground-mustard-seed-169-oz" TargetMode="External" Id="rId1577" /><Relationship Type="http://schemas.openxmlformats.org/officeDocument/2006/relationships/hyperlink" Target="https://www.transparentlabs.com/products/strengthseries-cluster-dextrin" TargetMode="External" Id="rId1578" /><Relationship Type="http://schemas.openxmlformats.org/officeDocument/2006/relationships/hyperlink" Target="https://www.transparentlabs.com/products/strengthseries-cluster-dextrin" TargetMode="External" Id="rId1579" /><Relationship Type="http://schemas.openxmlformats.org/officeDocument/2006/relationships/hyperlink" Target="https://www.transparentlabs.com/products/strengthseries-cluster-dextrin" TargetMode="External" Id="rId1580" /><Relationship Type="http://schemas.openxmlformats.org/officeDocument/2006/relationships/hyperlink" Target="https://www.transparentlabs.com/products/strengthseries-cluster-dextrin" TargetMode="External" Id="rId1581" /><Relationship Type="http://schemas.openxmlformats.org/officeDocument/2006/relationships/hyperlink" Target="https://www.transparentlabs.com/products/strengthseries-cluster-dextrin" TargetMode="External" Id="rId1582" /><Relationship Type="http://schemas.openxmlformats.org/officeDocument/2006/relationships/hyperlink" Target="https://www.transparentlabs.com/products/strengthseries-cluster-dextrin" TargetMode="External" Id="rId1583" /><Relationship Type="http://schemas.openxmlformats.org/officeDocument/2006/relationships/hyperlink" Target="https://www.transparentlabs.com/products/strengthseries-cluster-dextrin" TargetMode="External" Id="rId1584" /><Relationship Type="http://schemas.openxmlformats.org/officeDocument/2006/relationships/hyperlink" Target="https://www.transparentlabs.com/products/strengthseries-cluster-dextrin" TargetMode="External" Id="rId1585" /><Relationship Type="http://schemas.openxmlformats.org/officeDocument/2006/relationships/hyperlink" Target="https://www.transparentlabs.com/products/strengthseries-cluster-dextrin" TargetMode="External" Id="rId1586" /><Relationship Type="http://schemas.openxmlformats.org/officeDocument/2006/relationships/hyperlink" Target="https://www.transparentlabs.com/products/strengthseries-cluster-dextrin" TargetMode="External" Id="rId1587" /><Relationship Type="http://schemas.openxmlformats.org/officeDocument/2006/relationships/hyperlink" Target="https://www.transparentlabs.com/products/strengthseries-cluster-dextrin" TargetMode="External" Id="rId1588" /><Relationship Type="http://schemas.openxmlformats.org/officeDocument/2006/relationships/hyperlink" Target="https://www.transparentlabs.com/products/strengthseries-cluster-dextrin" TargetMode="External" Id="rId1589" /><Relationship Type="http://schemas.openxmlformats.org/officeDocument/2006/relationships/hyperlink" Target="https://www.transparentlabs.com/products/strengthseries-cluster-dextrin" TargetMode="External" Id="rId1590" /><Relationship Type="http://schemas.openxmlformats.org/officeDocument/2006/relationships/hyperlink" Target="https://www.transparentlabs.com/products/strengthseries-cluster-dextrin" TargetMode="External" Id="rId1591" /><Relationship Type="http://schemas.openxmlformats.org/officeDocument/2006/relationships/hyperlink" Target="https://www.transparentlabs.com/products/strengthseries-cluster-dextrin" TargetMode="External" Id="rId1592" /><Relationship Type="http://schemas.openxmlformats.org/officeDocument/2006/relationships/hyperlink" Target="https://www.transparentlabs.com/products/strengthseries-cluster-dextrin" TargetMode="External" Id="rId1593" /><Relationship Type="http://schemas.openxmlformats.org/officeDocument/2006/relationships/hyperlink" Target="https://www.transparentlabs.com/products/strengthseries-cluster-dextrin" TargetMode="External" Id="rId1594" /><Relationship Type="http://schemas.openxmlformats.org/officeDocument/2006/relationships/hyperlink" Target="https://www.transparentlabs.com/products/strengthseries-cluster-dextrin" TargetMode="External" Id="rId1595" /><Relationship Type="http://schemas.openxmlformats.org/officeDocument/2006/relationships/hyperlink" Target="https://www.transparentlabs.com/products/strengthseries-cluster-dextrin" TargetMode="External" Id="rId1596" /><Relationship Type="http://schemas.openxmlformats.org/officeDocument/2006/relationships/hyperlink" Target="https://www.transparentlabs.com/products/strengthseries-cluster-dextrin" TargetMode="External" Id="rId1597" /><Relationship Type="http://schemas.openxmlformats.org/officeDocument/2006/relationships/hyperlink" Target="https://www.transparentlabs.com/products/strengthseries-cluster-dextrin" TargetMode="External" Id="rId1598" /><Relationship Type="http://schemas.openxmlformats.org/officeDocument/2006/relationships/hyperlink" Target="https://www.transparentlabs.com/products/strengthseries-cluster-dextrin" TargetMode="External" Id="rId1599" /><Relationship Type="http://schemas.openxmlformats.org/officeDocument/2006/relationships/hyperlink" Target="https://www.transparentlabs.com/products/strengthseries-cluster-dextrin" TargetMode="External" Id="rId1600" /><Relationship Type="http://schemas.openxmlformats.org/officeDocument/2006/relationships/hyperlink" Target="https://www.transparentlabs.com/products/strengthseries-cluster-dextrin" TargetMode="External" Id="rId1601" /><Relationship Type="http://schemas.openxmlformats.org/officeDocument/2006/relationships/hyperlink" Target="https://www.transparentlabs.com/products/strengthseries-cluster-dextrin" TargetMode="External" Id="rId1602" /><Relationship Type="http://schemas.openxmlformats.org/officeDocument/2006/relationships/hyperlink" Target="https://www.transparentlabs.com/products/strengthseries-cluster-dextrin" TargetMode="External" Id="rId1603" /><Relationship Type="http://schemas.openxmlformats.org/officeDocument/2006/relationships/hyperlink" Target="https://www.transparentlabs.com/products/strengthseries-cluster-dextrin" TargetMode="External" Id="rId1604" /><Relationship Type="http://schemas.openxmlformats.org/officeDocument/2006/relationships/hyperlink" Target="https://www.transparentlabs.com/products/strengthseries-cluster-dextrin" TargetMode="External" Id="rId1605" /><Relationship Type="http://schemas.openxmlformats.org/officeDocument/2006/relationships/hyperlink" Target="https://www.transparentlabs.com/products/strengthseries-cluster-dextrin" TargetMode="External" Id="rId1606" /><Relationship Type="http://schemas.openxmlformats.org/officeDocument/2006/relationships/hyperlink" Target="https://www.transparentlabs.com/products/strengthseries-cluster-dextrin" TargetMode="External" Id="rId1607" /><Relationship Type="http://schemas.openxmlformats.org/officeDocument/2006/relationships/hyperlink" Target="https://www.transparentlabs.com/products/strengthseries-cluster-dextrin" TargetMode="External" Id="rId1608" /><Relationship Type="http://schemas.openxmlformats.org/officeDocument/2006/relationships/hyperlink" Target="https://www.transparentlabs.com/products/strengthseries-cluster-dextrin" TargetMode="External" Id="rId1609" /><Relationship Type="http://schemas.openxmlformats.org/officeDocument/2006/relationships/hyperlink" Target="https://www.transparentlabs.com/products/strengthseries-cluster-dextrin" TargetMode="External" Id="rId1610" /><Relationship Type="http://schemas.openxmlformats.org/officeDocument/2006/relationships/hyperlink" Target="https://www.transparentlabs.com/products/strengthseries-cluster-dextrin" TargetMode="External" Id="rId1611" /><Relationship Type="http://schemas.openxmlformats.org/officeDocument/2006/relationships/hyperlink" Target="https://www.transparentlabs.com/products/strengthseries-cluster-dextrin" TargetMode="External" Id="rId1612" /><Relationship Type="http://schemas.openxmlformats.org/officeDocument/2006/relationships/hyperlink" Target="https://www.transparentlabs.com/products/strengthseries-cluster-dextrin" TargetMode="External" Id="rId1613" /><Relationship Type="http://schemas.openxmlformats.org/officeDocument/2006/relationships/hyperlink" Target="https://www.transparentlabs.com/products/strengthseries-cluster-dextrin" TargetMode="External" Id="rId1614" /><Relationship Type="http://schemas.openxmlformats.org/officeDocument/2006/relationships/hyperlink" Target="https://www.transparentlabs.com/products/strengthseries-cluster-dextrin" TargetMode="External" Id="rId1615" /><Relationship Type="http://schemas.openxmlformats.org/officeDocument/2006/relationships/hyperlink" Target="https://www.transparentlabs.com/products/strengthseries-cluster-dextrin" TargetMode="External" Id="rId1616" /><Relationship Type="http://schemas.openxmlformats.org/officeDocument/2006/relationships/hyperlink" Target="https://www.transparentlabs.com/products/strengthseries-cluster-dextrin" TargetMode="External" Id="rId1617" /><Relationship Type="http://schemas.openxmlformats.org/officeDocument/2006/relationships/hyperlink" Target="https://www.transparentlabs.com/products/strengthseries-cluster-dextrin" TargetMode="External" Id="rId1618" /><Relationship Type="http://schemas.openxmlformats.org/officeDocument/2006/relationships/hyperlink" Target="https://www.transparentlabs.com/products/strengthseries-cluster-dextrin" TargetMode="External" Id="rId1619" /><Relationship Type="http://schemas.openxmlformats.org/officeDocument/2006/relationships/hyperlink" Target="https://www.transparentlabs.com/products/strengthseries-cluster-dextrin" TargetMode="External" Id="rId1620" /><Relationship Type="http://schemas.openxmlformats.org/officeDocument/2006/relationships/hyperlink" Target="https://www.transparentlabs.com/products/strengthseries-cluster-dextrin" TargetMode="External" Id="rId1621" /><Relationship Type="http://schemas.openxmlformats.org/officeDocument/2006/relationships/hyperlink" Target="https://www.transparentlabs.com/products/strengthseries-cluster-dextrin" TargetMode="External" Id="rId1622" /><Relationship Type="http://schemas.openxmlformats.org/officeDocument/2006/relationships/hyperlink" Target="https://www.transparentlabs.com/products/strengthseries-cluster-dextrin" TargetMode="External" Id="rId1623" /><Relationship Type="http://schemas.openxmlformats.org/officeDocument/2006/relationships/hyperlink" Target="https://www.transparentlabs.com/products/strengthseries-cluster-dextrin" TargetMode="External" Id="rId1624" /><Relationship Type="http://schemas.openxmlformats.org/officeDocument/2006/relationships/hyperlink" Target="https://www.transparentlabs.com/products/strengthseries-cluster-dextrin" TargetMode="External" Id="rId1625" /><Relationship Type="http://schemas.openxmlformats.org/officeDocument/2006/relationships/hyperlink" Target="https://www.transparentlabs.com/products/strengthseries-cluster-dextrin" TargetMode="External" Id="rId1626" /><Relationship Type="http://schemas.openxmlformats.org/officeDocument/2006/relationships/hyperlink" Target="https://www.transparentlabs.com/products/strengthseries-cluster-dextrin" TargetMode="External" Id="rId1627" /><Relationship Type="http://schemas.openxmlformats.org/officeDocument/2006/relationships/hyperlink" Target="https://www.transparentlabs.com/products/strengthseries-cluster-dextrin" TargetMode="External" Id="rId1628" /><Relationship Type="http://schemas.openxmlformats.org/officeDocument/2006/relationships/hyperlink" Target="https://www.transparentlabs.com/products/strengthseries-cluster-dextrin" TargetMode="External" Id="rId1629" /><Relationship Type="http://schemas.openxmlformats.org/officeDocument/2006/relationships/hyperlink" Target="https://www.transparentlabs.com/products/strengthseries-cluster-dextrin" TargetMode="External" Id="rId1630" /><Relationship Type="http://schemas.openxmlformats.org/officeDocument/2006/relationships/hyperlink" Target="https://www.transparentlabs.com/products/strengthseries-cluster-dextrin" TargetMode="External" Id="rId1631" /><Relationship Type="http://schemas.openxmlformats.org/officeDocument/2006/relationships/hyperlink" Target="https://www.transparentlabs.com/products/strengthseries-cluster-dextrin" TargetMode="External" Id="rId1632" /><Relationship Type="http://schemas.openxmlformats.org/officeDocument/2006/relationships/hyperlink" Target="https://www.transparentlabs.com/products/strengthseries-cluster-dextrin" TargetMode="External" Id="rId1633" /><Relationship Type="http://schemas.openxmlformats.org/officeDocument/2006/relationships/hyperlink" Target="https://www.transparentlabs.com/products/strengthseries-cluster-dextrin" TargetMode="External" Id="rId1634" /><Relationship Type="http://schemas.openxmlformats.org/officeDocument/2006/relationships/hyperlink" Target="https://www.transparentlabs.com/products/strengthseries-cluster-dextrin" TargetMode="External" Id="rId1635" /><Relationship Type="http://schemas.openxmlformats.org/officeDocument/2006/relationships/hyperlink" Target="https://www.transparentlabs.com/products/strengthseries-cluster-dextrin" TargetMode="External" Id="rId1636" /><Relationship Type="http://schemas.openxmlformats.org/officeDocument/2006/relationships/hyperlink" Target="https://www.transparentlabs.com/products/strengthseries-cluster-dextrin" TargetMode="External" Id="rId1637" /><Relationship Type="http://schemas.openxmlformats.org/officeDocument/2006/relationships/hyperlink" Target="https://www.transparentlabs.com/products/strengthseries-cluster-dextrin" TargetMode="External" Id="rId1638" /><Relationship Type="http://schemas.openxmlformats.org/officeDocument/2006/relationships/hyperlink" Target="https://www.transparentlabs.com/products/strengthseries-cluster-dextrin" TargetMode="External" Id="rId1639" /><Relationship Type="http://schemas.openxmlformats.org/officeDocument/2006/relationships/hyperlink" Target="https://www.transparentlabs.com/products/strengthseries-cluster-dextrin" TargetMode="External" Id="rId1640" /><Relationship Type="http://schemas.openxmlformats.org/officeDocument/2006/relationships/hyperlink" Target="https://www.transparentlabs.com/products/strengthseries-cluster-dextrin" TargetMode="External" Id="rId1641" /><Relationship Type="http://schemas.openxmlformats.org/officeDocument/2006/relationships/hyperlink" Target="https://www.transparentlabs.com/products/strengthseries-cluster-dextrin" TargetMode="External" Id="rId1642" /><Relationship Type="http://schemas.openxmlformats.org/officeDocument/2006/relationships/hyperlink" Target="https://www.transparentlabs.com/products/strengthseries-cluster-dextrin" TargetMode="External" Id="rId1643" /><Relationship Type="http://schemas.openxmlformats.org/officeDocument/2006/relationships/hyperlink" Target="https://www.transparentlabs.com/products/strengthseries-cluster-dextrin" TargetMode="External" Id="rId1644" /><Relationship Type="http://schemas.openxmlformats.org/officeDocument/2006/relationships/hyperlink" Target="https://www.transparentlabs.com/products/strengthseries-cluster-dextrin" TargetMode="External" Id="rId1645" /><Relationship Type="http://schemas.openxmlformats.org/officeDocument/2006/relationships/hyperlink" Target="https://www.transparentlabs.com/products/strengthseries-cluster-dextrin" TargetMode="External" Id="rId1646" /><Relationship Type="http://schemas.openxmlformats.org/officeDocument/2006/relationships/hyperlink" Target="https://www.transparentlabs.com/products/strengthseries-cluster-dextrin" TargetMode="External" Id="rId1647" /><Relationship Type="http://schemas.openxmlformats.org/officeDocument/2006/relationships/hyperlink" Target="https://www.transparentlabs.com/products/strengthseries-cluster-dextrin" TargetMode="External" Id="rId1648" /><Relationship Type="http://schemas.openxmlformats.org/officeDocument/2006/relationships/hyperlink" Target="https://www.transparentlabs.com/products/strengthseries-cluster-dextrin" TargetMode="External" Id="rId1649" /><Relationship Type="http://schemas.openxmlformats.org/officeDocument/2006/relationships/hyperlink" Target="https://www.transparentlabs.com/products/strengthseries-cluster-dextrin" TargetMode="External" Id="rId1650" /><Relationship Type="http://schemas.openxmlformats.org/officeDocument/2006/relationships/hyperlink" Target="https://www.transparentlabs.com/products/strengthseries-cluster-dextrin" TargetMode="External" Id="rId1651" /><Relationship Type="http://schemas.openxmlformats.org/officeDocument/2006/relationships/hyperlink" Target="https://www.transparentlabs.com/products/strengthseries-cluster-dextrin" TargetMode="External" Id="rId1652" /><Relationship Type="http://schemas.openxmlformats.org/officeDocument/2006/relationships/hyperlink" Target="https://www.transparentlabs.com/products/strengthseries-cluster-dextrin" TargetMode="External" Id="rId1653" /><Relationship Type="http://schemas.openxmlformats.org/officeDocument/2006/relationships/hyperlink" Target="https://www.transparentlabs.com/products/strengthseries-cluster-dextrin" TargetMode="External" Id="rId1654" /><Relationship Type="http://schemas.openxmlformats.org/officeDocument/2006/relationships/hyperlink" Target="https://www.transparentlabs.com/products/strengthseries-cluster-dextrin" TargetMode="External" Id="rId1655" /><Relationship Type="http://schemas.openxmlformats.org/officeDocument/2006/relationships/hyperlink" Target="https://www.transparentlabs.com/products/strengthseries-cluster-dextrin" TargetMode="External" Id="rId1656" /><Relationship Type="http://schemas.openxmlformats.org/officeDocument/2006/relationships/hyperlink" Target="https://www.transparentlabs.com/products/strengthseries-cluster-dextrin" TargetMode="External" Id="rId1657" /><Relationship Type="http://schemas.openxmlformats.org/officeDocument/2006/relationships/hyperlink" Target="https://www.transparentlabs.com/products/strengthseries-cluster-dextrin" TargetMode="External" Id="rId1658" /><Relationship Type="http://schemas.openxmlformats.org/officeDocument/2006/relationships/hyperlink" Target="https://www.transparentlabs.com/products/strengthseries-cluster-dextrin" TargetMode="External" Id="rId1659" /><Relationship Type="http://schemas.openxmlformats.org/officeDocument/2006/relationships/hyperlink" Target="https://www.transparentlabs.com/products/strengthseries-cluster-dextrin" TargetMode="External" Id="rId1660" /><Relationship Type="http://schemas.openxmlformats.org/officeDocument/2006/relationships/hyperlink" Target="https://www.agnroots.com/products/grass-fed-whey-protein-isolate" TargetMode="External" Id="rId1661" /><Relationship Type="http://schemas.openxmlformats.org/officeDocument/2006/relationships/hyperlink" Target="https://www.agnroots.com/products/grass-fed-whey-protein-isolate" TargetMode="External" Id="rId1662" /><Relationship Type="http://schemas.openxmlformats.org/officeDocument/2006/relationships/hyperlink" Target="https://www.agnroots.com/products/grass-fed-whey-protein-isolate" TargetMode="External" Id="rId1663" /><Relationship Type="http://schemas.openxmlformats.org/officeDocument/2006/relationships/hyperlink" Target="https://www.agnroots.com/products/grass-fed-whey-protein-isolate" TargetMode="External" Id="rId1664" /><Relationship Type="http://schemas.openxmlformats.org/officeDocument/2006/relationships/hyperlink" Target="https://www.agnroots.com/products/grass-fed-whey-protein-isolate" TargetMode="External" Id="rId1665" /><Relationship Type="http://schemas.openxmlformats.org/officeDocument/2006/relationships/hyperlink" Target="https://www.agnroots.com/products/grass-fed-whey-protein-isolate" TargetMode="External" Id="rId1666" /><Relationship Type="http://schemas.openxmlformats.org/officeDocument/2006/relationships/hyperlink" Target="https://www.agnroots.com/products/grass-fed-whey-protein-isolate" TargetMode="External" Id="rId1667" /><Relationship Type="http://schemas.openxmlformats.org/officeDocument/2006/relationships/hyperlink" Target="https://www.agnroots.com/products/grass-fed-whey-protein-isolate" TargetMode="External" Id="rId1668" /><Relationship Type="http://schemas.openxmlformats.org/officeDocument/2006/relationships/hyperlink" Target="https://www.agnroots.com/products/grass-fed-whey-protein-isolate" TargetMode="External" Id="rId1669" /><Relationship Type="http://schemas.openxmlformats.org/officeDocument/2006/relationships/hyperlink" Target="https://www.agnroots.com/products/grass-fed-whey-protein-isolate" TargetMode="External" Id="rId1670" /><Relationship Type="http://schemas.openxmlformats.org/officeDocument/2006/relationships/hyperlink" Target="https://www.agnroots.com/products/grass-fed-whey-protein-isolate" TargetMode="External" Id="rId1671" /><Relationship Type="http://schemas.openxmlformats.org/officeDocument/2006/relationships/hyperlink" Target="https://www.agnroots.com/products/grass-fed-whey-protein-isolate" TargetMode="External" Id="rId1672" /><Relationship Type="http://schemas.openxmlformats.org/officeDocument/2006/relationships/hyperlink" Target="https://www.agnroots.com/products/grass-fed-whey-protein-isolate" TargetMode="External" Id="rId1673" /><Relationship Type="http://schemas.openxmlformats.org/officeDocument/2006/relationships/hyperlink" Target="https://www.agnroots.com/products/grass-fed-whey-protein-isolate" TargetMode="External" Id="rId1674" /><Relationship Type="http://schemas.openxmlformats.org/officeDocument/2006/relationships/hyperlink" Target="https://www.agnroots.com/products/grass-fed-whey-protein-isolate" TargetMode="External" Id="rId1675" /><Relationship Type="http://schemas.openxmlformats.org/officeDocument/2006/relationships/hyperlink" Target="https://www.agnroots.com/products/grass-fed-whey-protein-isolate" TargetMode="External" Id="rId1676" /><Relationship Type="http://schemas.openxmlformats.org/officeDocument/2006/relationships/hyperlink" Target="https://www.agnroots.com/products/grass-fed-whey-protein-isolate" TargetMode="External" Id="rId1677" /><Relationship Type="http://schemas.openxmlformats.org/officeDocument/2006/relationships/hyperlink" Target="https://www.agnroots.com/products/grass-fed-whey-protein-isolate" TargetMode="External" Id="rId1678" /><Relationship Type="http://schemas.openxmlformats.org/officeDocument/2006/relationships/hyperlink" Target="https://www.agnroots.com/products/grass-fed-whey-protein-isolate" TargetMode="External" Id="rId1679" /><Relationship Type="http://schemas.openxmlformats.org/officeDocument/2006/relationships/hyperlink" Target="https://www.agnroots.com/products/grass-fed-whey-protein-isolate" TargetMode="External" Id="rId1680" /><Relationship Type="http://schemas.openxmlformats.org/officeDocument/2006/relationships/hyperlink" Target="https://www.agnroots.com/products/grass-fed-whey-protein-isolate" TargetMode="External" Id="rId1681" /><Relationship Type="http://schemas.openxmlformats.org/officeDocument/2006/relationships/hyperlink" Target="https://www.agnroots.com/products/grass-fed-whey-protein-isolate" TargetMode="External" Id="rId1682" /><Relationship Type="http://schemas.openxmlformats.org/officeDocument/2006/relationships/hyperlink" Target="https://www.agnroots.com/products/grass-fed-whey-protein-isolate" TargetMode="External" Id="rId1683" /><Relationship Type="http://schemas.openxmlformats.org/officeDocument/2006/relationships/hyperlink" Target="https://www.agnroots.com/products/grass-fed-whey-protein-isolate" TargetMode="External" Id="rId1684" /><Relationship Type="http://schemas.openxmlformats.org/officeDocument/2006/relationships/hyperlink" Target="https://www.agnroots.com/products/grass-fed-whey-protein-isolate" TargetMode="External" Id="rId1685" /><Relationship Type="http://schemas.openxmlformats.org/officeDocument/2006/relationships/hyperlink" Target="https://www.agnroots.com/products/grass-fed-whey-protein-isolate" TargetMode="External" Id="rId1686" /><Relationship Type="http://schemas.openxmlformats.org/officeDocument/2006/relationships/hyperlink" Target="https://www.agnroots.com/products/grass-fed-whey-protein-isolate" TargetMode="External" Id="rId1687" /><Relationship Type="http://schemas.openxmlformats.org/officeDocument/2006/relationships/hyperlink" Target="https://www.agnroots.com/products/grass-fed-whey-protein-isolate" TargetMode="External" Id="rId1688" /><Relationship Type="http://schemas.openxmlformats.org/officeDocument/2006/relationships/hyperlink" Target="https://www.agnroots.com/products/grass-fed-whey-protein-isolate" TargetMode="External" Id="rId1689" /><Relationship Type="http://schemas.openxmlformats.org/officeDocument/2006/relationships/hyperlink" Target="https://www.agnroots.com/products/grass-fed-whey-protein-isolate" TargetMode="External" Id="rId1690" /><Relationship Type="http://schemas.openxmlformats.org/officeDocument/2006/relationships/hyperlink" Target="https://www.agnroots.com/products/grass-fed-whey-protein-isolate" TargetMode="External" Id="rId1691" /><Relationship Type="http://schemas.openxmlformats.org/officeDocument/2006/relationships/hyperlink" Target="https://www.agnroots.com/products/grass-fed-whey-protein-isolate" TargetMode="External" Id="rId1692" /><Relationship Type="http://schemas.openxmlformats.org/officeDocument/2006/relationships/hyperlink" Target="https://www.agnroots.com/products/grass-fed-whey-protein-isolate" TargetMode="External" Id="rId1693" /><Relationship Type="http://schemas.openxmlformats.org/officeDocument/2006/relationships/hyperlink" Target="https://www.agnroots.com/products/grass-fed-whey-protein-isolate" TargetMode="External" Id="rId1694" /><Relationship Type="http://schemas.openxmlformats.org/officeDocument/2006/relationships/hyperlink" Target="https://www.agnroots.com/products/grass-fed-whey-protein-isolate" TargetMode="External" Id="rId1695" /><Relationship Type="http://schemas.openxmlformats.org/officeDocument/2006/relationships/hyperlink" Target="https://www.agnroots.com/products/grass-fed-whey-protein-isolate" TargetMode="External" Id="rId1696" /><Relationship Type="http://schemas.openxmlformats.org/officeDocument/2006/relationships/hyperlink" Target="https://www.agnroots.com/products/grass-fed-whey-protein-isolate" TargetMode="External" Id="rId1697" /><Relationship Type="http://schemas.openxmlformats.org/officeDocument/2006/relationships/hyperlink" Target="https://www.agnroots.com/products/grass-fed-whey-protein-isolate" TargetMode="External" Id="rId1698" /><Relationship Type="http://schemas.openxmlformats.org/officeDocument/2006/relationships/hyperlink" Target="https://www.agnroots.com/products/grass-fed-whey-protein-isolate" TargetMode="External" Id="rId1699" /><Relationship Type="http://schemas.openxmlformats.org/officeDocument/2006/relationships/hyperlink" Target="https://www.agnroots.com/products/grass-fed-whey-protein-isolate" TargetMode="External" Id="rId1700" /><Relationship Type="http://schemas.openxmlformats.org/officeDocument/2006/relationships/hyperlink" Target="https://www.agnroots.com/products/grass-fed-whey-protein-isolate" TargetMode="External" Id="rId1701" /><Relationship Type="http://schemas.openxmlformats.org/officeDocument/2006/relationships/hyperlink" Target="https://www.agnroots.com/products/grass-fed-whey-protein-isolate" TargetMode="External" Id="rId1702" /><Relationship Type="http://schemas.openxmlformats.org/officeDocument/2006/relationships/hyperlink" Target="https://www.agnroots.com/products/grass-fed-whey-protein-isolate" TargetMode="External" Id="rId1703" /><Relationship Type="http://schemas.openxmlformats.org/officeDocument/2006/relationships/hyperlink" Target="https://www.agnroots.com/products/grass-fed-whey-protein-isolate" TargetMode="External" Id="rId1704" /><Relationship Type="http://schemas.openxmlformats.org/officeDocument/2006/relationships/hyperlink" Target="https://www.agnroots.com/products/grass-fed-whey-protein-isolate" TargetMode="External" Id="rId1705" /><Relationship Type="http://schemas.openxmlformats.org/officeDocument/2006/relationships/hyperlink" Target="https://www.agnroots.com/products/grass-fed-whey-protein-isolate" TargetMode="External" Id="rId1706" /><Relationship Type="http://schemas.openxmlformats.org/officeDocument/2006/relationships/hyperlink" Target="https://www.agnroots.com/products/grass-fed-whey-protein-isolate" TargetMode="External" Id="rId1707" /><Relationship Type="http://schemas.openxmlformats.org/officeDocument/2006/relationships/hyperlink" Target="https://www.agnroots.com/products/grass-fed-whey-protein-isolate" TargetMode="External" Id="rId1708" /><Relationship Type="http://schemas.openxmlformats.org/officeDocument/2006/relationships/hyperlink" Target="https://www.agnroots.com/products/grass-fed-whey-protein-isolate" TargetMode="External" Id="rId1709" /><Relationship Type="http://schemas.openxmlformats.org/officeDocument/2006/relationships/hyperlink" Target="https://www.agnroots.com/products/grass-fed-whey-protein-isolate" TargetMode="External" Id="rId1710" /><Relationship Type="http://schemas.openxmlformats.org/officeDocument/2006/relationships/hyperlink" Target="https://www.agnroots.com/products/grass-fed-whey-protein-isolate" TargetMode="External" Id="rId1711" /><Relationship Type="http://schemas.openxmlformats.org/officeDocument/2006/relationships/hyperlink" Target="https://www.agnroots.com/products/grass-fed-whey-protein-isolate" TargetMode="External" Id="rId1712" /><Relationship Type="http://schemas.openxmlformats.org/officeDocument/2006/relationships/hyperlink" Target="https://www.agnroots.com/products/grass-fed-whey-protein-isolate" TargetMode="External" Id="rId1713" /><Relationship Type="http://schemas.openxmlformats.org/officeDocument/2006/relationships/hyperlink" Target="https://www.agnroots.com/products/grass-fed-whey-protein-isolate" TargetMode="External" Id="rId1714" /><Relationship Type="http://schemas.openxmlformats.org/officeDocument/2006/relationships/hyperlink" Target="https://www.agnroots.com/products/grass-fed-whey-protein-isolate" TargetMode="External" Id="rId1715" /><Relationship Type="http://schemas.openxmlformats.org/officeDocument/2006/relationships/hyperlink" Target="https://www.agnroots.com/products/grass-fed-whey-protein-isolate" TargetMode="External" Id="rId1716" /><Relationship Type="http://schemas.openxmlformats.org/officeDocument/2006/relationships/hyperlink" Target="https://www.agnroots.com/products/grass-fed-whey-protein-isolate" TargetMode="External" Id="rId1717" /><Relationship Type="http://schemas.openxmlformats.org/officeDocument/2006/relationships/hyperlink" Target="https://www.agnroots.com/products/grass-fed-whey-protein-isolate" TargetMode="External" Id="rId1718" /><Relationship Type="http://schemas.openxmlformats.org/officeDocument/2006/relationships/hyperlink" Target="https://www.agnroots.com/products/grass-fed-whey-protein-isolate" TargetMode="External" Id="rId1719" /><Relationship Type="http://schemas.openxmlformats.org/officeDocument/2006/relationships/hyperlink" Target="https://www.agnroots.com/products/grass-fed-whey-protein-isolate" TargetMode="External" Id="rId1720" /><Relationship Type="http://schemas.openxmlformats.org/officeDocument/2006/relationships/hyperlink" Target="https://www.agnroots.com/products/grass-fed-whey-protein-isolate" TargetMode="External" Id="rId1721" /><Relationship Type="http://schemas.openxmlformats.org/officeDocument/2006/relationships/hyperlink" Target="https://www.agnroots.com/products/grass-fed-whey-protein-isolate" TargetMode="External" Id="rId1722" /><Relationship Type="http://schemas.openxmlformats.org/officeDocument/2006/relationships/hyperlink" Target="https://www.agnroots.com/products/grass-fed-whey-protein-isolate" TargetMode="External" Id="rId1723" /><Relationship Type="http://schemas.openxmlformats.org/officeDocument/2006/relationships/hyperlink" Target="https://www.agnroots.com/products/grass-fed-whey-protein-isolate" TargetMode="External" Id="rId1724" /><Relationship Type="http://schemas.openxmlformats.org/officeDocument/2006/relationships/hyperlink" Target="https://www.agnroots.com/products/grass-fed-whey-protein-isolate" TargetMode="External" Id="rId1725" /><Relationship Type="http://schemas.openxmlformats.org/officeDocument/2006/relationships/hyperlink" Target="https://www.agnroots.com/products/grass-fed-whey-protein-isolate" TargetMode="External" Id="rId1726" /><Relationship Type="http://schemas.openxmlformats.org/officeDocument/2006/relationships/hyperlink" Target="https://www.agnroots.com/products/grass-fed-whey-protein-isolate" TargetMode="External" Id="rId1727" /><Relationship Type="http://schemas.openxmlformats.org/officeDocument/2006/relationships/hyperlink" Target="https://www.agnroots.com/products/grass-fed-whey-protein-isolate" TargetMode="External" Id="rId1728" /><Relationship Type="http://schemas.openxmlformats.org/officeDocument/2006/relationships/hyperlink" Target="https://www.agnroots.com/products/grass-fed-whey-protein-isolate" TargetMode="External" Id="rId1729" /><Relationship Type="http://schemas.openxmlformats.org/officeDocument/2006/relationships/hyperlink" Target="https://www.agnroots.com/products/grass-fed-whey-protein-isolate" TargetMode="External" Id="rId1730" /><Relationship Type="http://schemas.openxmlformats.org/officeDocument/2006/relationships/hyperlink" Target="https://www.agnroots.com/products/grass-fed-whey-protein-isolate" TargetMode="External" Id="rId1731" /><Relationship Type="http://schemas.openxmlformats.org/officeDocument/2006/relationships/hyperlink" Target="https://www.agnroots.com/products/grass-fed-whey-protein-isolate" TargetMode="External" Id="rId1732" /><Relationship Type="http://schemas.openxmlformats.org/officeDocument/2006/relationships/hyperlink" Target="https://www.agnroots.com/products/grass-fed-whey-protein-isolate" TargetMode="External" Id="rId1733" /><Relationship Type="http://schemas.openxmlformats.org/officeDocument/2006/relationships/hyperlink" Target="https://www.agnroots.com/products/grass-fed-whey-protein-isolate" TargetMode="External" Id="rId1734" /><Relationship Type="http://schemas.openxmlformats.org/officeDocument/2006/relationships/hyperlink" Target="https://www.agnroots.com/products/grass-fed-whey-protein-isolate" TargetMode="External" Id="rId1735" /><Relationship Type="http://schemas.openxmlformats.org/officeDocument/2006/relationships/hyperlink" Target="https://www.agnroots.com/products/grass-fed-whey-protein-isolate" TargetMode="External" Id="rId1736" /><Relationship Type="http://schemas.openxmlformats.org/officeDocument/2006/relationships/hyperlink" Target="https://www.agnroots.com/products/grass-fed-whey-protein-isolate" TargetMode="External" Id="rId1737" /><Relationship Type="http://schemas.openxmlformats.org/officeDocument/2006/relationships/hyperlink" Target="https://www.agnroots.com/products/grass-fed-whey-protein-isolate" TargetMode="External" Id="rId1738" /><Relationship Type="http://schemas.openxmlformats.org/officeDocument/2006/relationships/hyperlink" Target="https://www.agnroots.com/products/grass-fed-whey-protein-isolate" TargetMode="External" Id="rId1739" /><Relationship Type="http://schemas.openxmlformats.org/officeDocument/2006/relationships/hyperlink" Target="https://www.agnroots.com/products/grass-fed-whey-protein-isolate" TargetMode="External" Id="rId1740" /><Relationship Type="http://schemas.openxmlformats.org/officeDocument/2006/relationships/hyperlink" Target="https://www.agnroots.com/products/grass-fed-whey-protein-isolate" TargetMode="External" Id="rId1741" /><Relationship Type="http://schemas.openxmlformats.org/officeDocument/2006/relationships/hyperlink" Target="https://www.agnroots.com/products/grass-fed-whey-protein-isolate" TargetMode="External" Id="rId1742" /><Relationship Type="http://schemas.openxmlformats.org/officeDocument/2006/relationships/hyperlink" Target="https://www.agnroots.com/products/grass-fed-whey-protein-isolate" TargetMode="External" Id="rId1743" /><Relationship Type="http://schemas.openxmlformats.org/officeDocument/2006/relationships/hyperlink" Target="https://www.livemomentous.com/products/collagen-peptides" TargetMode="External" Id="rId1744" /><Relationship Type="http://schemas.openxmlformats.org/officeDocument/2006/relationships/hyperlink" Target="https://www.livemomentous.com/products/collagen-peptides" TargetMode="External" Id="rId1745" /><Relationship Type="http://schemas.openxmlformats.org/officeDocument/2006/relationships/hyperlink" Target="https://www.livemomentous.com/products/collagen-peptides" TargetMode="External" Id="rId1746" /><Relationship Type="http://schemas.openxmlformats.org/officeDocument/2006/relationships/hyperlink" Target="https://www.livemomentous.com/products/collagen-peptides" TargetMode="External" Id="rId1747" /><Relationship Type="http://schemas.openxmlformats.org/officeDocument/2006/relationships/hyperlink" Target="https://www.livemomentous.com/products/collagen-peptides" TargetMode="External" Id="rId1748" /><Relationship Type="http://schemas.openxmlformats.org/officeDocument/2006/relationships/hyperlink" Target="https://www.livemomentous.com/products/collagen-peptides" TargetMode="External" Id="rId1749" /><Relationship Type="http://schemas.openxmlformats.org/officeDocument/2006/relationships/hyperlink" Target="https://www.livemomentous.com/products/collagen-peptides" TargetMode="External" Id="rId1750" /><Relationship Type="http://schemas.openxmlformats.org/officeDocument/2006/relationships/hyperlink" Target="https://www.livemomentous.com/products/collagen-peptides" TargetMode="External" Id="rId1751" /><Relationship Type="http://schemas.openxmlformats.org/officeDocument/2006/relationships/hyperlink" Target="https://www.livemomentous.com/products/collagen-peptides" TargetMode="External" Id="rId1752" /><Relationship Type="http://schemas.openxmlformats.org/officeDocument/2006/relationships/hyperlink" Target="https://www.livemomentous.com/products/collagen-peptides" TargetMode="External" Id="rId1753" /><Relationship Type="http://schemas.openxmlformats.org/officeDocument/2006/relationships/hyperlink" Target="https://www.livemomentous.com/products/collagen-peptides" TargetMode="External" Id="rId1754" /><Relationship Type="http://schemas.openxmlformats.org/officeDocument/2006/relationships/hyperlink" Target="https://www.livemomentous.com/products/collagen-peptides" TargetMode="External" Id="rId1755" /><Relationship Type="http://schemas.openxmlformats.org/officeDocument/2006/relationships/hyperlink" Target="https://www.livemomentous.com/products/collagen-peptides" TargetMode="External" Id="rId1756" /><Relationship Type="http://schemas.openxmlformats.org/officeDocument/2006/relationships/hyperlink" Target="https://www.livemomentous.com/products/collagen-peptides" TargetMode="External" Id="rId1757" /><Relationship Type="http://schemas.openxmlformats.org/officeDocument/2006/relationships/hyperlink" Target="https://www.livemomentous.com/products/collagen-peptides" TargetMode="External" Id="rId1758" /><Relationship Type="http://schemas.openxmlformats.org/officeDocument/2006/relationships/hyperlink" Target="https://www.livemomentous.com/products/collagen-peptides" TargetMode="External" Id="rId1759" /><Relationship Type="http://schemas.openxmlformats.org/officeDocument/2006/relationships/hyperlink" Target="https://www.livemomentous.com/products/collagen-peptides" TargetMode="External" Id="rId1760" /><Relationship Type="http://schemas.openxmlformats.org/officeDocument/2006/relationships/hyperlink" Target="https://www.livemomentous.com/products/collagen-peptides" TargetMode="External" Id="rId1761" /><Relationship Type="http://schemas.openxmlformats.org/officeDocument/2006/relationships/hyperlink" Target="https://www.livemomentous.com/products/collagen-peptides" TargetMode="External" Id="rId1762" /><Relationship Type="http://schemas.openxmlformats.org/officeDocument/2006/relationships/hyperlink" Target="https://www.livemomentous.com/products/collagen-peptides" TargetMode="External" Id="rId1763" /><Relationship Type="http://schemas.openxmlformats.org/officeDocument/2006/relationships/hyperlink" Target="https://www.livemomentous.com/products/collagen-peptides" TargetMode="External" Id="rId1764" /><Relationship Type="http://schemas.openxmlformats.org/officeDocument/2006/relationships/hyperlink" Target="https://www.livemomentous.com/products/collagen-peptides" TargetMode="External" Id="rId1765" /><Relationship Type="http://schemas.openxmlformats.org/officeDocument/2006/relationships/hyperlink" Target="https://www.livemomentous.com/products/collagen-peptides" TargetMode="External" Id="rId1766" /><Relationship Type="http://schemas.openxmlformats.org/officeDocument/2006/relationships/hyperlink" Target="https://www.livemomentous.com/products/collagen-peptides" TargetMode="External" Id="rId1767" /><Relationship Type="http://schemas.openxmlformats.org/officeDocument/2006/relationships/hyperlink" Target="https://www.livemomentous.com/products/collagen-peptides" TargetMode="External" Id="rId1768" /><Relationship Type="http://schemas.openxmlformats.org/officeDocument/2006/relationships/hyperlink" Target="https://www.livemomentous.com/products/collagen-peptides" TargetMode="External" Id="rId1769" /><Relationship Type="http://schemas.openxmlformats.org/officeDocument/2006/relationships/hyperlink" Target="https://www.livemomentous.com/products/collagen-peptides" TargetMode="External" Id="rId1770" /><Relationship Type="http://schemas.openxmlformats.org/officeDocument/2006/relationships/hyperlink" Target="https://www.livemomentous.com/products/collagen-peptides" TargetMode="External" Id="rId1771" /><Relationship Type="http://schemas.openxmlformats.org/officeDocument/2006/relationships/hyperlink" Target="https://www.livemomentous.com/products/collagen-peptides" TargetMode="External" Id="rId1772" /><Relationship Type="http://schemas.openxmlformats.org/officeDocument/2006/relationships/hyperlink" Target="https://www.livemomentous.com/products/collagen-peptides" TargetMode="External" Id="rId1773" /><Relationship Type="http://schemas.openxmlformats.org/officeDocument/2006/relationships/hyperlink" Target="https://www.livemomentous.com/products/collagen-peptides" TargetMode="External" Id="rId1774" /><Relationship Type="http://schemas.openxmlformats.org/officeDocument/2006/relationships/hyperlink" Target="https://www.livemomentous.com/products/collagen-peptides" TargetMode="External" Id="rId1775" /><Relationship Type="http://schemas.openxmlformats.org/officeDocument/2006/relationships/hyperlink" Target="https://www.livemomentous.com/products/collagen-peptides" TargetMode="External" Id="rId1776" /><Relationship Type="http://schemas.openxmlformats.org/officeDocument/2006/relationships/hyperlink" Target="https://www.livemomentous.com/products/collagen-peptides" TargetMode="External" Id="rId1777" /><Relationship Type="http://schemas.openxmlformats.org/officeDocument/2006/relationships/hyperlink" Target="https://www.livemomentous.com/products/collagen-peptides" TargetMode="External" Id="rId1778" /><Relationship Type="http://schemas.openxmlformats.org/officeDocument/2006/relationships/hyperlink" Target="https://www.livemomentous.com/products/collagen-peptides" TargetMode="External" Id="rId1779" /><Relationship Type="http://schemas.openxmlformats.org/officeDocument/2006/relationships/hyperlink" Target="https://www.livemomentous.com/products/collagen-peptides" TargetMode="External" Id="rId1780" /><Relationship Type="http://schemas.openxmlformats.org/officeDocument/2006/relationships/hyperlink" Target="https://www.livemomentous.com/products/collagen-peptides" TargetMode="External" Id="rId1781" /><Relationship Type="http://schemas.openxmlformats.org/officeDocument/2006/relationships/hyperlink" Target="https://www.livemomentous.com/products/collagen-peptides" TargetMode="External" Id="rId1782" /><Relationship Type="http://schemas.openxmlformats.org/officeDocument/2006/relationships/hyperlink" Target="https://www.livemomentous.com/products/collagen-peptides" TargetMode="External" Id="rId1783" /><Relationship Type="http://schemas.openxmlformats.org/officeDocument/2006/relationships/hyperlink" Target="https://www.livemomentous.com/products/collagen-peptides" TargetMode="External" Id="rId1784" /><Relationship Type="http://schemas.openxmlformats.org/officeDocument/2006/relationships/hyperlink" Target="https://www.livemomentous.com/products/collagen-peptides" TargetMode="External" Id="rId1785" /><Relationship Type="http://schemas.openxmlformats.org/officeDocument/2006/relationships/hyperlink" Target="https://www.livemomentous.com/products/collagen-peptides" TargetMode="External" Id="rId1786" /><Relationship Type="http://schemas.openxmlformats.org/officeDocument/2006/relationships/hyperlink" Target="https://www.livemomentous.com/products/collagen-peptides" TargetMode="External" Id="rId1787" /><Relationship Type="http://schemas.openxmlformats.org/officeDocument/2006/relationships/hyperlink" Target="https://www.livemomentous.com/products/collagen-peptides" TargetMode="External" Id="rId1788" /><Relationship Type="http://schemas.openxmlformats.org/officeDocument/2006/relationships/hyperlink" Target="https://www.livemomentous.com/products/collagen-peptides" TargetMode="External" Id="rId1789" /><Relationship Type="http://schemas.openxmlformats.org/officeDocument/2006/relationships/hyperlink" Target="https://www.livemomentous.com/products/collagen-peptides" TargetMode="External" Id="rId1790" /><Relationship Type="http://schemas.openxmlformats.org/officeDocument/2006/relationships/hyperlink" Target="https://www.livemomentous.com/products/collagen-peptides" TargetMode="External" Id="rId1791" /><Relationship Type="http://schemas.openxmlformats.org/officeDocument/2006/relationships/hyperlink" Target="https://www.livemomentous.com/products/collagen-peptides" TargetMode="External" Id="rId1792" /><Relationship Type="http://schemas.openxmlformats.org/officeDocument/2006/relationships/hyperlink" Target="https://www.livemomentous.com/products/collagen-peptides" TargetMode="External" Id="rId1793" /><Relationship Type="http://schemas.openxmlformats.org/officeDocument/2006/relationships/hyperlink" Target="https://www.livemomentous.com/products/collagen-peptides" TargetMode="External" Id="rId1794" /><Relationship Type="http://schemas.openxmlformats.org/officeDocument/2006/relationships/hyperlink" Target="https://www.livemomentous.com/products/collagen-peptides" TargetMode="External" Id="rId1795" /><Relationship Type="http://schemas.openxmlformats.org/officeDocument/2006/relationships/hyperlink" Target="https://www.livemomentous.com/products/collagen-peptides" TargetMode="External" Id="rId1796" /><Relationship Type="http://schemas.openxmlformats.org/officeDocument/2006/relationships/hyperlink" Target="https://www.livemomentous.com/products/collagen-peptides" TargetMode="External" Id="rId1797" /><Relationship Type="http://schemas.openxmlformats.org/officeDocument/2006/relationships/hyperlink" Target="https://www.livemomentous.com/products/collagen-peptides" TargetMode="External" Id="rId1798" /><Relationship Type="http://schemas.openxmlformats.org/officeDocument/2006/relationships/hyperlink" Target="https://www.livemomentous.com/products/collagen-peptides" TargetMode="External" Id="rId1799" /><Relationship Type="http://schemas.openxmlformats.org/officeDocument/2006/relationships/hyperlink" Target="https://www.livemomentous.com/products/collagen-peptides" TargetMode="External" Id="rId1800" /><Relationship Type="http://schemas.openxmlformats.org/officeDocument/2006/relationships/hyperlink" Target="https://www.livemomentous.com/products/collagen-peptides" TargetMode="External" Id="rId1801" /><Relationship Type="http://schemas.openxmlformats.org/officeDocument/2006/relationships/hyperlink" Target="https://www.livemomentous.com/products/collagen-peptides" TargetMode="External" Id="rId1802" /><Relationship Type="http://schemas.openxmlformats.org/officeDocument/2006/relationships/hyperlink" Target="https://www.livemomentous.com/products/collagen-peptides" TargetMode="External" Id="rId1803" /><Relationship Type="http://schemas.openxmlformats.org/officeDocument/2006/relationships/hyperlink" Target="https://www.livemomentous.com/products/collagen-peptides" TargetMode="External" Id="rId1804" /><Relationship Type="http://schemas.openxmlformats.org/officeDocument/2006/relationships/hyperlink" Target="https://www.livemomentous.com/products/collagen-peptides" TargetMode="External" Id="rId1805" /><Relationship Type="http://schemas.openxmlformats.org/officeDocument/2006/relationships/hyperlink" Target="https://www.livemomentous.com/products/collagen-peptides" TargetMode="External" Id="rId1806" /><Relationship Type="http://schemas.openxmlformats.org/officeDocument/2006/relationships/hyperlink" Target="https://www.livemomentous.com/products/collagen-peptides" TargetMode="External" Id="rId1807" /><Relationship Type="http://schemas.openxmlformats.org/officeDocument/2006/relationships/hyperlink" Target="https://www.livemomentous.com/products/collagen-peptides" TargetMode="External" Id="rId1808" /><Relationship Type="http://schemas.openxmlformats.org/officeDocument/2006/relationships/hyperlink" Target="https://www.livemomentous.com/products/collagen-peptides" TargetMode="External" Id="rId1809" /><Relationship Type="http://schemas.openxmlformats.org/officeDocument/2006/relationships/hyperlink" Target="https://www.livemomentous.com/products/collagen-peptides" TargetMode="External" Id="rId1810" /><Relationship Type="http://schemas.openxmlformats.org/officeDocument/2006/relationships/hyperlink" Target="https://www.livemomentous.com/products/collagen-peptides" TargetMode="External" Id="rId1811" /><Relationship Type="http://schemas.openxmlformats.org/officeDocument/2006/relationships/hyperlink" Target="https://www.livemomentous.com/products/collagen-peptides" TargetMode="External" Id="rId1812" /><Relationship Type="http://schemas.openxmlformats.org/officeDocument/2006/relationships/hyperlink" Target="https://www.livemomentous.com/products/collagen-peptides" TargetMode="External" Id="rId1813" /><Relationship Type="http://schemas.openxmlformats.org/officeDocument/2006/relationships/hyperlink" Target="https://www.livemomentous.com/products/collagen-peptides" TargetMode="External" Id="rId1814" /><Relationship Type="http://schemas.openxmlformats.org/officeDocument/2006/relationships/hyperlink" Target="https://www.livemomentous.com/products/collagen-peptides" TargetMode="External" Id="rId1815" /><Relationship Type="http://schemas.openxmlformats.org/officeDocument/2006/relationships/hyperlink" Target="https://www.livemomentous.com/products/collagen-peptides" TargetMode="External" Id="rId1816" /><Relationship Type="http://schemas.openxmlformats.org/officeDocument/2006/relationships/hyperlink" Target="https://www.livemomentous.com/products/collagen-peptides" TargetMode="External" Id="rId1817" /><Relationship Type="http://schemas.openxmlformats.org/officeDocument/2006/relationships/hyperlink" Target="https://www.livemomentous.com/products/collagen-peptides" TargetMode="External" Id="rId1818" /><Relationship Type="http://schemas.openxmlformats.org/officeDocument/2006/relationships/hyperlink" Target="https://www.livemomentous.com/products/collagen-peptides" TargetMode="External" Id="rId1819" /><Relationship Type="http://schemas.openxmlformats.org/officeDocument/2006/relationships/hyperlink" Target="https://www.livemomentous.com/products/collagen-peptides" TargetMode="External" Id="rId1820" /><Relationship Type="http://schemas.openxmlformats.org/officeDocument/2006/relationships/hyperlink" Target="https://www.livemomentous.com/products/collagen-peptides" TargetMode="External" Id="rId1821" /><Relationship Type="http://schemas.openxmlformats.org/officeDocument/2006/relationships/hyperlink" Target="https://www.livemomentous.com/products/collagen-peptides" TargetMode="External" Id="rId1822" /><Relationship Type="http://schemas.openxmlformats.org/officeDocument/2006/relationships/hyperlink" Target="https://www.livemomentous.com/products/collagen-peptides" TargetMode="External" Id="rId1823" /><Relationship Type="http://schemas.openxmlformats.org/officeDocument/2006/relationships/hyperlink" Target="https://www.livemomentous.com/products/collagen-peptides" TargetMode="External" Id="rId1824" /><Relationship Type="http://schemas.openxmlformats.org/officeDocument/2006/relationships/hyperlink" Target="https://www.livemomentous.com/products/collagen-peptides" TargetMode="External" Id="rId1825" /><Relationship Type="http://schemas.openxmlformats.org/officeDocument/2006/relationships/hyperlink" Target="https://www.livemomentous.com/products/collagen-peptides" TargetMode="External" Id="rId1826" /><Relationship Type="http://schemas.openxmlformats.org/officeDocument/2006/relationships/hyperlink" Target="https://www.thorne.com/products/dp/creatine" TargetMode="External" Id="rId1827" /><Relationship Type="http://schemas.openxmlformats.org/officeDocument/2006/relationships/hyperlink" Target="https://www.thorne.com/products/dp/creatine" TargetMode="External" Id="rId1828" /><Relationship Type="http://schemas.openxmlformats.org/officeDocument/2006/relationships/hyperlink" Target="https://www.thorne.com/products/dp/creatine" TargetMode="External" Id="rId1829" /><Relationship Type="http://schemas.openxmlformats.org/officeDocument/2006/relationships/hyperlink" Target="https://www.thorne.com/products/dp/creatine" TargetMode="External" Id="rId1830" /><Relationship Type="http://schemas.openxmlformats.org/officeDocument/2006/relationships/hyperlink" Target="https://www.thorne.com/products/dp/creatine" TargetMode="External" Id="rId1831" /><Relationship Type="http://schemas.openxmlformats.org/officeDocument/2006/relationships/hyperlink" Target="https://www.thorne.com/products/dp/creatine" TargetMode="External" Id="rId1832" /><Relationship Type="http://schemas.openxmlformats.org/officeDocument/2006/relationships/hyperlink" Target="https://www.thorne.com/products/dp/creatine" TargetMode="External" Id="rId1833" /><Relationship Type="http://schemas.openxmlformats.org/officeDocument/2006/relationships/hyperlink" Target="https://www.thorne.com/products/dp/creatine" TargetMode="External" Id="rId1834" /><Relationship Type="http://schemas.openxmlformats.org/officeDocument/2006/relationships/hyperlink" Target="https://www.thorne.com/products/dp/creatine" TargetMode="External" Id="rId1835" /><Relationship Type="http://schemas.openxmlformats.org/officeDocument/2006/relationships/hyperlink" Target="https://www.thorne.com/products/dp/creatine" TargetMode="External" Id="rId1836" /><Relationship Type="http://schemas.openxmlformats.org/officeDocument/2006/relationships/hyperlink" Target="https://www.thorne.com/products/dp/creatine" TargetMode="External" Id="rId1837" /><Relationship Type="http://schemas.openxmlformats.org/officeDocument/2006/relationships/hyperlink" Target="https://www.thorne.com/products/dp/creatine" TargetMode="External" Id="rId1838" /><Relationship Type="http://schemas.openxmlformats.org/officeDocument/2006/relationships/hyperlink" Target="https://www.thorne.com/products/dp/creatine" TargetMode="External" Id="rId1839" /><Relationship Type="http://schemas.openxmlformats.org/officeDocument/2006/relationships/hyperlink" Target="https://www.thorne.com/products/dp/creatine" TargetMode="External" Id="rId1840" /><Relationship Type="http://schemas.openxmlformats.org/officeDocument/2006/relationships/hyperlink" Target="https://www.thorne.com/products/dp/creatine" TargetMode="External" Id="rId1841" /><Relationship Type="http://schemas.openxmlformats.org/officeDocument/2006/relationships/hyperlink" Target="https://www.thorne.com/products/dp/creatine" TargetMode="External" Id="rId1842" /><Relationship Type="http://schemas.openxmlformats.org/officeDocument/2006/relationships/hyperlink" Target="https://www.thorne.com/products/dp/creatine" TargetMode="External" Id="rId1843" /><Relationship Type="http://schemas.openxmlformats.org/officeDocument/2006/relationships/hyperlink" Target="https://www.thorne.com/products/dp/creatine" TargetMode="External" Id="rId1844" /><Relationship Type="http://schemas.openxmlformats.org/officeDocument/2006/relationships/hyperlink" Target="https://www.thorne.com/products/dp/creatine" TargetMode="External" Id="rId1845" /><Relationship Type="http://schemas.openxmlformats.org/officeDocument/2006/relationships/hyperlink" Target="https://www.thorne.com/products/dp/creatine" TargetMode="External" Id="rId1846" /><Relationship Type="http://schemas.openxmlformats.org/officeDocument/2006/relationships/hyperlink" Target="https://www.thorne.com/products/dp/creatine" TargetMode="External" Id="rId1847" /><Relationship Type="http://schemas.openxmlformats.org/officeDocument/2006/relationships/hyperlink" Target="https://www.thorne.com/products/dp/creatine" TargetMode="External" Id="rId1848" /><Relationship Type="http://schemas.openxmlformats.org/officeDocument/2006/relationships/hyperlink" Target="https://www.thorne.com/products/dp/creatine" TargetMode="External" Id="rId1849" /><Relationship Type="http://schemas.openxmlformats.org/officeDocument/2006/relationships/hyperlink" Target="https://www.thorne.com/products/dp/creatine" TargetMode="External" Id="rId1850" /><Relationship Type="http://schemas.openxmlformats.org/officeDocument/2006/relationships/hyperlink" Target="https://www.thorne.com/products/dp/creatine" TargetMode="External" Id="rId1851" /><Relationship Type="http://schemas.openxmlformats.org/officeDocument/2006/relationships/hyperlink" Target="https://www.thorne.com/products/dp/creatine" TargetMode="External" Id="rId1852" /><Relationship Type="http://schemas.openxmlformats.org/officeDocument/2006/relationships/hyperlink" Target="https://www.thorne.com/products/dp/creatine" TargetMode="External" Id="rId1853" /><Relationship Type="http://schemas.openxmlformats.org/officeDocument/2006/relationships/hyperlink" Target="https://www.thorne.com/products/dp/creatine" TargetMode="External" Id="rId1854" /><Relationship Type="http://schemas.openxmlformats.org/officeDocument/2006/relationships/hyperlink" Target="https://www.thorne.com/products/dp/creatine" TargetMode="External" Id="rId1855" /><Relationship Type="http://schemas.openxmlformats.org/officeDocument/2006/relationships/hyperlink" Target="https://www.thorne.com/products/dp/creatine" TargetMode="External" Id="rId1856" /><Relationship Type="http://schemas.openxmlformats.org/officeDocument/2006/relationships/hyperlink" Target="https://www.thorne.com/products/dp/creatine" TargetMode="External" Id="rId1857" /><Relationship Type="http://schemas.openxmlformats.org/officeDocument/2006/relationships/hyperlink" Target="https://www.thorne.com/products/dp/creatine" TargetMode="External" Id="rId1858" /><Relationship Type="http://schemas.openxmlformats.org/officeDocument/2006/relationships/hyperlink" Target="https://www.thorne.com/products/dp/creatine" TargetMode="External" Id="rId1859" /><Relationship Type="http://schemas.openxmlformats.org/officeDocument/2006/relationships/hyperlink" Target="https://www.thorne.com/products/dp/creatine" TargetMode="External" Id="rId1860" /><Relationship Type="http://schemas.openxmlformats.org/officeDocument/2006/relationships/hyperlink" Target="https://www.thorne.com/products/dp/creatine" TargetMode="External" Id="rId1861" /><Relationship Type="http://schemas.openxmlformats.org/officeDocument/2006/relationships/hyperlink" Target="https://www.thorne.com/products/dp/creatine" TargetMode="External" Id="rId1862" /><Relationship Type="http://schemas.openxmlformats.org/officeDocument/2006/relationships/hyperlink" Target="https://www.thorne.com/products/dp/creatine" TargetMode="External" Id="rId1863" /><Relationship Type="http://schemas.openxmlformats.org/officeDocument/2006/relationships/hyperlink" Target="https://www.thorne.com/products/dp/creatine" TargetMode="External" Id="rId1864" /><Relationship Type="http://schemas.openxmlformats.org/officeDocument/2006/relationships/hyperlink" Target="https://www.thorne.com/products/dp/creatine" TargetMode="External" Id="rId1865" /><Relationship Type="http://schemas.openxmlformats.org/officeDocument/2006/relationships/hyperlink" Target="https://www.thorne.com/products/dp/creatine" TargetMode="External" Id="rId1866" /><Relationship Type="http://schemas.openxmlformats.org/officeDocument/2006/relationships/hyperlink" Target="https://www.thorne.com/products/dp/creatine" TargetMode="External" Id="rId1867" /><Relationship Type="http://schemas.openxmlformats.org/officeDocument/2006/relationships/hyperlink" Target="https://www.thorne.com/products/dp/creatine" TargetMode="External" Id="rId1868" /><Relationship Type="http://schemas.openxmlformats.org/officeDocument/2006/relationships/hyperlink" Target="https://www.thorne.com/products/dp/creatine" TargetMode="External" Id="rId1869" /><Relationship Type="http://schemas.openxmlformats.org/officeDocument/2006/relationships/hyperlink" Target="https://www.thorne.com/products/dp/creatine" TargetMode="External" Id="rId1870" /><Relationship Type="http://schemas.openxmlformats.org/officeDocument/2006/relationships/hyperlink" Target="https://www.thorne.com/products/dp/creatine" TargetMode="External" Id="rId1871" /><Relationship Type="http://schemas.openxmlformats.org/officeDocument/2006/relationships/hyperlink" Target="https://www.thorne.com/products/dp/creatine" TargetMode="External" Id="rId1872" /><Relationship Type="http://schemas.openxmlformats.org/officeDocument/2006/relationships/hyperlink" Target="https://www.thorne.com/products/dp/creatine" TargetMode="External" Id="rId1873" /><Relationship Type="http://schemas.openxmlformats.org/officeDocument/2006/relationships/hyperlink" Target="https://www.thorne.com/products/dp/creatine" TargetMode="External" Id="rId1874" /><Relationship Type="http://schemas.openxmlformats.org/officeDocument/2006/relationships/hyperlink" Target="https://www.thorne.com/products/dp/creatine" TargetMode="External" Id="rId1875" /><Relationship Type="http://schemas.openxmlformats.org/officeDocument/2006/relationships/hyperlink" Target="https://www.thorne.com/products/dp/creatine" TargetMode="External" Id="rId1876" /><Relationship Type="http://schemas.openxmlformats.org/officeDocument/2006/relationships/hyperlink" Target="https://www.thorne.com/products/dp/creatine" TargetMode="External" Id="rId1877" /><Relationship Type="http://schemas.openxmlformats.org/officeDocument/2006/relationships/hyperlink" Target="https://www.thorne.com/products/dp/creatine" TargetMode="External" Id="rId1878" /><Relationship Type="http://schemas.openxmlformats.org/officeDocument/2006/relationships/hyperlink" Target="https://www.thorne.com/products/dp/creatine" TargetMode="External" Id="rId1879" /><Relationship Type="http://schemas.openxmlformats.org/officeDocument/2006/relationships/hyperlink" Target="https://www.thorne.com/products/dp/creatine" TargetMode="External" Id="rId1880" /><Relationship Type="http://schemas.openxmlformats.org/officeDocument/2006/relationships/hyperlink" Target="https://www.thorne.com/products/dp/creatine" TargetMode="External" Id="rId1881" /><Relationship Type="http://schemas.openxmlformats.org/officeDocument/2006/relationships/hyperlink" Target="https://www.thorne.com/products/dp/creatine" TargetMode="External" Id="rId1882" /><Relationship Type="http://schemas.openxmlformats.org/officeDocument/2006/relationships/hyperlink" Target="https://www.thorne.com/products/dp/creatine" TargetMode="External" Id="rId1883" /><Relationship Type="http://schemas.openxmlformats.org/officeDocument/2006/relationships/hyperlink" Target="https://www.thorne.com/products/dp/creatine" TargetMode="External" Id="rId1884" /><Relationship Type="http://schemas.openxmlformats.org/officeDocument/2006/relationships/hyperlink" Target="https://www.thorne.com/products/dp/creatine" TargetMode="External" Id="rId1885" /><Relationship Type="http://schemas.openxmlformats.org/officeDocument/2006/relationships/hyperlink" Target="https://www.thorne.com/products/dp/creatine" TargetMode="External" Id="rId1886" /><Relationship Type="http://schemas.openxmlformats.org/officeDocument/2006/relationships/hyperlink" Target="https://www.thorne.com/products/dp/creatine" TargetMode="External" Id="rId1887" /><Relationship Type="http://schemas.openxmlformats.org/officeDocument/2006/relationships/hyperlink" Target="https://www.thorne.com/products/dp/creatine" TargetMode="External" Id="rId1888" /><Relationship Type="http://schemas.openxmlformats.org/officeDocument/2006/relationships/hyperlink" Target="https://www.thorne.com/products/dp/creatine" TargetMode="External" Id="rId1889" /><Relationship Type="http://schemas.openxmlformats.org/officeDocument/2006/relationships/hyperlink" Target="https://www.thorne.com/products/dp/creatine" TargetMode="External" Id="rId1890" /><Relationship Type="http://schemas.openxmlformats.org/officeDocument/2006/relationships/hyperlink" Target="https://www.thorne.com/products/dp/creatine" TargetMode="External" Id="rId1891" /><Relationship Type="http://schemas.openxmlformats.org/officeDocument/2006/relationships/hyperlink" Target="https://www.thorne.com/products/dp/creatine" TargetMode="External" Id="rId1892" /><Relationship Type="http://schemas.openxmlformats.org/officeDocument/2006/relationships/hyperlink" Target="https://www.thorne.com/products/dp/creatine" TargetMode="External" Id="rId1893" /><Relationship Type="http://schemas.openxmlformats.org/officeDocument/2006/relationships/hyperlink" Target="https://www.thorne.com/products/dp/creatine" TargetMode="External" Id="rId1894" /><Relationship Type="http://schemas.openxmlformats.org/officeDocument/2006/relationships/hyperlink" Target="https://www.thorne.com/products/dp/creatine" TargetMode="External" Id="rId1895" /><Relationship Type="http://schemas.openxmlformats.org/officeDocument/2006/relationships/hyperlink" Target="https://www.thorne.com/products/dp/creatine" TargetMode="External" Id="rId1896" /><Relationship Type="http://schemas.openxmlformats.org/officeDocument/2006/relationships/hyperlink" Target="https://www.thorne.com/products/dp/creatine" TargetMode="External" Id="rId1897" /><Relationship Type="http://schemas.openxmlformats.org/officeDocument/2006/relationships/hyperlink" Target="https://www.thorne.com/products/dp/creatine" TargetMode="External" Id="rId1898" /><Relationship Type="http://schemas.openxmlformats.org/officeDocument/2006/relationships/hyperlink" Target="https://www.thorne.com/products/dp/creatine" TargetMode="External" Id="rId1899" /><Relationship Type="http://schemas.openxmlformats.org/officeDocument/2006/relationships/hyperlink" Target="https://www.thorne.com/products/dp/creatine" TargetMode="External" Id="rId1900" /><Relationship Type="http://schemas.openxmlformats.org/officeDocument/2006/relationships/hyperlink" Target="https://www.thorne.com/products/dp/creatine" TargetMode="External" Id="rId1901" /><Relationship Type="http://schemas.openxmlformats.org/officeDocument/2006/relationships/hyperlink" Target="https://www.thorne.com/products/dp/creatine" TargetMode="External" Id="rId1902" /><Relationship Type="http://schemas.openxmlformats.org/officeDocument/2006/relationships/hyperlink" Target="https://www.thorne.com/products/dp/creatine" TargetMode="External" Id="rId1903" /><Relationship Type="http://schemas.openxmlformats.org/officeDocument/2006/relationships/hyperlink" Target="https://www.thorne.com/products/dp/creatine" TargetMode="External" Id="rId1904" /><Relationship Type="http://schemas.openxmlformats.org/officeDocument/2006/relationships/hyperlink" Target="https://www.thorne.com/products/dp/creatine" TargetMode="External" Id="rId1905" /><Relationship Type="http://schemas.openxmlformats.org/officeDocument/2006/relationships/hyperlink" Target="https://www.thorne.com/products/dp/creatine" TargetMode="External" Id="rId1906" /><Relationship Type="http://schemas.openxmlformats.org/officeDocument/2006/relationships/hyperlink" Target="https://www.thorne.com/products/dp/creatine" TargetMode="External" Id="rId1907" /><Relationship Type="http://schemas.openxmlformats.org/officeDocument/2006/relationships/hyperlink" Target="https://www.thorne.com/products/dp/creatine" TargetMode="External" Id="rId1908" /><Relationship Type="http://schemas.openxmlformats.org/officeDocument/2006/relationships/hyperlink" Target="https://www.thorne.com/products/dp/creatine" TargetMode="External" Id="rId1909" /><Relationship Type="http://schemas.openxmlformats.org/officeDocument/2006/relationships/hyperlink" Target="https://www.nowfoods.com/products/supplements/taurine-pure-powder" TargetMode="External" Id="rId1910" /><Relationship Type="http://schemas.openxmlformats.org/officeDocument/2006/relationships/hyperlink" Target="https://www.nowfoods.com/products/supplements/taurine-pure-powder" TargetMode="External" Id="rId1911" /><Relationship Type="http://schemas.openxmlformats.org/officeDocument/2006/relationships/hyperlink" Target="https://www.nowfoods.com/products/supplements/taurine-pure-powder" TargetMode="External" Id="rId1912" /><Relationship Type="http://schemas.openxmlformats.org/officeDocument/2006/relationships/hyperlink" Target="https://www.nowfoods.com/products/supplements/taurine-pure-powder" TargetMode="External" Id="rId1913" /><Relationship Type="http://schemas.openxmlformats.org/officeDocument/2006/relationships/hyperlink" Target="https://www.nowfoods.com/products/supplements/taurine-pure-powder" TargetMode="External" Id="rId1914" /><Relationship Type="http://schemas.openxmlformats.org/officeDocument/2006/relationships/hyperlink" Target="https://www.nowfoods.com/products/supplements/taurine-pure-powder" TargetMode="External" Id="rId1915" /><Relationship Type="http://schemas.openxmlformats.org/officeDocument/2006/relationships/hyperlink" Target="https://www.nowfoods.com/products/supplements/taurine-pure-powder" TargetMode="External" Id="rId1916" /><Relationship Type="http://schemas.openxmlformats.org/officeDocument/2006/relationships/hyperlink" Target="https://www.nowfoods.com/products/supplements/taurine-pure-powder" TargetMode="External" Id="rId1917" /><Relationship Type="http://schemas.openxmlformats.org/officeDocument/2006/relationships/hyperlink" Target="https://www.nowfoods.com/products/supplements/taurine-pure-powder" TargetMode="External" Id="rId1918" /><Relationship Type="http://schemas.openxmlformats.org/officeDocument/2006/relationships/hyperlink" Target="https://www.nowfoods.com/products/supplements/taurine-pure-powder" TargetMode="External" Id="rId1919" /><Relationship Type="http://schemas.openxmlformats.org/officeDocument/2006/relationships/hyperlink" Target="https://www.nowfoods.com/products/supplements/taurine-pure-powder" TargetMode="External" Id="rId1920" /><Relationship Type="http://schemas.openxmlformats.org/officeDocument/2006/relationships/hyperlink" Target="https://www.nowfoods.com/products/supplements/taurine-pure-powder" TargetMode="External" Id="rId1921" /><Relationship Type="http://schemas.openxmlformats.org/officeDocument/2006/relationships/hyperlink" Target="https://www.nowfoods.com/products/supplements/taurine-pure-powder" TargetMode="External" Id="rId1922" /><Relationship Type="http://schemas.openxmlformats.org/officeDocument/2006/relationships/hyperlink" Target="https://www.nowfoods.com/products/supplements/taurine-pure-powder" TargetMode="External" Id="rId1923" /><Relationship Type="http://schemas.openxmlformats.org/officeDocument/2006/relationships/hyperlink" Target="https://www.nowfoods.com/products/supplements/taurine-pure-powder" TargetMode="External" Id="rId1924" /><Relationship Type="http://schemas.openxmlformats.org/officeDocument/2006/relationships/hyperlink" Target="https://www.nowfoods.com/products/supplements/taurine-pure-powder" TargetMode="External" Id="rId1925" /><Relationship Type="http://schemas.openxmlformats.org/officeDocument/2006/relationships/hyperlink" Target="https://www.nowfoods.com/products/supplements/taurine-pure-powder" TargetMode="External" Id="rId1926" /><Relationship Type="http://schemas.openxmlformats.org/officeDocument/2006/relationships/hyperlink" Target="https://www.nowfoods.com/products/supplements/taurine-pure-powder" TargetMode="External" Id="rId1927" /><Relationship Type="http://schemas.openxmlformats.org/officeDocument/2006/relationships/hyperlink" Target="https://www.nowfoods.com/products/supplements/taurine-pure-powder" TargetMode="External" Id="rId1928" /><Relationship Type="http://schemas.openxmlformats.org/officeDocument/2006/relationships/hyperlink" Target="https://www.nowfoods.com/products/supplements/taurine-pure-powder" TargetMode="External" Id="rId1929" /><Relationship Type="http://schemas.openxmlformats.org/officeDocument/2006/relationships/hyperlink" Target="https://www.nowfoods.com/products/supplements/taurine-pure-powder" TargetMode="External" Id="rId1930" /><Relationship Type="http://schemas.openxmlformats.org/officeDocument/2006/relationships/hyperlink" Target="https://www.nowfoods.com/products/supplements/taurine-pure-powder" TargetMode="External" Id="rId1931" /><Relationship Type="http://schemas.openxmlformats.org/officeDocument/2006/relationships/hyperlink" Target="https://www.nowfoods.com/products/supplements/taurine-pure-powder" TargetMode="External" Id="rId1932" /><Relationship Type="http://schemas.openxmlformats.org/officeDocument/2006/relationships/hyperlink" Target="https://www.nowfoods.com/products/supplements/taurine-pure-powder" TargetMode="External" Id="rId1933" /><Relationship Type="http://schemas.openxmlformats.org/officeDocument/2006/relationships/hyperlink" Target="https://www.nowfoods.com/products/supplements/taurine-pure-powder" TargetMode="External" Id="rId1934" /><Relationship Type="http://schemas.openxmlformats.org/officeDocument/2006/relationships/hyperlink" Target="https://www.nowfoods.com/products/supplements/taurine-pure-powder" TargetMode="External" Id="rId1935" /><Relationship Type="http://schemas.openxmlformats.org/officeDocument/2006/relationships/hyperlink" Target="https://www.nowfoods.com/products/supplements/taurine-pure-powder" TargetMode="External" Id="rId1936" /><Relationship Type="http://schemas.openxmlformats.org/officeDocument/2006/relationships/hyperlink" Target="https://www.nowfoods.com/products/supplements/taurine-pure-powder" TargetMode="External" Id="rId1937" /><Relationship Type="http://schemas.openxmlformats.org/officeDocument/2006/relationships/hyperlink" Target="https://www.nowfoods.com/products/supplements/taurine-pure-powder" TargetMode="External" Id="rId1938" /><Relationship Type="http://schemas.openxmlformats.org/officeDocument/2006/relationships/hyperlink" Target="https://www.nowfoods.com/products/supplements/taurine-pure-powder" TargetMode="External" Id="rId1939" /><Relationship Type="http://schemas.openxmlformats.org/officeDocument/2006/relationships/hyperlink" Target="https://www.nowfoods.com/products/supplements/taurine-pure-powder" TargetMode="External" Id="rId1940" /><Relationship Type="http://schemas.openxmlformats.org/officeDocument/2006/relationships/hyperlink" Target="https://www.nowfoods.com/products/supplements/taurine-pure-powder" TargetMode="External" Id="rId1941" /><Relationship Type="http://schemas.openxmlformats.org/officeDocument/2006/relationships/hyperlink" Target="https://www.nowfoods.com/products/supplements/taurine-pure-powder" TargetMode="External" Id="rId1942" /><Relationship Type="http://schemas.openxmlformats.org/officeDocument/2006/relationships/hyperlink" Target="https://www.nowfoods.com/products/supplements/taurine-pure-powder" TargetMode="External" Id="rId1943" /><Relationship Type="http://schemas.openxmlformats.org/officeDocument/2006/relationships/hyperlink" Target="https://www.nowfoods.com/products/supplements/taurine-pure-powder" TargetMode="External" Id="rId1944" /><Relationship Type="http://schemas.openxmlformats.org/officeDocument/2006/relationships/hyperlink" Target="https://www.nowfoods.com/products/supplements/taurine-pure-powder" TargetMode="External" Id="rId1945" /><Relationship Type="http://schemas.openxmlformats.org/officeDocument/2006/relationships/hyperlink" Target="https://www.nowfoods.com/products/supplements/taurine-pure-powder" TargetMode="External" Id="rId1946" /><Relationship Type="http://schemas.openxmlformats.org/officeDocument/2006/relationships/hyperlink" Target="https://www.nowfoods.com/products/supplements/taurine-pure-powder" TargetMode="External" Id="rId1947" /><Relationship Type="http://schemas.openxmlformats.org/officeDocument/2006/relationships/hyperlink" Target="https://www.nowfoods.com/products/supplements/taurine-pure-powder" TargetMode="External" Id="rId1948" /><Relationship Type="http://schemas.openxmlformats.org/officeDocument/2006/relationships/hyperlink" Target="https://www.nowfoods.com/products/supplements/taurine-pure-powder" TargetMode="External" Id="rId1949" /><Relationship Type="http://schemas.openxmlformats.org/officeDocument/2006/relationships/hyperlink" Target="https://www.nowfoods.com/products/supplements/taurine-pure-powder" TargetMode="External" Id="rId1950" /><Relationship Type="http://schemas.openxmlformats.org/officeDocument/2006/relationships/hyperlink" Target="https://www.nowfoods.com/products/supplements/taurine-pure-powder" TargetMode="External" Id="rId1951" /><Relationship Type="http://schemas.openxmlformats.org/officeDocument/2006/relationships/hyperlink" Target="https://www.nowfoods.com/products/supplements/taurine-pure-powder" TargetMode="External" Id="rId1952" /><Relationship Type="http://schemas.openxmlformats.org/officeDocument/2006/relationships/hyperlink" Target="https://www.nowfoods.com/products/supplements/taurine-pure-powder" TargetMode="External" Id="rId1953" /><Relationship Type="http://schemas.openxmlformats.org/officeDocument/2006/relationships/hyperlink" Target="https://www.nowfoods.com/products/supplements/taurine-pure-powder" TargetMode="External" Id="rId1954" /><Relationship Type="http://schemas.openxmlformats.org/officeDocument/2006/relationships/hyperlink" Target="https://www.nowfoods.com/products/supplements/taurine-pure-powder" TargetMode="External" Id="rId1955" /><Relationship Type="http://schemas.openxmlformats.org/officeDocument/2006/relationships/hyperlink" Target="https://www.nowfoods.com/products/supplements/taurine-pure-powder" TargetMode="External" Id="rId1956" /><Relationship Type="http://schemas.openxmlformats.org/officeDocument/2006/relationships/hyperlink" Target="https://www.nowfoods.com/products/supplements/taurine-pure-powder" TargetMode="External" Id="rId1957" /><Relationship Type="http://schemas.openxmlformats.org/officeDocument/2006/relationships/hyperlink" Target="https://www.nowfoods.com/products/supplements/taurine-pure-powder" TargetMode="External" Id="rId1958" /><Relationship Type="http://schemas.openxmlformats.org/officeDocument/2006/relationships/hyperlink" Target="https://www.nowfoods.com/products/supplements/taurine-pure-powder" TargetMode="External" Id="rId1959" /><Relationship Type="http://schemas.openxmlformats.org/officeDocument/2006/relationships/hyperlink" Target="https://www.nowfoods.com/products/supplements/taurine-pure-powder" TargetMode="External" Id="rId1960" /><Relationship Type="http://schemas.openxmlformats.org/officeDocument/2006/relationships/hyperlink" Target="https://www.nowfoods.com/products/supplements/taurine-pure-powder" TargetMode="External" Id="rId1961" /><Relationship Type="http://schemas.openxmlformats.org/officeDocument/2006/relationships/hyperlink" Target="https://www.nowfoods.com/products/supplements/taurine-pure-powder" TargetMode="External" Id="rId1962" /><Relationship Type="http://schemas.openxmlformats.org/officeDocument/2006/relationships/hyperlink" Target="https://www.nowfoods.com/products/supplements/taurine-pure-powder" TargetMode="External" Id="rId1963" /><Relationship Type="http://schemas.openxmlformats.org/officeDocument/2006/relationships/hyperlink" Target="https://www.nowfoods.com/products/supplements/taurine-pure-powder" TargetMode="External" Id="rId1964" /><Relationship Type="http://schemas.openxmlformats.org/officeDocument/2006/relationships/hyperlink" Target="https://www.nowfoods.com/products/supplements/taurine-pure-powder" TargetMode="External" Id="rId1965" /><Relationship Type="http://schemas.openxmlformats.org/officeDocument/2006/relationships/hyperlink" Target="https://www.nowfoods.com/products/supplements/taurine-pure-powder" TargetMode="External" Id="rId1966" /><Relationship Type="http://schemas.openxmlformats.org/officeDocument/2006/relationships/hyperlink" Target="https://www.nowfoods.com/products/supplements/taurine-pure-powder" TargetMode="External" Id="rId1967" /><Relationship Type="http://schemas.openxmlformats.org/officeDocument/2006/relationships/hyperlink" Target="https://www.nowfoods.com/products/supplements/taurine-pure-powder" TargetMode="External" Id="rId1968" /><Relationship Type="http://schemas.openxmlformats.org/officeDocument/2006/relationships/hyperlink" Target="https://www.nowfoods.com/products/supplements/taurine-pure-powder" TargetMode="External" Id="rId1969" /><Relationship Type="http://schemas.openxmlformats.org/officeDocument/2006/relationships/hyperlink" Target="https://www.nowfoods.com/products/supplements/taurine-pure-powder" TargetMode="External" Id="rId1970" /><Relationship Type="http://schemas.openxmlformats.org/officeDocument/2006/relationships/hyperlink" Target="https://www.nowfoods.com/products/supplements/taurine-pure-powder" TargetMode="External" Id="rId1971" /><Relationship Type="http://schemas.openxmlformats.org/officeDocument/2006/relationships/hyperlink" Target="https://www.nowfoods.com/products/supplements/taurine-pure-powder" TargetMode="External" Id="rId1972" /><Relationship Type="http://schemas.openxmlformats.org/officeDocument/2006/relationships/hyperlink" Target="https://www.nowfoods.com/products/supplements/taurine-pure-powder" TargetMode="External" Id="rId1973" /><Relationship Type="http://schemas.openxmlformats.org/officeDocument/2006/relationships/hyperlink" Target="https://www.nowfoods.com/products/supplements/taurine-pure-powder" TargetMode="External" Id="rId1974" /><Relationship Type="http://schemas.openxmlformats.org/officeDocument/2006/relationships/hyperlink" Target="https://www.nowfoods.com/products/supplements/taurine-pure-powder" TargetMode="External" Id="rId1975" /><Relationship Type="http://schemas.openxmlformats.org/officeDocument/2006/relationships/hyperlink" Target="https://www.nowfoods.com/products/supplements/taurine-pure-powder" TargetMode="External" Id="rId1976" /><Relationship Type="http://schemas.openxmlformats.org/officeDocument/2006/relationships/hyperlink" Target="https://www.nowfoods.com/products/supplements/taurine-pure-powder" TargetMode="External" Id="rId1977" /><Relationship Type="http://schemas.openxmlformats.org/officeDocument/2006/relationships/hyperlink" Target="https://www.nowfoods.com/products/supplements/taurine-pure-powder" TargetMode="External" Id="rId1978" /><Relationship Type="http://schemas.openxmlformats.org/officeDocument/2006/relationships/hyperlink" Target="https://www.nowfoods.com/products/supplements/taurine-pure-powder" TargetMode="External" Id="rId1979" /><Relationship Type="http://schemas.openxmlformats.org/officeDocument/2006/relationships/hyperlink" Target="https://www.nowfoods.com/products/supplements/taurine-pure-powder" TargetMode="External" Id="rId1980" /><Relationship Type="http://schemas.openxmlformats.org/officeDocument/2006/relationships/hyperlink" Target="https://www.nowfoods.com/products/supplements/taurine-pure-powder" TargetMode="External" Id="rId1981" /><Relationship Type="http://schemas.openxmlformats.org/officeDocument/2006/relationships/hyperlink" Target="https://www.nowfoods.com/products/supplements/taurine-pure-powder" TargetMode="External" Id="rId1982" /><Relationship Type="http://schemas.openxmlformats.org/officeDocument/2006/relationships/hyperlink" Target="https://www.nowfoods.com/products/supplements/taurine-pure-powder" TargetMode="External" Id="rId1983" /><Relationship Type="http://schemas.openxmlformats.org/officeDocument/2006/relationships/hyperlink" Target="https://www.nowfoods.com/products/supplements/taurine-pure-powder" TargetMode="External" Id="rId1984" /><Relationship Type="http://schemas.openxmlformats.org/officeDocument/2006/relationships/hyperlink" Target="https://www.nowfoods.com/products/supplements/taurine-pure-powder" TargetMode="External" Id="rId1985" /><Relationship Type="http://schemas.openxmlformats.org/officeDocument/2006/relationships/hyperlink" Target="https://www.nowfoods.com/products/supplements/taurine-pure-powder" TargetMode="External" Id="rId1986" /><Relationship Type="http://schemas.openxmlformats.org/officeDocument/2006/relationships/hyperlink" Target="https://www.nowfoods.com/products/supplements/taurine-pure-powder" TargetMode="External" Id="rId1987" /><Relationship Type="http://schemas.openxmlformats.org/officeDocument/2006/relationships/hyperlink" Target="https://www.nowfoods.com/products/supplements/taurine-pure-powder" TargetMode="External" Id="rId1988" /><Relationship Type="http://schemas.openxmlformats.org/officeDocument/2006/relationships/hyperlink" Target="https://www.nowfoods.com/products/supplements/taurine-pure-powder" TargetMode="External" Id="rId1989" /><Relationship Type="http://schemas.openxmlformats.org/officeDocument/2006/relationships/hyperlink" Target="https://www.nowfoods.com/products/supplements/taurine-pure-powder" TargetMode="External" Id="rId1990" /><Relationship Type="http://schemas.openxmlformats.org/officeDocument/2006/relationships/hyperlink" Target="https://www.nowfoods.com/products/supplements/taurine-pure-powder" TargetMode="External" Id="rId1991" /><Relationship Type="http://schemas.openxmlformats.org/officeDocument/2006/relationships/hyperlink" Target="https://www.nowfoods.com/products/supplements/taurine-pure-powder" TargetMode="External" Id="rId1992" /><Relationship Type="http://schemas.openxmlformats.org/officeDocument/2006/relationships/hyperlink" Target="https://www.nutrex-hawaii.com/products/bioastin-supreme-12-mg" TargetMode="External" Id="rId1993" /><Relationship Type="http://schemas.openxmlformats.org/officeDocument/2006/relationships/hyperlink" Target="https://www.nutrex-hawaii.com/products/bioastin-supreme-12-mg" TargetMode="External" Id="rId1994" /><Relationship Type="http://schemas.openxmlformats.org/officeDocument/2006/relationships/hyperlink" Target="https://www.nutrex-hawaii.com/products/bioastin-supreme-12-mg" TargetMode="External" Id="rId1995" /><Relationship Type="http://schemas.openxmlformats.org/officeDocument/2006/relationships/hyperlink" Target="https://www.nutrex-hawaii.com/products/bioastin-supreme-12-mg" TargetMode="External" Id="rId1996" /><Relationship Type="http://schemas.openxmlformats.org/officeDocument/2006/relationships/hyperlink" Target="https://www.nutrex-hawaii.com/products/bioastin-supreme-12-mg" TargetMode="External" Id="rId1997" /><Relationship Type="http://schemas.openxmlformats.org/officeDocument/2006/relationships/hyperlink" Target="https://www.nutrex-hawaii.com/products/bioastin-supreme-12-mg" TargetMode="External" Id="rId1998" /><Relationship Type="http://schemas.openxmlformats.org/officeDocument/2006/relationships/hyperlink" Target="https://www.nutrex-hawaii.com/products/bioastin-supreme-12-mg" TargetMode="External" Id="rId1999" /><Relationship Type="http://schemas.openxmlformats.org/officeDocument/2006/relationships/hyperlink" Target="https://www.nutrex-hawaii.com/products/bioastin-supreme-12-mg" TargetMode="External" Id="rId2000" /><Relationship Type="http://schemas.openxmlformats.org/officeDocument/2006/relationships/hyperlink" Target="https://www.nutrex-hawaii.com/products/bioastin-supreme-12-mg" TargetMode="External" Id="rId2001" /><Relationship Type="http://schemas.openxmlformats.org/officeDocument/2006/relationships/hyperlink" Target="https://www.nutrex-hawaii.com/products/bioastin-supreme-12-mg" TargetMode="External" Id="rId2002" /><Relationship Type="http://schemas.openxmlformats.org/officeDocument/2006/relationships/hyperlink" Target="https://www.nutrex-hawaii.com/products/bioastin-supreme-12-mg" TargetMode="External" Id="rId2003" /><Relationship Type="http://schemas.openxmlformats.org/officeDocument/2006/relationships/hyperlink" Target="https://www.nutrex-hawaii.com/products/bioastin-supreme-12-mg" TargetMode="External" Id="rId2004" /><Relationship Type="http://schemas.openxmlformats.org/officeDocument/2006/relationships/hyperlink" Target="https://www.nutrex-hawaii.com/products/bioastin-supreme-12-mg" TargetMode="External" Id="rId2005" /><Relationship Type="http://schemas.openxmlformats.org/officeDocument/2006/relationships/hyperlink" Target="https://www.nutrex-hawaii.com/products/bioastin-supreme-12-mg" TargetMode="External" Id="rId2006" /><Relationship Type="http://schemas.openxmlformats.org/officeDocument/2006/relationships/hyperlink" Target="https://www.nutrex-hawaii.com/products/bioastin-supreme-12-mg" TargetMode="External" Id="rId2007" /><Relationship Type="http://schemas.openxmlformats.org/officeDocument/2006/relationships/hyperlink" Target="https://www.nutrex-hawaii.com/products/bioastin-supreme-12-mg" TargetMode="External" Id="rId2008" /><Relationship Type="http://schemas.openxmlformats.org/officeDocument/2006/relationships/hyperlink" Target="https://www.nutrex-hawaii.com/products/bioastin-supreme-12-mg" TargetMode="External" Id="rId2009" /><Relationship Type="http://schemas.openxmlformats.org/officeDocument/2006/relationships/hyperlink" Target="https://www.nutrex-hawaii.com/products/bioastin-supreme-12-mg" TargetMode="External" Id="rId2010" /><Relationship Type="http://schemas.openxmlformats.org/officeDocument/2006/relationships/hyperlink" Target="https://www.nutrex-hawaii.com/products/bioastin-supreme-12-mg" TargetMode="External" Id="rId2011" /><Relationship Type="http://schemas.openxmlformats.org/officeDocument/2006/relationships/hyperlink" Target="https://www.nutrex-hawaii.com/products/bioastin-supreme-12-mg" TargetMode="External" Id="rId2012" /><Relationship Type="http://schemas.openxmlformats.org/officeDocument/2006/relationships/hyperlink" Target="https://www.nutrex-hawaii.com/products/bioastin-supreme-12-mg" TargetMode="External" Id="rId2013" /><Relationship Type="http://schemas.openxmlformats.org/officeDocument/2006/relationships/hyperlink" Target="https://www.nutrex-hawaii.com/products/bioastin-supreme-12-mg" TargetMode="External" Id="rId2014" /><Relationship Type="http://schemas.openxmlformats.org/officeDocument/2006/relationships/hyperlink" Target="https://www.nutrex-hawaii.com/products/bioastin-supreme-12-mg" TargetMode="External" Id="rId2015" /><Relationship Type="http://schemas.openxmlformats.org/officeDocument/2006/relationships/hyperlink" Target="https://www.nutrex-hawaii.com/products/bioastin-supreme-12-mg" TargetMode="External" Id="rId2016" /><Relationship Type="http://schemas.openxmlformats.org/officeDocument/2006/relationships/hyperlink" Target="https://www.nutrex-hawaii.com/products/bioastin-supreme-12-mg" TargetMode="External" Id="rId2017" /><Relationship Type="http://schemas.openxmlformats.org/officeDocument/2006/relationships/hyperlink" Target="https://www.nutrex-hawaii.com/products/bioastin-supreme-12-mg" TargetMode="External" Id="rId2018" /><Relationship Type="http://schemas.openxmlformats.org/officeDocument/2006/relationships/hyperlink" Target="https://www.nutrex-hawaii.com/products/bioastin-supreme-12-mg" TargetMode="External" Id="rId2019" /><Relationship Type="http://schemas.openxmlformats.org/officeDocument/2006/relationships/hyperlink" Target="https://www.nutrex-hawaii.com/products/bioastin-supreme-12-mg" TargetMode="External" Id="rId2020" /><Relationship Type="http://schemas.openxmlformats.org/officeDocument/2006/relationships/hyperlink" Target="https://www.nutrex-hawaii.com/products/bioastin-supreme-12-mg" TargetMode="External" Id="rId2021" /><Relationship Type="http://schemas.openxmlformats.org/officeDocument/2006/relationships/hyperlink" Target="https://www.nutrex-hawaii.com/products/bioastin-supreme-12-mg" TargetMode="External" Id="rId2022" /><Relationship Type="http://schemas.openxmlformats.org/officeDocument/2006/relationships/hyperlink" Target="https://www.nutrex-hawaii.com/products/bioastin-supreme-12-mg" TargetMode="External" Id="rId2023" /><Relationship Type="http://schemas.openxmlformats.org/officeDocument/2006/relationships/hyperlink" Target="https://www.nutrex-hawaii.com/products/bioastin-supreme-12-mg" TargetMode="External" Id="rId2024" /><Relationship Type="http://schemas.openxmlformats.org/officeDocument/2006/relationships/hyperlink" Target="https://www.nutrex-hawaii.com/products/bioastin-supreme-12-mg" TargetMode="External" Id="rId2025" /><Relationship Type="http://schemas.openxmlformats.org/officeDocument/2006/relationships/hyperlink" Target="https://www.nutrex-hawaii.com/products/bioastin-supreme-12-mg" TargetMode="External" Id="rId2026" /><Relationship Type="http://schemas.openxmlformats.org/officeDocument/2006/relationships/hyperlink" Target="https://www.nutrex-hawaii.com/products/bioastin-supreme-12-mg" TargetMode="External" Id="rId2027" /><Relationship Type="http://schemas.openxmlformats.org/officeDocument/2006/relationships/hyperlink" Target="https://www.nutrex-hawaii.com/products/bioastin-supreme-12-mg" TargetMode="External" Id="rId2028" /><Relationship Type="http://schemas.openxmlformats.org/officeDocument/2006/relationships/hyperlink" Target="https://www.nutrex-hawaii.com/products/bioastin-supreme-12-mg" TargetMode="External" Id="rId2029" /><Relationship Type="http://schemas.openxmlformats.org/officeDocument/2006/relationships/hyperlink" Target="https://www.nutrex-hawaii.com/products/bioastin-supreme-12-mg" TargetMode="External" Id="rId2030" /><Relationship Type="http://schemas.openxmlformats.org/officeDocument/2006/relationships/hyperlink" Target="https://www.nutrex-hawaii.com/products/bioastin-supreme-12-mg" TargetMode="External" Id="rId2031" /><Relationship Type="http://schemas.openxmlformats.org/officeDocument/2006/relationships/hyperlink" Target="https://www.nutrex-hawaii.com/products/bioastin-supreme-12-mg" TargetMode="External" Id="rId2032" /><Relationship Type="http://schemas.openxmlformats.org/officeDocument/2006/relationships/hyperlink" Target="https://www.nutrex-hawaii.com/products/bioastin-supreme-12-mg" TargetMode="External" Id="rId2033" /><Relationship Type="http://schemas.openxmlformats.org/officeDocument/2006/relationships/hyperlink" Target="https://www.nutrex-hawaii.com/products/bioastin-supreme-12-mg" TargetMode="External" Id="rId2034" /><Relationship Type="http://schemas.openxmlformats.org/officeDocument/2006/relationships/hyperlink" Target="https://www.nutrex-hawaii.com/products/bioastin-supreme-12-mg" TargetMode="External" Id="rId2035" /><Relationship Type="http://schemas.openxmlformats.org/officeDocument/2006/relationships/hyperlink" Target="https://www.nutrex-hawaii.com/products/bioastin-supreme-12-mg" TargetMode="External" Id="rId2036" /><Relationship Type="http://schemas.openxmlformats.org/officeDocument/2006/relationships/hyperlink" Target="https://www.nutrex-hawaii.com/products/bioastin-supreme-12-mg" TargetMode="External" Id="rId2037" /><Relationship Type="http://schemas.openxmlformats.org/officeDocument/2006/relationships/hyperlink" Target="https://www.nutrex-hawaii.com/products/bioastin-supreme-12-mg" TargetMode="External" Id="rId2038" /><Relationship Type="http://schemas.openxmlformats.org/officeDocument/2006/relationships/hyperlink" Target="https://www.nutrex-hawaii.com/products/bioastin-supreme-12-mg" TargetMode="External" Id="rId2039" /><Relationship Type="http://schemas.openxmlformats.org/officeDocument/2006/relationships/hyperlink" Target="https://www.nutrex-hawaii.com/products/bioastin-supreme-12-mg" TargetMode="External" Id="rId2040" /><Relationship Type="http://schemas.openxmlformats.org/officeDocument/2006/relationships/hyperlink" Target="https://www.nutrex-hawaii.com/products/bioastin-supreme-12-mg" TargetMode="External" Id="rId2041" /><Relationship Type="http://schemas.openxmlformats.org/officeDocument/2006/relationships/hyperlink" Target="https://www.nutrex-hawaii.com/products/bioastin-supreme-12-mg" TargetMode="External" Id="rId2042" /><Relationship Type="http://schemas.openxmlformats.org/officeDocument/2006/relationships/hyperlink" Target="https://www.nutrex-hawaii.com/products/bioastin-supreme-12-mg" TargetMode="External" Id="rId2043" /><Relationship Type="http://schemas.openxmlformats.org/officeDocument/2006/relationships/hyperlink" Target="https://www.nutrex-hawaii.com/products/bioastin-supreme-12-mg" TargetMode="External" Id="rId2044" /><Relationship Type="http://schemas.openxmlformats.org/officeDocument/2006/relationships/hyperlink" Target="https://www.nutrex-hawaii.com/products/bioastin-supreme-12-mg" TargetMode="External" Id="rId2045" /><Relationship Type="http://schemas.openxmlformats.org/officeDocument/2006/relationships/hyperlink" Target="https://www.nutrex-hawaii.com/products/bioastin-supreme-12-mg" TargetMode="External" Id="rId2046" /><Relationship Type="http://schemas.openxmlformats.org/officeDocument/2006/relationships/hyperlink" Target="https://www.nutrex-hawaii.com/products/bioastin-supreme-12-mg" TargetMode="External" Id="rId2047" /><Relationship Type="http://schemas.openxmlformats.org/officeDocument/2006/relationships/hyperlink" Target="https://www.nutrex-hawaii.com/products/bioastin-supreme-12-mg" TargetMode="External" Id="rId2048" /><Relationship Type="http://schemas.openxmlformats.org/officeDocument/2006/relationships/hyperlink" Target="https://www.nutrex-hawaii.com/products/bioastin-supreme-12-mg" TargetMode="External" Id="rId2049" /><Relationship Type="http://schemas.openxmlformats.org/officeDocument/2006/relationships/hyperlink" Target="https://www.nutrex-hawaii.com/products/bioastin-supreme-12-mg" TargetMode="External" Id="rId2050" /><Relationship Type="http://schemas.openxmlformats.org/officeDocument/2006/relationships/hyperlink" Target="https://www.nutrex-hawaii.com/products/bioastin-supreme-12-mg" TargetMode="External" Id="rId2051" /><Relationship Type="http://schemas.openxmlformats.org/officeDocument/2006/relationships/hyperlink" Target="https://www.nutrex-hawaii.com/products/bioastin-supreme-12-mg" TargetMode="External" Id="rId2052" /><Relationship Type="http://schemas.openxmlformats.org/officeDocument/2006/relationships/hyperlink" Target="https://www.nutrex-hawaii.com/products/bioastin-supreme-12-mg" TargetMode="External" Id="rId2053" /><Relationship Type="http://schemas.openxmlformats.org/officeDocument/2006/relationships/hyperlink" Target="https://www.nutrex-hawaii.com/products/bioastin-supreme-12-mg" TargetMode="External" Id="rId2054" /><Relationship Type="http://schemas.openxmlformats.org/officeDocument/2006/relationships/hyperlink" Target="https://www.nutrex-hawaii.com/products/bioastin-supreme-12-mg" TargetMode="External" Id="rId2055" /><Relationship Type="http://schemas.openxmlformats.org/officeDocument/2006/relationships/hyperlink" Target="https://www.nutrex-hawaii.com/products/bioastin-supreme-12-mg" TargetMode="External" Id="rId2056" /><Relationship Type="http://schemas.openxmlformats.org/officeDocument/2006/relationships/hyperlink" Target="https://www.nutrex-hawaii.com/products/bioastin-supreme-12-mg" TargetMode="External" Id="rId2057" /><Relationship Type="http://schemas.openxmlformats.org/officeDocument/2006/relationships/hyperlink" Target="https://www.nutrex-hawaii.com/products/bioastin-supreme-12-mg" TargetMode="External" Id="rId2058" /><Relationship Type="http://schemas.openxmlformats.org/officeDocument/2006/relationships/hyperlink" Target="https://www.nutrex-hawaii.com/products/bioastin-supreme-12-mg" TargetMode="External" Id="rId2059" /><Relationship Type="http://schemas.openxmlformats.org/officeDocument/2006/relationships/hyperlink" Target="https://www.nutrex-hawaii.com/products/bioastin-supreme-12-mg" TargetMode="External" Id="rId2060" /><Relationship Type="http://schemas.openxmlformats.org/officeDocument/2006/relationships/hyperlink" Target="https://www.nutrex-hawaii.com/products/bioastin-supreme-12-mg" TargetMode="External" Id="rId2061" /><Relationship Type="http://schemas.openxmlformats.org/officeDocument/2006/relationships/hyperlink" Target="https://www.nutrex-hawaii.com/products/bioastin-supreme-12-mg" TargetMode="External" Id="rId2062" /><Relationship Type="http://schemas.openxmlformats.org/officeDocument/2006/relationships/hyperlink" Target="https://www.nutrex-hawaii.com/products/bioastin-supreme-12-mg" TargetMode="External" Id="rId2063" /><Relationship Type="http://schemas.openxmlformats.org/officeDocument/2006/relationships/hyperlink" Target="https://www.nutrex-hawaii.com/products/bioastin-supreme-12-mg" TargetMode="External" Id="rId2064" /><Relationship Type="http://schemas.openxmlformats.org/officeDocument/2006/relationships/hyperlink" Target="https://www.nutrex-hawaii.com/products/bioastin-supreme-12-mg" TargetMode="External" Id="rId2065" /><Relationship Type="http://schemas.openxmlformats.org/officeDocument/2006/relationships/hyperlink" Target="https://www.nutrex-hawaii.com/products/bioastin-supreme-12-mg" TargetMode="External" Id="rId2066" /><Relationship Type="http://schemas.openxmlformats.org/officeDocument/2006/relationships/hyperlink" Target="https://www.nutrex-hawaii.com/products/bioastin-supreme-12-mg" TargetMode="External" Id="rId2067" /><Relationship Type="http://schemas.openxmlformats.org/officeDocument/2006/relationships/hyperlink" Target="https://www.nutrex-hawaii.com/products/bioastin-supreme-12-mg" TargetMode="External" Id="rId2068" /><Relationship Type="http://schemas.openxmlformats.org/officeDocument/2006/relationships/hyperlink" Target="https://www.nutrex-hawaii.com/products/bioastin-supreme-12-mg" TargetMode="External" Id="rId2069" /><Relationship Type="http://schemas.openxmlformats.org/officeDocument/2006/relationships/hyperlink" Target="https://www.nutrex-hawaii.com/products/bioastin-supreme-12-mg" TargetMode="External" Id="rId2070" /><Relationship Type="http://schemas.openxmlformats.org/officeDocument/2006/relationships/hyperlink" Target="https://www.nutrex-hawaii.com/products/bioastin-supreme-12-mg" TargetMode="External" Id="rId2071" /><Relationship Type="http://schemas.openxmlformats.org/officeDocument/2006/relationships/hyperlink" Target="https://www.nutrex-hawaii.com/products/bioastin-supreme-12-mg" TargetMode="External" Id="rId2072" /><Relationship Type="http://schemas.openxmlformats.org/officeDocument/2006/relationships/hyperlink" Target="https://www.nutrex-hawaii.com/products/bioastin-supreme-12-mg" TargetMode="External" Id="rId2073" /><Relationship Type="http://schemas.openxmlformats.org/officeDocument/2006/relationships/hyperlink" Target="https://www.nutrex-hawaii.com/products/bioastin-supreme-12-mg" TargetMode="External" Id="rId2074" /><Relationship Type="http://schemas.openxmlformats.org/officeDocument/2006/relationships/hyperlink" Target="https://www.nutrex-hawaii.com/products/bioastin-supreme-12-mg" TargetMode="External" Id="rId2075" /><Relationship Type="http://schemas.openxmlformats.org/officeDocument/2006/relationships/hyperlink" Target="https://www.nowfoods.com/products/foods/inulin-prebiotic-pure-powder-organic" TargetMode="External" Id="rId2076" /><Relationship Type="http://schemas.openxmlformats.org/officeDocument/2006/relationships/hyperlink" Target="https://www.nowfoods.com/products/foods/inulin-prebiotic-pure-powder-organic" TargetMode="External" Id="rId2077" /><Relationship Type="http://schemas.openxmlformats.org/officeDocument/2006/relationships/hyperlink" Target="https://www.nowfoods.com/products/foods/inulin-prebiotic-pure-powder-organic" TargetMode="External" Id="rId2078" /><Relationship Type="http://schemas.openxmlformats.org/officeDocument/2006/relationships/hyperlink" Target="https://www.nowfoods.com/products/foods/inulin-prebiotic-pure-powder-organic" TargetMode="External" Id="rId2079" /><Relationship Type="http://schemas.openxmlformats.org/officeDocument/2006/relationships/hyperlink" Target="https://www.nowfoods.com/products/foods/inulin-prebiotic-pure-powder-organic" TargetMode="External" Id="rId2080" /><Relationship Type="http://schemas.openxmlformats.org/officeDocument/2006/relationships/hyperlink" Target="https://www.nowfoods.com/products/foods/inulin-prebiotic-pure-powder-organic" TargetMode="External" Id="rId2081" /><Relationship Type="http://schemas.openxmlformats.org/officeDocument/2006/relationships/hyperlink" Target="https://www.nowfoods.com/products/foods/inulin-prebiotic-pure-powder-organic" TargetMode="External" Id="rId2082" /><Relationship Type="http://schemas.openxmlformats.org/officeDocument/2006/relationships/hyperlink" Target="https://www.nowfoods.com/products/foods/inulin-prebiotic-pure-powder-organic" TargetMode="External" Id="rId2083" /><Relationship Type="http://schemas.openxmlformats.org/officeDocument/2006/relationships/hyperlink" Target="https://www.nowfoods.com/products/foods/inulin-prebiotic-pure-powder-organic" TargetMode="External" Id="rId2084" /><Relationship Type="http://schemas.openxmlformats.org/officeDocument/2006/relationships/hyperlink" Target="https://www.nowfoods.com/products/foods/inulin-prebiotic-pure-powder-organic" TargetMode="External" Id="rId2085" /><Relationship Type="http://schemas.openxmlformats.org/officeDocument/2006/relationships/hyperlink" Target="https://www.nowfoods.com/products/foods/inulin-prebiotic-pure-powder-organic" TargetMode="External" Id="rId2086" /><Relationship Type="http://schemas.openxmlformats.org/officeDocument/2006/relationships/hyperlink" Target="https://www.nowfoods.com/products/foods/inulin-prebiotic-pure-powder-organic" TargetMode="External" Id="rId2087" /><Relationship Type="http://schemas.openxmlformats.org/officeDocument/2006/relationships/hyperlink" Target="https://www.nowfoods.com/products/foods/inulin-prebiotic-pure-powder-organic" TargetMode="External" Id="rId2088" /><Relationship Type="http://schemas.openxmlformats.org/officeDocument/2006/relationships/hyperlink" Target="https://www.nowfoods.com/products/foods/inulin-prebiotic-pure-powder-organic" TargetMode="External" Id="rId2089" /><Relationship Type="http://schemas.openxmlformats.org/officeDocument/2006/relationships/hyperlink" Target="https://www.nowfoods.com/products/foods/inulin-prebiotic-pure-powder-organic" TargetMode="External" Id="rId2090" /><Relationship Type="http://schemas.openxmlformats.org/officeDocument/2006/relationships/hyperlink" Target="https://www.nowfoods.com/products/foods/inulin-prebiotic-pure-powder-organic" TargetMode="External" Id="rId2091" /><Relationship Type="http://schemas.openxmlformats.org/officeDocument/2006/relationships/hyperlink" Target="https://www.nowfoods.com/products/foods/inulin-prebiotic-pure-powder-organic" TargetMode="External" Id="rId2092" /><Relationship Type="http://schemas.openxmlformats.org/officeDocument/2006/relationships/hyperlink" Target="https://www.nowfoods.com/products/foods/inulin-prebiotic-pure-powder-organic" TargetMode="External" Id="rId2093" /><Relationship Type="http://schemas.openxmlformats.org/officeDocument/2006/relationships/hyperlink" Target="https://www.nowfoods.com/products/foods/inulin-prebiotic-pure-powder-organic" TargetMode="External" Id="rId2094" /><Relationship Type="http://schemas.openxmlformats.org/officeDocument/2006/relationships/hyperlink" Target="https://www.nowfoods.com/products/foods/inulin-prebiotic-pure-powder-organic" TargetMode="External" Id="rId2095" /><Relationship Type="http://schemas.openxmlformats.org/officeDocument/2006/relationships/hyperlink" Target="https://www.nowfoods.com/products/foods/inulin-prebiotic-pure-powder-organic" TargetMode="External" Id="rId2096" /><Relationship Type="http://schemas.openxmlformats.org/officeDocument/2006/relationships/hyperlink" Target="https://www.nowfoods.com/products/foods/inulin-prebiotic-pure-powder-organic" TargetMode="External" Id="rId2097" /><Relationship Type="http://schemas.openxmlformats.org/officeDocument/2006/relationships/hyperlink" Target="https://www.nowfoods.com/products/foods/inulin-prebiotic-pure-powder-organic" TargetMode="External" Id="rId2098" /><Relationship Type="http://schemas.openxmlformats.org/officeDocument/2006/relationships/hyperlink" Target="https://www.nowfoods.com/products/foods/inulin-prebiotic-pure-powder-organic" TargetMode="External" Id="rId2099" /><Relationship Type="http://schemas.openxmlformats.org/officeDocument/2006/relationships/hyperlink" Target="https://www.nowfoods.com/products/foods/inulin-prebiotic-pure-powder-organic" TargetMode="External" Id="rId2100" /><Relationship Type="http://schemas.openxmlformats.org/officeDocument/2006/relationships/hyperlink" Target="https://www.nowfoods.com/products/foods/inulin-prebiotic-pure-powder-organic" TargetMode="External" Id="rId2101" /><Relationship Type="http://schemas.openxmlformats.org/officeDocument/2006/relationships/hyperlink" Target="https://www.nowfoods.com/products/foods/inulin-prebiotic-pure-powder-organic" TargetMode="External" Id="rId2102" /><Relationship Type="http://schemas.openxmlformats.org/officeDocument/2006/relationships/hyperlink" Target="https://www.nowfoods.com/products/foods/inulin-prebiotic-pure-powder-organic" TargetMode="External" Id="rId2103" /><Relationship Type="http://schemas.openxmlformats.org/officeDocument/2006/relationships/hyperlink" Target="https://www.nowfoods.com/products/foods/inulin-prebiotic-pure-powder-organic" TargetMode="External" Id="rId2104" /><Relationship Type="http://schemas.openxmlformats.org/officeDocument/2006/relationships/hyperlink" Target="https://www.nowfoods.com/products/foods/inulin-prebiotic-pure-powder-organic" TargetMode="External" Id="rId2105" /><Relationship Type="http://schemas.openxmlformats.org/officeDocument/2006/relationships/hyperlink" Target="https://www.nowfoods.com/products/foods/inulin-prebiotic-pure-powder-organic" TargetMode="External" Id="rId2106" /><Relationship Type="http://schemas.openxmlformats.org/officeDocument/2006/relationships/hyperlink" Target="https://www.nowfoods.com/products/foods/inulin-prebiotic-pure-powder-organic" TargetMode="External" Id="rId2107" /><Relationship Type="http://schemas.openxmlformats.org/officeDocument/2006/relationships/hyperlink" Target="https://www.nowfoods.com/products/foods/inulin-prebiotic-pure-powder-organic" TargetMode="External" Id="rId2108" /><Relationship Type="http://schemas.openxmlformats.org/officeDocument/2006/relationships/hyperlink" Target="https://www.nowfoods.com/products/foods/inulin-prebiotic-pure-powder-organic" TargetMode="External" Id="rId2109" /><Relationship Type="http://schemas.openxmlformats.org/officeDocument/2006/relationships/hyperlink" Target="https://www.nowfoods.com/products/foods/inulin-prebiotic-pure-powder-organic" TargetMode="External" Id="rId2110" /><Relationship Type="http://schemas.openxmlformats.org/officeDocument/2006/relationships/hyperlink" Target="https://www.nowfoods.com/products/foods/inulin-prebiotic-pure-powder-organic" TargetMode="External" Id="rId2111" /><Relationship Type="http://schemas.openxmlformats.org/officeDocument/2006/relationships/hyperlink" Target="https://www.nowfoods.com/products/foods/inulin-prebiotic-pure-powder-organic" TargetMode="External" Id="rId2112" /><Relationship Type="http://schemas.openxmlformats.org/officeDocument/2006/relationships/hyperlink" Target="https://www.nowfoods.com/products/foods/inulin-prebiotic-pure-powder-organic" TargetMode="External" Id="rId2113" /><Relationship Type="http://schemas.openxmlformats.org/officeDocument/2006/relationships/hyperlink" Target="https://www.nowfoods.com/products/foods/inulin-prebiotic-pure-powder-organic" TargetMode="External" Id="rId2114" /><Relationship Type="http://schemas.openxmlformats.org/officeDocument/2006/relationships/hyperlink" Target="https://www.nowfoods.com/products/foods/inulin-prebiotic-pure-powder-organic" TargetMode="External" Id="rId2115" /><Relationship Type="http://schemas.openxmlformats.org/officeDocument/2006/relationships/hyperlink" Target="https://www.nowfoods.com/products/foods/inulin-prebiotic-pure-powder-organic" TargetMode="External" Id="rId2116" /><Relationship Type="http://schemas.openxmlformats.org/officeDocument/2006/relationships/hyperlink" Target="https://www.nowfoods.com/products/foods/inulin-prebiotic-pure-powder-organic" TargetMode="External" Id="rId2117" /><Relationship Type="http://schemas.openxmlformats.org/officeDocument/2006/relationships/hyperlink" Target="https://www.nowfoods.com/products/foods/inulin-prebiotic-pure-powder-organic" TargetMode="External" Id="rId2118" /><Relationship Type="http://schemas.openxmlformats.org/officeDocument/2006/relationships/hyperlink" Target="https://www.nowfoods.com/products/foods/inulin-prebiotic-pure-powder-organic" TargetMode="External" Id="rId2119" /><Relationship Type="http://schemas.openxmlformats.org/officeDocument/2006/relationships/hyperlink" Target="https://www.nowfoods.com/products/foods/inulin-prebiotic-pure-powder-organic" TargetMode="External" Id="rId2120" /><Relationship Type="http://schemas.openxmlformats.org/officeDocument/2006/relationships/hyperlink" Target="https://www.nowfoods.com/products/foods/inulin-prebiotic-pure-powder-organic" TargetMode="External" Id="rId2121" /><Relationship Type="http://schemas.openxmlformats.org/officeDocument/2006/relationships/hyperlink" Target="https://www.nowfoods.com/products/foods/inulin-prebiotic-pure-powder-organic" TargetMode="External" Id="rId2122" /><Relationship Type="http://schemas.openxmlformats.org/officeDocument/2006/relationships/hyperlink" Target="https://www.nowfoods.com/products/foods/inulin-prebiotic-pure-powder-organic" TargetMode="External" Id="rId2123" /><Relationship Type="http://schemas.openxmlformats.org/officeDocument/2006/relationships/hyperlink" Target="https://www.nowfoods.com/products/foods/inulin-prebiotic-pure-powder-organic" TargetMode="External" Id="rId2124" /><Relationship Type="http://schemas.openxmlformats.org/officeDocument/2006/relationships/hyperlink" Target="https://www.nowfoods.com/products/foods/inulin-prebiotic-pure-powder-organic" TargetMode="External" Id="rId2125" /><Relationship Type="http://schemas.openxmlformats.org/officeDocument/2006/relationships/hyperlink" Target="https://www.nowfoods.com/products/foods/inulin-prebiotic-pure-powder-organic" TargetMode="External" Id="rId2126" /><Relationship Type="http://schemas.openxmlformats.org/officeDocument/2006/relationships/hyperlink" Target="https://www.nowfoods.com/products/foods/inulin-prebiotic-pure-powder-organic" TargetMode="External" Id="rId2127" /><Relationship Type="http://schemas.openxmlformats.org/officeDocument/2006/relationships/hyperlink" Target="https://www.nowfoods.com/products/foods/inulin-prebiotic-pure-powder-organic" TargetMode="External" Id="rId2128" /><Relationship Type="http://schemas.openxmlformats.org/officeDocument/2006/relationships/hyperlink" Target="https://www.nowfoods.com/products/foods/inulin-prebiotic-pure-powder-organic" TargetMode="External" Id="rId2129" /><Relationship Type="http://schemas.openxmlformats.org/officeDocument/2006/relationships/hyperlink" Target="https://www.nowfoods.com/products/foods/inulin-prebiotic-pure-powder-organic" TargetMode="External" Id="rId2130" /><Relationship Type="http://schemas.openxmlformats.org/officeDocument/2006/relationships/hyperlink" Target="https://www.nowfoods.com/products/foods/inulin-prebiotic-pure-powder-organic" TargetMode="External" Id="rId2131" /><Relationship Type="http://schemas.openxmlformats.org/officeDocument/2006/relationships/hyperlink" Target="https://www.nowfoods.com/products/foods/inulin-prebiotic-pure-powder-organic" TargetMode="External" Id="rId2132" /><Relationship Type="http://schemas.openxmlformats.org/officeDocument/2006/relationships/hyperlink" Target="https://www.nowfoods.com/products/foods/inulin-prebiotic-pure-powder-organic" TargetMode="External" Id="rId2133" /><Relationship Type="http://schemas.openxmlformats.org/officeDocument/2006/relationships/hyperlink" Target="https://www.nowfoods.com/products/foods/inulin-prebiotic-pure-powder-organic" TargetMode="External" Id="rId2134" /><Relationship Type="http://schemas.openxmlformats.org/officeDocument/2006/relationships/hyperlink" Target="https://www.nowfoods.com/products/foods/inulin-prebiotic-pure-powder-organic" TargetMode="External" Id="rId2135" /><Relationship Type="http://schemas.openxmlformats.org/officeDocument/2006/relationships/hyperlink" Target="https://www.nowfoods.com/products/foods/inulin-prebiotic-pure-powder-organic" TargetMode="External" Id="rId2136" /><Relationship Type="http://schemas.openxmlformats.org/officeDocument/2006/relationships/hyperlink" Target="https://www.nowfoods.com/products/foods/inulin-prebiotic-pure-powder-organic" TargetMode="External" Id="rId2137" /><Relationship Type="http://schemas.openxmlformats.org/officeDocument/2006/relationships/hyperlink" Target="https://www.nowfoods.com/products/foods/inulin-prebiotic-pure-powder-organic" TargetMode="External" Id="rId2138" /><Relationship Type="http://schemas.openxmlformats.org/officeDocument/2006/relationships/hyperlink" Target="https://www.nowfoods.com/products/foods/inulin-prebiotic-pure-powder-organic" TargetMode="External" Id="rId2139" /><Relationship Type="http://schemas.openxmlformats.org/officeDocument/2006/relationships/hyperlink" Target="https://www.nowfoods.com/products/foods/inulin-prebiotic-pure-powder-organic" TargetMode="External" Id="rId2140" /><Relationship Type="http://schemas.openxmlformats.org/officeDocument/2006/relationships/hyperlink" Target="https://www.nowfoods.com/products/foods/inulin-prebiotic-pure-powder-organic" TargetMode="External" Id="rId2141" /><Relationship Type="http://schemas.openxmlformats.org/officeDocument/2006/relationships/hyperlink" Target="https://www.nowfoods.com/products/foods/inulin-prebiotic-pure-powder-organic" TargetMode="External" Id="rId2142" /><Relationship Type="http://schemas.openxmlformats.org/officeDocument/2006/relationships/hyperlink" Target="https://www.nowfoods.com/products/foods/inulin-prebiotic-pure-powder-organic" TargetMode="External" Id="rId2143" /><Relationship Type="http://schemas.openxmlformats.org/officeDocument/2006/relationships/hyperlink" Target="https://www.nowfoods.com/products/foods/inulin-prebiotic-pure-powder-organic" TargetMode="External" Id="rId2144" /><Relationship Type="http://schemas.openxmlformats.org/officeDocument/2006/relationships/hyperlink" Target="https://www.nowfoods.com/products/foods/inulin-prebiotic-pure-powder-organic" TargetMode="External" Id="rId2145" /><Relationship Type="http://schemas.openxmlformats.org/officeDocument/2006/relationships/hyperlink" Target="https://www.nowfoods.com/products/foods/inulin-prebiotic-pure-powder-organic" TargetMode="External" Id="rId2146" /><Relationship Type="http://schemas.openxmlformats.org/officeDocument/2006/relationships/hyperlink" Target="https://www.nowfoods.com/products/foods/inulin-prebiotic-pure-powder-organic" TargetMode="External" Id="rId2147" /><Relationship Type="http://schemas.openxmlformats.org/officeDocument/2006/relationships/hyperlink" Target="https://www.nowfoods.com/products/foods/inulin-prebiotic-pure-powder-organic" TargetMode="External" Id="rId2148" /><Relationship Type="http://schemas.openxmlformats.org/officeDocument/2006/relationships/hyperlink" Target="https://www.nowfoods.com/products/foods/inulin-prebiotic-pure-powder-organic" TargetMode="External" Id="rId2149" /><Relationship Type="http://schemas.openxmlformats.org/officeDocument/2006/relationships/hyperlink" Target="https://www.nowfoods.com/products/foods/inulin-prebiotic-pure-powder-organic" TargetMode="External" Id="rId2150" /><Relationship Type="http://schemas.openxmlformats.org/officeDocument/2006/relationships/hyperlink" Target="https://www.nowfoods.com/products/foods/inulin-prebiotic-pure-powder-organic" TargetMode="External" Id="rId2151" /><Relationship Type="http://schemas.openxmlformats.org/officeDocument/2006/relationships/hyperlink" Target="https://www.nowfoods.com/products/foods/inulin-prebiotic-pure-powder-organic" TargetMode="External" Id="rId2152" /><Relationship Type="http://schemas.openxmlformats.org/officeDocument/2006/relationships/hyperlink" Target="https://www.nowfoods.com/products/foods/inulin-prebiotic-pure-powder-organic" TargetMode="External" Id="rId2153" /><Relationship Type="http://schemas.openxmlformats.org/officeDocument/2006/relationships/hyperlink" Target="https://www.nowfoods.com/products/foods/inulin-prebiotic-pure-powder-organic" TargetMode="External" Id="rId2154" /><Relationship Type="http://schemas.openxmlformats.org/officeDocument/2006/relationships/hyperlink" Target="https://www.nowfoods.com/products/foods/inulin-prebiotic-pure-powder-organic" TargetMode="External" Id="rId2155" /><Relationship Type="http://schemas.openxmlformats.org/officeDocument/2006/relationships/hyperlink" Target="https://www.nowfoods.com/products/foods/inulin-prebiotic-pure-powder-organic" TargetMode="External" Id="rId2156" /><Relationship Type="http://schemas.openxmlformats.org/officeDocument/2006/relationships/hyperlink" Target="https://www.nowfoods.com/products/foods/inulin-prebiotic-pure-powder-organic" TargetMode="External" Id="rId2157" /><Relationship Type="http://schemas.openxmlformats.org/officeDocument/2006/relationships/hyperlink" Target="https://www.nowfoods.com/products/foods/inulin-prebiotic-pure-powder-organic" TargetMode="External" Id="rId2158" /><Relationship Type="http://schemas.openxmlformats.org/officeDocument/2006/relationships/hyperlink" Target="https://justaboutfoods.com/products/organic-green-banana-flour" TargetMode="External" Id="rId2159" /><Relationship Type="http://schemas.openxmlformats.org/officeDocument/2006/relationships/hyperlink" Target="https://justaboutfoods.com/products/organic-green-banana-flour" TargetMode="External" Id="rId2160" /><Relationship Type="http://schemas.openxmlformats.org/officeDocument/2006/relationships/hyperlink" Target="https://justaboutfoods.com/products/organic-green-banana-flour" TargetMode="External" Id="rId2161" /><Relationship Type="http://schemas.openxmlformats.org/officeDocument/2006/relationships/hyperlink" Target="https://justaboutfoods.com/products/organic-green-banana-flour" TargetMode="External" Id="rId2162" /><Relationship Type="http://schemas.openxmlformats.org/officeDocument/2006/relationships/hyperlink" Target="https://justaboutfoods.com/products/organic-green-banana-flour" TargetMode="External" Id="rId2163" /><Relationship Type="http://schemas.openxmlformats.org/officeDocument/2006/relationships/hyperlink" Target="https://justaboutfoods.com/products/organic-green-banana-flour" TargetMode="External" Id="rId2164" /><Relationship Type="http://schemas.openxmlformats.org/officeDocument/2006/relationships/hyperlink" Target="https://justaboutfoods.com/products/organic-green-banana-flour" TargetMode="External" Id="rId2165" /><Relationship Type="http://schemas.openxmlformats.org/officeDocument/2006/relationships/hyperlink" Target="https://justaboutfoods.com/products/organic-green-banana-flour" TargetMode="External" Id="rId2166" /><Relationship Type="http://schemas.openxmlformats.org/officeDocument/2006/relationships/hyperlink" Target="https://justaboutfoods.com/products/organic-green-banana-flour" TargetMode="External" Id="rId2167" /><Relationship Type="http://schemas.openxmlformats.org/officeDocument/2006/relationships/hyperlink" Target="https://justaboutfoods.com/products/organic-green-banana-flour" TargetMode="External" Id="rId2168" /><Relationship Type="http://schemas.openxmlformats.org/officeDocument/2006/relationships/hyperlink" Target="https://justaboutfoods.com/products/organic-green-banana-flour" TargetMode="External" Id="rId2169" /><Relationship Type="http://schemas.openxmlformats.org/officeDocument/2006/relationships/hyperlink" Target="https://justaboutfoods.com/products/organic-green-banana-flour" TargetMode="External" Id="rId2170" /><Relationship Type="http://schemas.openxmlformats.org/officeDocument/2006/relationships/hyperlink" Target="https://justaboutfoods.com/products/organic-green-banana-flour" TargetMode="External" Id="rId2171" /><Relationship Type="http://schemas.openxmlformats.org/officeDocument/2006/relationships/hyperlink" Target="https://justaboutfoods.com/products/organic-green-banana-flour" TargetMode="External" Id="rId2172" /><Relationship Type="http://schemas.openxmlformats.org/officeDocument/2006/relationships/hyperlink" Target="https://justaboutfoods.com/products/organic-green-banana-flour" TargetMode="External" Id="rId2173" /><Relationship Type="http://schemas.openxmlformats.org/officeDocument/2006/relationships/hyperlink" Target="https://justaboutfoods.com/products/organic-green-banana-flour" TargetMode="External" Id="rId2174" /><Relationship Type="http://schemas.openxmlformats.org/officeDocument/2006/relationships/hyperlink" Target="https://justaboutfoods.com/products/organic-green-banana-flour" TargetMode="External" Id="rId2175" /><Relationship Type="http://schemas.openxmlformats.org/officeDocument/2006/relationships/hyperlink" Target="https://justaboutfoods.com/products/organic-green-banana-flour" TargetMode="External" Id="rId2176" /><Relationship Type="http://schemas.openxmlformats.org/officeDocument/2006/relationships/hyperlink" Target="https://justaboutfoods.com/products/organic-green-banana-flour" TargetMode="External" Id="rId2177" /><Relationship Type="http://schemas.openxmlformats.org/officeDocument/2006/relationships/hyperlink" Target="https://justaboutfoods.com/products/organic-green-banana-flour" TargetMode="External" Id="rId2178" /><Relationship Type="http://schemas.openxmlformats.org/officeDocument/2006/relationships/hyperlink" Target="https://justaboutfoods.com/products/organic-green-banana-flour" TargetMode="External" Id="rId2179" /><Relationship Type="http://schemas.openxmlformats.org/officeDocument/2006/relationships/hyperlink" Target="https://justaboutfoods.com/products/organic-green-banana-flour" TargetMode="External" Id="rId2180" /><Relationship Type="http://schemas.openxmlformats.org/officeDocument/2006/relationships/hyperlink" Target="https://justaboutfoods.com/products/organic-green-banana-flour" TargetMode="External" Id="rId2181" /><Relationship Type="http://schemas.openxmlformats.org/officeDocument/2006/relationships/hyperlink" Target="https://justaboutfoods.com/products/organic-green-banana-flour" TargetMode="External" Id="rId2182" /><Relationship Type="http://schemas.openxmlformats.org/officeDocument/2006/relationships/hyperlink" Target="https://justaboutfoods.com/products/organic-green-banana-flour" TargetMode="External" Id="rId2183" /><Relationship Type="http://schemas.openxmlformats.org/officeDocument/2006/relationships/hyperlink" Target="https://justaboutfoods.com/products/organic-green-banana-flour" TargetMode="External" Id="rId2184" /><Relationship Type="http://schemas.openxmlformats.org/officeDocument/2006/relationships/hyperlink" Target="https://justaboutfoods.com/products/organic-green-banana-flour" TargetMode="External" Id="rId2185" /><Relationship Type="http://schemas.openxmlformats.org/officeDocument/2006/relationships/hyperlink" Target="https://justaboutfoods.com/products/organic-green-banana-flour" TargetMode="External" Id="rId2186" /><Relationship Type="http://schemas.openxmlformats.org/officeDocument/2006/relationships/hyperlink" Target="https://justaboutfoods.com/products/organic-green-banana-flour" TargetMode="External" Id="rId2187" /><Relationship Type="http://schemas.openxmlformats.org/officeDocument/2006/relationships/hyperlink" Target="https://justaboutfoods.com/products/organic-green-banana-flour" TargetMode="External" Id="rId2188" /><Relationship Type="http://schemas.openxmlformats.org/officeDocument/2006/relationships/hyperlink" Target="https://justaboutfoods.com/products/organic-green-banana-flour" TargetMode="External" Id="rId2189" /><Relationship Type="http://schemas.openxmlformats.org/officeDocument/2006/relationships/hyperlink" Target="https://justaboutfoods.com/products/organic-green-banana-flour" TargetMode="External" Id="rId2190" /><Relationship Type="http://schemas.openxmlformats.org/officeDocument/2006/relationships/hyperlink" Target="https://justaboutfoods.com/products/organic-green-banana-flour" TargetMode="External" Id="rId2191" /><Relationship Type="http://schemas.openxmlformats.org/officeDocument/2006/relationships/hyperlink" Target="https://justaboutfoods.com/products/organic-green-banana-flour" TargetMode="External" Id="rId2192" /><Relationship Type="http://schemas.openxmlformats.org/officeDocument/2006/relationships/hyperlink" Target="https://justaboutfoods.com/products/organic-green-banana-flour" TargetMode="External" Id="rId2193" /><Relationship Type="http://schemas.openxmlformats.org/officeDocument/2006/relationships/hyperlink" Target="https://justaboutfoods.com/products/organic-green-banana-flour" TargetMode="External" Id="rId2194" /><Relationship Type="http://schemas.openxmlformats.org/officeDocument/2006/relationships/hyperlink" Target="https://justaboutfoods.com/products/organic-green-banana-flour" TargetMode="External" Id="rId2195" /><Relationship Type="http://schemas.openxmlformats.org/officeDocument/2006/relationships/hyperlink" Target="https://justaboutfoods.com/products/organic-green-banana-flour" TargetMode="External" Id="rId2196" /><Relationship Type="http://schemas.openxmlformats.org/officeDocument/2006/relationships/hyperlink" Target="https://justaboutfoods.com/products/organic-green-banana-flour" TargetMode="External" Id="rId2197" /><Relationship Type="http://schemas.openxmlformats.org/officeDocument/2006/relationships/hyperlink" Target="https://justaboutfoods.com/products/organic-green-banana-flour" TargetMode="External" Id="rId2198" /><Relationship Type="http://schemas.openxmlformats.org/officeDocument/2006/relationships/hyperlink" Target="https://justaboutfoods.com/products/organic-green-banana-flour" TargetMode="External" Id="rId2199" /><Relationship Type="http://schemas.openxmlformats.org/officeDocument/2006/relationships/hyperlink" Target="https://justaboutfoods.com/products/organic-green-banana-flour" TargetMode="External" Id="rId2200" /><Relationship Type="http://schemas.openxmlformats.org/officeDocument/2006/relationships/hyperlink" Target="https://justaboutfoods.com/products/organic-green-banana-flour" TargetMode="External" Id="rId2201" /><Relationship Type="http://schemas.openxmlformats.org/officeDocument/2006/relationships/hyperlink" Target="https://justaboutfoods.com/products/organic-green-banana-flour" TargetMode="External" Id="rId2202" /><Relationship Type="http://schemas.openxmlformats.org/officeDocument/2006/relationships/hyperlink" Target="https://justaboutfoods.com/products/organic-green-banana-flour" TargetMode="External" Id="rId2203" /><Relationship Type="http://schemas.openxmlformats.org/officeDocument/2006/relationships/hyperlink" Target="https://justaboutfoods.com/products/organic-green-banana-flour" TargetMode="External" Id="rId2204" /><Relationship Type="http://schemas.openxmlformats.org/officeDocument/2006/relationships/hyperlink" Target="https://justaboutfoods.com/products/organic-green-banana-flour" TargetMode="External" Id="rId2205" /><Relationship Type="http://schemas.openxmlformats.org/officeDocument/2006/relationships/hyperlink" Target="https://justaboutfoods.com/products/organic-green-banana-flour" TargetMode="External" Id="rId2206" /><Relationship Type="http://schemas.openxmlformats.org/officeDocument/2006/relationships/hyperlink" Target="https://justaboutfoods.com/products/organic-green-banana-flour" TargetMode="External" Id="rId2207" /><Relationship Type="http://schemas.openxmlformats.org/officeDocument/2006/relationships/hyperlink" Target="https://justaboutfoods.com/products/organic-green-banana-flour" TargetMode="External" Id="rId2208" /><Relationship Type="http://schemas.openxmlformats.org/officeDocument/2006/relationships/hyperlink" Target="https://justaboutfoods.com/products/organic-green-banana-flour" TargetMode="External" Id="rId2209" /><Relationship Type="http://schemas.openxmlformats.org/officeDocument/2006/relationships/hyperlink" Target="https://justaboutfoods.com/products/organic-green-banana-flour" TargetMode="External" Id="rId2210" /><Relationship Type="http://schemas.openxmlformats.org/officeDocument/2006/relationships/hyperlink" Target="https://justaboutfoods.com/products/organic-green-banana-flour" TargetMode="External" Id="rId2211" /><Relationship Type="http://schemas.openxmlformats.org/officeDocument/2006/relationships/hyperlink" Target="https://justaboutfoods.com/products/organic-green-banana-flour" TargetMode="External" Id="rId2212" /><Relationship Type="http://schemas.openxmlformats.org/officeDocument/2006/relationships/hyperlink" Target="https://justaboutfoods.com/products/organic-green-banana-flour" TargetMode="External" Id="rId2213" /><Relationship Type="http://schemas.openxmlformats.org/officeDocument/2006/relationships/hyperlink" Target="https://justaboutfoods.com/products/organic-green-banana-flour" TargetMode="External" Id="rId2214" /><Relationship Type="http://schemas.openxmlformats.org/officeDocument/2006/relationships/hyperlink" Target="https://justaboutfoods.com/products/organic-green-banana-flour" TargetMode="External" Id="rId2215" /><Relationship Type="http://schemas.openxmlformats.org/officeDocument/2006/relationships/hyperlink" Target="https://justaboutfoods.com/products/organic-green-banana-flour" TargetMode="External" Id="rId2216" /><Relationship Type="http://schemas.openxmlformats.org/officeDocument/2006/relationships/hyperlink" Target="https://justaboutfoods.com/products/organic-green-banana-flour" TargetMode="External" Id="rId2217" /><Relationship Type="http://schemas.openxmlformats.org/officeDocument/2006/relationships/hyperlink" Target="https://justaboutfoods.com/products/organic-green-banana-flour" TargetMode="External" Id="rId2218" /><Relationship Type="http://schemas.openxmlformats.org/officeDocument/2006/relationships/hyperlink" Target="https://justaboutfoods.com/products/organic-green-banana-flour" TargetMode="External" Id="rId2219" /><Relationship Type="http://schemas.openxmlformats.org/officeDocument/2006/relationships/hyperlink" Target="https://justaboutfoods.com/products/organic-green-banana-flour" TargetMode="External" Id="rId2220" /><Relationship Type="http://schemas.openxmlformats.org/officeDocument/2006/relationships/hyperlink" Target="https://justaboutfoods.com/products/organic-green-banana-flour" TargetMode="External" Id="rId2221" /><Relationship Type="http://schemas.openxmlformats.org/officeDocument/2006/relationships/hyperlink" Target="https://justaboutfoods.com/products/organic-green-banana-flour" TargetMode="External" Id="rId2222" /><Relationship Type="http://schemas.openxmlformats.org/officeDocument/2006/relationships/hyperlink" Target="https://justaboutfoods.com/products/organic-green-banana-flour" TargetMode="External" Id="rId2223" /><Relationship Type="http://schemas.openxmlformats.org/officeDocument/2006/relationships/hyperlink" Target="https://justaboutfoods.com/products/organic-green-banana-flour" TargetMode="External" Id="rId2224" /><Relationship Type="http://schemas.openxmlformats.org/officeDocument/2006/relationships/hyperlink" Target="https://justaboutfoods.com/products/organic-green-banana-flour" TargetMode="External" Id="rId2225" /><Relationship Type="http://schemas.openxmlformats.org/officeDocument/2006/relationships/hyperlink" Target="https://justaboutfoods.com/products/organic-green-banana-flour" TargetMode="External" Id="rId2226" /><Relationship Type="http://schemas.openxmlformats.org/officeDocument/2006/relationships/hyperlink" Target="https://justaboutfoods.com/products/organic-green-banana-flour" TargetMode="External" Id="rId2227" /><Relationship Type="http://schemas.openxmlformats.org/officeDocument/2006/relationships/hyperlink" Target="https://justaboutfoods.com/products/organic-green-banana-flour" TargetMode="External" Id="rId2228" /><Relationship Type="http://schemas.openxmlformats.org/officeDocument/2006/relationships/hyperlink" Target="https://justaboutfoods.com/products/organic-green-banana-flour" TargetMode="External" Id="rId2229" /><Relationship Type="http://schemas.openxmlformats.org/officeDocument/2006/relationships/hyperlink" Target="https://justaboutfoods.com/products/organic-green-banana-flour" TargetMode="External" Id="rId2230" /><Relationship Type="http://schemas.openxmlformats.org/officeDocument/2006/relationships/hyperlink" Target="https://justaboutfoods.com/products/organic-green-banana-flour" TargetMode="External" Id="rId2231" /><Relationship Type="http://schemas.openxmlformats.org/officeDocument/2006/relationships/hyperlink" Target="https://justaboutfoods.com/products/organic-green-banana-flour" TargetMode="External" Id="rId2232" /><Relationship Type="http://schemas.openxmlformats.org/officeDocument/2006/relationships/hyperlink" Target="https://justaboutfoods.com/products/organic-green-banana-flour" TargetMode="External" Id="rId2233" /><Relationship Type="http://schemas.openxmlformats.org/officeDocument/2006/relationships/hyperlink" Target="https://justaboutfoods.com/products/organic-green-banana-flour" TargetMode="External" Id="rId2234" /><Relationship Type="http://schemas.openxmlformats.org/officeDocument/2006/relationships/hyperlink" Target="https://justaboutfoods.com/products/organic-green-banana-flour" TargetMode="External" Id="rId2235" /><Relationship Type="http://schemas.openxmlformats.org/officeDocument/2006/relationships/hyperlink" Target="https://justaboutfoods.com/products/organic-green-banana-flour" TargetMode="External" Id="rId2236" /><Relationship Type="http://schemas.openxmlformats.org/officeDocument/2006/relationships/hyperlink" Target="https://justaboutfoods.com/products/organic-green-banana-flour" TargetMode="External" Id="rId2237" /><Relationship Type="http://schemas.openxmlformats.org/officeDocument/2006/relationships/hyperlink" Target="https://justaboutfoods.com/products/organic-green-banana-flour" TargetMode="External" Id="rId2238" /><Relationship Type="http://schemas.openxmlformats.org/officeDocument/2006/relationships/hyperlink" Target="https://justaboutfoods.com/products/organic-green-banana-flour" TargetMode="External" Id="rId2239" /><Relationship Type="http://schemas.openxmlformats.org/officeDocument/2006/relationships/hyperlink" Target="https://justaboutfoods.com/products/organic-green-banana-flour" TargetMode="External" Id="rId2240" /><Relationship Type="http://schemas.openxmlformats.org/officeDocument/2006/relationships/hyperlink" Target="https://justaboutfoods.com/products/organic-green-banana-flour" TargetMode="External" Id="rId2241" /><Relationship Type="http://schemas.openxmlformats.org/officeDocument/2006/relationships/hyperlink" Target="https://www.amazon.com/Anthonys-Oat-Beta-Glucan-Powder/dp/B08F9TLG7K" TargetMode="External" Id="rId2242" /><Relationship Type="http://schemas.openxmlformats.org/officeDocument/2006/relationships/hyperlink" Target="https://www.amazon.com/Anthonys-Oat-Beta-Glucan-Powder/dp/B08F9TLG7K" TargetMode="External" Id="rId2243" /><Relationship Type="http://schemas.openxmlformats.org/officeDocument/2006/relationships/hyperlink" Target="https://www.amazon.com/Anthonys-Oat-Beta-Glucan-Powder/dp/B08F9TLG7K" TargetMode="External" Id="rId2244" /><Relationship Type="http://schemas.openxmlformats.org/officeDocument/2006/relationships/hyperlink" Target="https://www.amazon.com/Anthonys-Oat-Beta-Glucan-Powder/dp/B08F9TLG7K" TargetMode="External" Id="rId2245" /><Relationship Type="http://schemas.openxmlformats.org/officeDocument/2006/relationships/hyperlink" Target="https://www.amazon.com/Anthonys-Oat-Beta-Glucan-Powder/dp/B08F9TLG7K" TargetMode="External" Id="rId2246" /><Relationship Type="http://schemas.openxmlformats.org/officeDocument/2006/relationships/hyperlink" Target="https://www.amazon.com/Anthonys-Oat-Beta-Glucan-Powder/dp/B08F9TLG7K" TargetMode="External" Id="rId2247" /><Relationship Type="http://schemas.openxmlformats.org/officeDocument/2006/relationships/hyperlink" Target="https://www.amazon.com/Anthonys-Oat-Beta-Glucan-Powder/dp/B08F9TLG7K" TargetMode="External" Id="rId2248" /><Relationship Type="http://schemas.openxmlformats.org/officeDocument/2006/relationships/hyperlink" Target="https://www.amazon.com/Anthonys-Oat-Beta-Glucan-Powder/dp/B08F9TLG7K" TargetMode="External" Id="rId2249" /><Relationship Type="http://schemas.openxmlformats.org/officeDocument/2006/relationships/hyperlink" Target="https://www.amazon.com/Anthonys-Oat-Beta-Glucan-Powder/dp/B08F9TLG7K" TargetMode="External" Id="rId2250" /><Relationship Type="http://schemas.openxmlformats.org/officeDocument/2006/relationships/hyperlink" Target="https://www.amazon.com/Anthonys-Oat-Beta-Glucan-Powder/dp/B08F9TLG7K" TargetMode="External" Id="rId2251" /><Relationship Type="http://schemas.openxmlformats.org/officeDocument/2006/relationships/hyperlink" Target="https://www.amazon.com/Anthonys-Oat-Beta-Glucan-Powder/dp/B08F9TLG7K" TargetMode="External" Id="rId2252" /><Relationship Type="http://schemas.openxmlformats.org/officeDocument/2006/relationships/hyperlink" Target="https://www.amazon.com/Anthonys-Oat-Beta-Glucan-Powder/dp/B08F9TLG7K" TargetMode="External" Id="rId2253" /><Relationship Type="http://schemas.openxmlformats.org/officeDocument/2006/relationships/hyperlink" Target="https://www.amazon.com/Anthonys-Oat-Beta-Glucan-Powder/dp/B08F9TLG7K" TargetMode="External" Id="rId2254" /><Relationship Type="http://schemas.openxmlformats.org/officeDocument/2006/relationships/hyperlink" Target="https://www.amazon.com/Anthonys-Oat-Beta-Glucan-Powder/dp/B08F9TLG7K" TargetMode="External" Id="rId2255" /><Relationship Type="http://schemas.openxmlformats.org/officeDocument/2006/relationships/hyperlink" Target="https://www.amazon.com/Anthonys-Oat-Beta-Glucan-Powder/dp/B08F9TLG7K" TargetMode="External" Id="rId2256" /><Relationship Type="http://schemas.openxmlformats.org/officeDocument/2006/relationships/hyperlink" Target="https://www.amazon.com/Anthonys-Oat-Beta-Glucan-Powder/dp/B08F9TLG7K" TargetMode="External" Id="rId2257" /><Relationship Type="http://schemas.openxmlformats.org/officeDocument/2006/relationships/hyperlink" Target="https://www.amazon.com/Anthonys-Oat-Beta-Glucan-Powder/dp/B08F9TLG7K" TargetMode="External" Id="rId2258" /><Relationship Type="http://schemas.openxmlformats.org/officeDocument/2006/relationships/hyperlink" Target="https://www.amazon.com/Anthonys-Oat-Beta-Glucan-Powder/dp/B08F9TLG7K" TargetMode="External" Id="rId2259" /><Relationship Type="http://schemas.openxmlformats.org/officeDocument/2006/relationships/hyperlink" Target="https://www.amazon.com/Anthonys-Oat-Beta-Glucan-Powder/dp/B08F9TLG7K" TargetMode="External" Id="rId2260" /><Relationship Type="http://schemas.openxmlformats.org/officeDocument/2006/relationships/hyperlink" Target="https://www.amazon.com/Anthonys-Oat-Beta-Glucan-Powder/dp/B08F9TLG7K" TargetMode="External" Id="rId2261" /><Relationship Type="http://schemas.openxmlformats.org/officeDocument/2006/relationships/hyperlink" Target="https://www.amazon.com/Anthonys-Oat-Beta-Glucan-Powder/dp/B08F9TLG7K" TargetMode="External" Id="rId2262" /><Relationship Type="http://schemas.openxmlformats.org/officeDocument/2006/relationships/hyperlink" Target="https://www.amazon.com/Anthonys-Oat-Beta-Glucan-Powder/dp/B08F9TLG7K" TargetMode="External" Id="rId2263" /><Relationship Type="http://schemas.openxmlformats.org/officeDocument/2006/relationships/hyperlink" Target="https://www.amazon.com/Anthonys-Oat-Beta-Glucan-Powder/dp/B08F9TLG7K" TargetMode="External" Id="rId2264" /><Relationship Type="http://schemas.openxmlformats.org/officeDocument/2006/relationships/hyperlink" Target="https://www.amazon.com/Anthonys-Oat-Beta-Glucan-Powder/dp/B08F9TLG7K" TargetMode="External" Id="rId2265" /><Relationship Type="http://schemas.openxmlformats.org/officeDocument/2006/relationships/hyperlink" Target="https://www.amazon.com/Anthonys-Oat-Beta-Glucan-Powder/dp/B08F9TLG7K" TargetMode="External" Id="rId2266" /><Relationship Type="http://schemas.openxmlformats.org/officeDocument/2006/relationships/hyperlink" Target="https://www.amazon.com/Anthonys-Oat-Beta-Glucan-Powder/dp/B08F9TLG7K" TargetMode="External" Id="rId2267" /><Relationship Type="http://schemas.openxmlformats.org/officeDocument/2006/relationships/hyperlink" Target="https://www.amazon.com/Anthonys-Oat-Beta-Glucan-Powder/dp/B08F9TLG7K" TargetMode="External" Id="rId2268" /><Relationship Type="http://schemas.openxmlformats.org/officeDocument/2006/relationships/hyperlink" Target="https://www.amazon.com/Anthonys-Oat-Beta-Glucan-Powder/dp/B08F9TLG7K" TargetMode="External" Id="rId2269" /><Relationship Type="http://schemas.openxmlformats.org/officeDocument/2006/relationships/hyperlink" Target="https://www.amazon.com/Anthonys-Oat-Beta-Glucan-Powder/dp/B08F9TLG7K" TargetMode="External" Id="rId2270" /><Relationship Type="http://schemas.openxmlformats.org/officeDocument/2006/relationships/hyperlink" Target="https://www.amazon.com/Anthonys-Oat-Beta-Glucan-Powder/dp/B08F9TLG7K" TargetMode="External" Id="rId2271" /><Relationship Type="http://schemas.openxmlformats.org/officeDocument/2006/relationships/hyperlink" Target="https://www.amazon.com/Anthonys-Oat-Beta-Glucan-Powder/dp/B08F9TLG7K" TargetMode="External" Id="rId2272" /><Relationship Type="http://schemas.openxmlformats.org/officeDocument/2006/relationships/hyperlink" Target="https://www.amazon.com/Anthonys-Oat-Beta-Glucan-Powder/dp/B08F9TLG7K" TargetMode="External" Id="rId2273" /><Relationship Type="http://schemas.openxmlformats.org/officeDocument/2006/relationships/hyperlink" Target="https://www.amazon.com/Anthonys-Oat-Beta-Glucan-Powder/dp/B08F9TLG7K" TargetMode="External" Id="rId2274" /><Relationship Type="http://schemas.openxmlformats.org/officeDocument/2006/relationships/hyperlink" Target="https://www.amazon.com/Anthonys-Oat-Beta-Glucan-Powder/dp/B08F9TLG7K" TargetMode="External" Id="rId2275" /><Relationship Type="http://schemas.openxmlformats.org/officeDocument/2006/relationships/hyperlink" Target="https://www.amazon.com/Anthonys-Oat-Beta-Glucan-Powder/dp/B08F9TLG7K" TargetMode="External" Id="rId2276" /><Relationship Type="http://schemas.openxmlformats.org/officeDocument/2006/relationships/hyperlink" Target="https://www.amazon.com/Anthonys-Oat-Beta-Glucan-Powder/dp/B08F9TLG7K" TargetMode="External" Id="rId2277" /><Relationship Type="http://schemas.openxmlformats.org/officeDocument/2006/relationships/hyperlink" Target="https://www.amazon.com/Anthonys-Oat-Beta-Glucan-Powder/dp/B08F9TLG7K" TargetMode="External" Id="rId2278" /><Relationship Type="http://schemas.openxmlformats.org/officeDocument/2006/relationships/hyperlink" Target="https://www.amazon.com/Anthonys-Oat-Beta-Glucan-Powder/dp/B08F9TLG7K" TargetMode="External" Id="rId2279" /><Relationship Type="http://schemas.openxmlformats.org/officeDocument/2006/relationships/hyperlink" Target="https://www.amazon.com/Anthonys-Oat-Beta-Glucan-Powder/dp/B08F9TLG7K" TargetMode="External" Id="rId2280" /><Relationship Type="http://schemas.openxmlformats.org/officeDocument/2006/relationships/hyperlink" Target="https://www.amazon.com/Anthonys-Oat-Beta-Glucan-Powder/dp/B08F9TLG7K" TargetMode="External" Id="rId2281" /><Relationship Type="http://schemas.openxmlformats.org/officeDocument/2006/relationships/hyperlink" Target="https://www.amazon.com/Anthonys-Oat-Beta-Glucan-Powder/dp/B08F9TLG7K" TargetMode="External" Id="rId2282" /><Relationship Type="http://schemas.openxmlformats.org/officeDocument/2006/relationships/hyperlink" Target="https://www.amazon.com/Anthonys-Oat-Beta-Glucan-Powder/dp/B08F9TLG7K" TargetMode="External" Id="rId2283" /><Relationship Type="http://schemas.openxmlformats.org/officeDocument/2006/relationships/hyperlink" Target="https://www.amazon.com/Anthonys-Oat-Beta-Glucan-Powder/dp/B08F9TLG7K" TargetMode="External" Id="rId2284" /><Relationship Type="http://schemas.openxmlformats.org/officeDocument/2006/relationships/hyperlink" Target="https://www.amazon.com/Anthonys-Oat-Beta-Glucan-Powder/dp/B08F9TLG7K" TargetMode="External" Id="rId2285" /><Relationship Type="http://schemas.openxmlformats.org/officeDocument/2006/relationships/hyperlink" Target="https://www.amazon.com/Anthonys-Oat-Beta-Glucan-Powder/dp/B08F9TLG7K" TargetMode="External" Id="rId2286" /><Relationship Type="http://schemas.openxmlformats.org/officeDocument/2006/relationships/hyperlink" Target="https://www.amazon.com/Anthonys-Oat-Beta-Glucan-Powder/dp/B08F9TLG7K" TargetMode="External" Id="rId2287" /><Relationship Type="http://schemas.openxmlformats.org/officeDocument/2006/relationships/hyperlink" Target="https://www.amazon.com/Anthonys-Oat-Beta-Glucan-Powder/dp/B08F9TLG7K" TargetMode="External" Id="rId2288" /><Relationship Type="http://schemas.openxmlformats.org/officeDocument/2006/relationships/hyperlink" Target="https://www.amazon.com/Anthonys-Oat-Beta-Glucan-Powder/dp/B08F9TLG7K" TargetMode="External" Id="rId2289" /><Relationship Type="http://schemas.openxmlformats.org/officeDocument/2006/relationships/hyperlink" Target="https://www.amazon.com/Anthonys-Oat-Beta-Glucan-Powder/dp/B08F9TLG7K" TargetMode="External" Id="rId2290" /><Relationship Type="http://schemas.openxmlformats.org/officeDocument/2006/relationships/hyperlink" Target="https://www.amazon.com/Anthonys-Oat-Beta-Glucan-Powder/dp/B08F9TLG7K" TargetMode="External" Id="rId2291" /><Relationship Type="http://schemas.openxmlformats.org/officeDocument/2006/relationships/hyperlink" Target="https://www.amazon.com/Anthonys-Oat-Beta-Glucan-Powder/dp/B08F9TLG7K" TargetMode="External" Id="rId2292" /><Relationship Type="http://schemas.openxmlformats.org/officeDocument/2006/relationships/hyperlink" Target="https://www.amazon.com/Anthonys-Oat-Beta-Glucan-Powder/dp/B08F9TLG7K" TargetMode="External" Id="rId2293" /><Relationship Type="http://schemas.openxmlformats.org/officeDocument/2006/relationships/hyperlink" Target="https://www.amazon.com/Anthonys-Oat-Beta-Glucan-Powder/dp/B08F9TLG7K" TargetMode="External" Id="rId2294" /><Relationship Type="http://schemas.openxmlformats.org/officeDocument/2006/relationships/hyperlink" Target="https://www.amazon.com/Anthonys-Oat-Beta-Glucan-Powder/dp/B08F9TLG7K" TargetMode="External" Id="rId2295" /><Relationship Type="http://schemas.openxmlformats.org/officeDocument/2006/relationships/hyperlink" Target="https://www.amazon.com/Anthonys-Oat-Beta-Glucan-Powder/dp/B08F9TLG7K" TargetMode="External" Id="rId2296" /><Relationship Type="http://schemas.openxmlformats.org/officeDocument/2006/relationships/hyperlink" Target="https://www.amazon.com/Anthonys-Oat-Beta-Glucan-Powder/dp/B08F9TLG7K" TargetMode="External" Id="rId2297" /><Relationship Type="http://schemas.openxmlformats.org/officeDocument/2006/relationships/hyperlink" Target="https://www.amazon.com/Anthonys-Oat-Beta-Glucan-Powder/dp/B08F9TLG7K" TargetMode="External" Id="rId2298" /><Relationship Type="http://schemas.openxmlformats.org/officeDocument/2006/relationships/hyperlink" Target="https://www.amazon.com/Anthonys-Oat-Beta-Glucan-Powder/dp/B08F9TLG7K" TargetMode="External" Id="rId2299" /><Relationship Type="http://schemas.openxmlformats.org/officeDocument/2006/relationships/hyperlink" Target="https://www.amazon.com/Anthonys-Oat-Beta-Glucan-Powder/dp/B08F9TLG7K" TargetMode="External" Id="rId2300" /><Relationship Type="http://schemas.openxmlformats.org/officeDocument/2006/relationships/hyperlink" Target="https://www.amazon.com/Anthonys-Oat-Beta-Glucan-Powder/dp/B08F9TLG7K" TargetMode="External" Id="rId2301" /><Relationship Type="http://schemas.openxmlformats.org/officeDocument/2006/relationships/hyperlink" Target="https://www.amazon.com/Anthonys-Oat-Beta-Glucan-Powder/dp/B08F9TLG7K" TargetMode="External" Id="rId2302" /><Relationship Type="http://schemas.openxmlformats.org/officeDocument/2006/relationships/hyperlink" Target="https://www.amazon.com/Anthonys-Oat-Beta-Glucan-Powder/dp/B08F9TLG7K" TargetMode="External" Id="rId2303" /><Relationship Type="http://schemas.openxmlformats.org/officeDocument/2006/relationships/hyperlink" Target="https://www.amazon.com/Anthonys-Oat-Beta-Glucan-Powder/dp/B08F9TLG7K" TargetMode="External" Id="rId2304" /><Relationship Type="http://schemas.openxmlformats.org/officeDocument/2006/relationships/hyperlink" Target="https://www.amazon.com/Anthonys-Oat-Beta-Glucan-Powder/dp/B08F9TLG7K" TargetMode="External" Id="rId2305" /><Relationship Type="http://schemas.openxmlformats.org/officeDocument/2006/relationships/hyperlink" Target="https://www.amazon.com/Anthonys-Oat-Beta-Glucan-Powder/dp/B08F9TLG7K" TargetMode="External" Id="rId2306" /><Relationship Type="http://schemas.openxmlformats.org/officeDocument/2006/relationships/hyperlink" Target="https://www.amazon.com/Anthonys-Oat-Beta-Glucan-Powder/dp/B08F9TLG7K" TargetMode="External" Id="rId2307" /><Relationship Type="http://schemas.openxmlformats.org/officeDocument/2006/relationships/hyperlink" Target="https://www.amazon.com/Anthonys-Oat-Beta-Glucan-Powder/dp/B08F9TLG7K" TargetMode="External" Id="rId2308" /><Relationship Type="http://schemas.openxmlformats.org/officeDocument/2006/relationships/hyperlink" Target="https://www.amazon.com/Anthonys-Oat-Beta-Glucan-Powder/dp/B08F9TLG7K" TargetMode="External" Id="rId2309" /><Relationship Type="http://schemas.openxmlformats.org/officeDocument/2006/relationships/hyperlink" Target="https://www.amazon.com/Anthonys-Oat-Beta-Glucan-Powder/dp/B08F9TLG7K" TargetMode="External" Id="rId2310" /><Relationship Type="http://schemas.openxmlformats.org/officeDocument/2006/relationships/hyperlink" Target="https://www.amazon.com/Anthonys-Oat-Beta-Glucan-Powder/dp/B08F9TLG7K" TargetMode="External" Id="rId2311" /><Relationship Type="http://schemas.openxmlformats.org/officeDocument/2006/relationships/hyperlink" Target="https://www.amazon.com/Anthonys-Oat-Beta-Glucan-Powder/dp/B08F9TLG7K" TargetMode="External" Id="rId2312" /><Relationship Type="http://schemas.openxmlformats.org/officeDocument/2006/relationships/hyperlink" Target="https://www.amazon.com/Anthonys-Oat-Beta-Glucan-Powder/dp/B08F9TLG7K" TargetMode="External" Id="rId2313" /><Relationship Type="http://schemas.openxmlformats.org/officeDocument/2006/relationships/hyperlink" Target="https://www.amazon.com/Anthonys-Oat-Beta-Glucan-Powder/dp/B08F9TLG7K" TargetMode="External" Id="rId2314" /><Relationship Type="http://schemas.openxmlformats.org/officeDocument/2006/relationships/hyperlink" Target="https://www.amazon.com/Anthonys-Oat-Beta-Glucan-Powder/dp/B08F9TLG7K" TargetMode="External" Id="rId2315" /><Relationship Type="http://schemas.openxmlformats.org/officeDocument/2006/relationships/hyperlink" Target="https://www.amazon.com/Anthonys-Oat-Beta-Glucan-Powder/dp/B08F9TLG7K" TargetMode="External" Id="rId2316" /><Relationship Type="http://schemas.openxmlformats.org/officeDocument/2006/relationships/hyperlink" Target="https://www.amazon.com/Anthonys-Oat-Beta-Glucan-Powder/dp/B08F9TLG7K" TargetMode="External" Id="rId2317" /><Relationship Type="http://schemas.openxmlformats.org/officeDocument/2006/relationships/hyperlink" Target="https://www.amazon.com/Anthonys-Oat-Beta-Glucan-Powder/dp/B08F9TLG7K" TargetMode="External" Id="rId2318" /><Relationship Type="http://schemas.openxmlformats.org/officeDocument/2006/relationships/hyperlink" Target="https://www.amazon.com/Anthonys-Oat-Beta-Glucan-Powder/dp/B08F9TLG7K" TargetMode="External" Id="rId2319" /><Relationship Type="http://schemas.openxmlformats.org/officeDocument/2006/relationships/hyperlink" Target="https://www.amazon.com/Anthonys-Oat-Beta-Glucan-Powder/dp/B08F9TLG7K" TargetMode="External" Id="rId2320" /><Relationship Type="http://schemas.openxmlformats.org/officeDocument/2006/relationships/hyperlink" Target="https://www.amazon.com/Anthonys-Oat-Beta-Glucan-Powder/dp/B08F9TLG7K" TargetMode="External" Id="rId2321" /><Relationship Type="http://schemas.openxmlformats.org/officeDocument/2006/relationships/hyperlink" Target="https://www.amazon.com/Anthonys-Oat-Beta-Glucan-Powder/dp/B08F9TLG7K" TargetMode="External" Id="rId2322" /><Relationship Type="http://schemas.openxmlformats.org/officeDocument/2006/relationships/hyperlink" Target="https://www.amazon.com/Anthonys-Oat-Beta-Glucan-Powder/dp/B08F9TLG7K" TargetMode="External" Id="rId2323" /><Relationship Type="http://schemas.openxmlformats.org/officeDocument/2006/relationships/hyperlink" Target="https://www.amazon.com/Anthonys-Oat-Beta-Glucan-Powder/dp/B08F9TLG7K" TargetMode="External" Id="rId2324" /><Relationship Type="http://schemas.openxmlformats.org/officeDocument/2006/relationships/hyperlink" Target="https://www.mounthagen.us/products/organic-freeze-dried-instant-coffee" TargetMode="External" Id="rId2325" /><Relationship Type="http://schemas.openxmlformats.org/officeDocument/2006/relationships/hyperlink" Target="https://www.mounthagen.us/products/organic-freeze-dried-instant-coffee" TargetMode="External" Id="rId2326" /><Relationship Type="http://schemas.openxmlformats.org/officeDocument/2006/relationships/hyperlink" Target="https://www.mounthagen.us/products/organic-freeze-dried-instant-coffee" TargetMode="External" Id="rId2327" /><Relationship Type="http://schemas.openxmlformats.org/officeDocument/2006/relationships/hyperlink" Target="https://www.mounthagen.us/products/organic-freeze-dried-instant-coffee" TargetMode="External" Id="rId2328" /><Relationship Type="http://schemas.openxmlformats.org/officeDocument/2006/relationships/hyperlink" Target="https://www.mounthagen.us/products/organic-freeze-dried-instant-coffee" TargetMode="External" Id="rId2329" /><Relationship Type="http://schemas.openxmlformats.org/officeDocument/2006/relationships/hyperlink" Target="https://www.mounthagen.us/products/organic-freeze-dried-instant-coffee" TargetMode="External" Id="rId2330" /><Relationship Type="http://schemas.openxmlformats.org/officeDocument/2006/relationships/hyperlink" Target="https://www.mounthagen.us/products/organic-freeze-dried-instant-coffee" TargetMode="External" Id="rId2331" /><Relationship Type="http://schemas.openxmlformats.org/officeDocument/2006/relationships/hyperlink" Target="https://www.mounthagen.us/products/organic-freeze-dried-instant-coffee" TargetMode="External" Id="rId2332" /><Relationship Type="http://schemas.openxmlformats.org/officeDocument/2006/relationships/hyperlink" Target="https://www.mounthagen.us/products/organic-freeze-dried-instant-coffee" TargetMode="External" Id="rId2333" /><Relationship Type="http://schemas.openxmlformats.org/officeDocument/2006/relationships/hyperlink" Target="https://www.mounthagen.us/products/organic-freeze-dried-instant-coffee" TargetMode="External" Id="rId2334" /><Relationship Type="http://schemas.openxmlformats.org/officeDocument/2006/relationships/hyperlink" Target="https://www.mounthagen.us/products/organic-freeze-dried-instant-coffee" TargetMode="External" Id="rId2335" /><Relationship Type="http://schemas.openxmlformats.org/officeDocument/2006/relationships/hyperlink" Target="https://www.mounthagen.us/products/organic-freeze-dried-instant-coffee" TargetMode="External" Id="rId2336" /><Relationship Type="http://schemas.openxmlformats.org/officeDocument/2006/relationships/hyperlink" Target="https://www.mounthagen.us/products/organic-freeze-dried-instant-coffee" TargetMode="External" Id="rId2337" /><Relationship Type="http://schemas.openxmlformats.org/officeDocument/2006/relationships/hyperlink" Target="https://www.mounthagen.us/products/organic-freeze-dried-instant-coffee" TargetMode="External" Id="rId2338" /><Relationship Type="http://schemas.openxmlformats.org/officeDocument/2006/relationships/hyperlink" Target="https://www.mounthagen.us/products/organic-freeze-dried-instant-coffee" TargetMode="External" Id="rId2339" /><Relationship Type="http://schemas.openxmlformats.org/officeDocument/2006/relationships/hyperlink" Target="https://www.mounthagen.us/products/organic-freeze-dried-instant-coffee" TargetMode="External" Id="rId2340" /><Relationship Type="http://schemas.openxmlformats.org/officeDocument/2006/relationships/hyperlink" Target="https://www.mounthagen.us/products/organic-freeze-dried-instant-coffee" TargetMode="External" Id="rId2341" /><Relationship Type="http://schemas.openxmlformats.org/officeDocument/2006/relationships/hyperlink" Target="https://www.mounthagen.us/products/organic-freeze-dried-instant-coffee" TargetMode="External" Id="rId2342" /><Relationship Type="http://schemas.openxmlformats.org/officeDocument/2006/relationships/hyperlink" Target="https://www.mounthagen.us/products/organic-freeze-dried-instant-coffee" TargetMode="External" Id="rId2343" /><Relationship Type="http://schemas.openxmlformats.org/officeDocument/2006/relationships/hyperlink" Target="https://www.mounthagen.us/products/organic-freeze-dried-instant-coffee" TargetMode="External" Id="rId2344" /><Relationship Type="http://schemas.openxmlformats.org/officeDocument/2006/relationships/hyperlink" Target="https://www.mounthagen.us/products/organic-freeze-dried-instant-coffee" TargetMode="External" Id="rId2345" /><Relationship Type="http://schemas.openxmlformats.org/officeDocument/2006/relationships/hyperlink" Target="https://www.mounthagen.us/products/organic-freeze-dried-instant-coffee" TargetMode="External" Id="rId2346" /><Relationship Type="http://schemas.openxmlformats.org/officeDocument/2006/relationships/hyperlink" Target="https://www.mounthagen.us/products/organic-freeze-dried-instant-coffee" TargetMode="External" Id="rId2347" /><Relationship Type="http://schemas.openxmlformats.org/officeDocument/2006/relationships/hyperlink" Target="https://www.mounthagen.us/products/organic-freeze-dried-instant-coffee" TargetMode="External" Id="rId2348" /><Relationship Type="http://schemas.openxmlformats.org/officeDocument/2006/relationships/hyperlink" Target="https://www.mounthagen.us/products/organic-freeze-dried-instant-coffee" TargetMode="External" Id="rId2349" /><Relationship Type="http://schemas.openxmlformats.org/officeDocument/2006/relationships/hyperlink" Target="https://www.mounthagen.us/products/organic-freeze-dried-instant-coffee" TargetMode="External" Id="rId2350" /><Relationship Type="http://schemas.openxmlformats.org/officeDocument/2006/relationships/hyperlink" Target="https://www.mounthagen.us/products/organic-freeze-dried-instant-coffee" TargetMode="External" Id="rId2351" /><Relationship Type="http://schemas.openxmlformats.org/officeDocument/2006/relationships/hyperlink" Target="https://www.mounthagen.us/products/organic-freeze-dried-instant-coffee" TargetMode="External" Id="rId2352" /><Relationship Type="http://schemas.openxmlformats.org/officeDocument/2006/relationships/hyperlink" Target="https://www.mounthagen.us/products/organic-freeze-dried-instant-coffee" TargetMode="External" Id="rId2353" /><Relationship Type="http://schemas.openxmlformats.org/officeDocument/2006/relationships/hyperlink" Target="https://www.mounthagen.us/products/organic-freeze-dried-instant-coffee" TargetMode="External" Id="rId2354" /><Relationship Type="http://schemas.openxmlformats.org/officeDocument/2006/relationships/hyperlink" Target="https://www.mounthagen.us/products/organic-freeze-dried-instant-coffee" TargetMode="External" Id="rId2355" /><Relationship Type="http://schemas.openxmlformats.org/officeDocument/2006/relationships/hyperlink" Target="https://www.mounthagen.us/products/organic-freeze-dried-instant-coffee" TargetMode="External" Id="rId2356" /><Relationship Type="http://schemas.openxmlformats.org/officeDocument/2006/relationships/hyperlink" Target="https://www.mounthagen.us/products/organic-freeze-dried-instant-coffee" TargetMode="External" Id="rId2357" /><Relationship Type="http://schemas.openxmlformats.org/officeDocument/2006/relationships/hyperlink" Target="https://www.mounthagen.us/products/organic-freeze-dried-instant-coffee" TargetMode="External" Id="rId2358" /><Relationship Type="http://schemas.openxmlformats.org/officeDocument/2006/relationships/hyperlink" Target="https://www.mounthagen.us/products/organic-freeze-dried-instant-coffee" TargetMode="External" Id="rId2359" /><Relationship Type="http://schemas.openxmlformats.org/officeDocument/2006/relationships/hyperlink" Target="https://www.mounthagen.us/products/organic-freeze-dried-instant-coffee" TargetMode="External" Id="rId2360" /><Relationship Type="http://schemas.openxmlformats.org/officeDocument/2006/relationships/hyperlink" Target="https://www.mounthagen.us/products/organic-freeze-dried-instant-coffee" TargetMode="External" Id="rId2361" /><Relationship Type="http://schemas.openxmlformats.org/officeDocument/2006/relationships/hyperlink" Target="https://www.mounthagen.us/products/organic-freeze-dried-instant-coffee" TargetMode="External" Id="rId2362" /><Relationship Type="http://schemas.openxmlformats.org/officeDocument/2006/relationships/hyperlink" Target="https://www.mounthagen.us/products/organic-freeze-dried-instant-coffee" TargetMode="External" Id="rId2363" /><Relationship Type="http://schemas.openxmlformats.org/officeDocument/2006/relationships/hyperlink" Target="https://www.mounthagen.us/products/organic-freeze-dried-instant-coffee" TargetMode="External" Id="rId2364" /><Relationship Type="http://schemas.openxmlformats.org/officeDocument/2006/relationships/hyperlink" Target="https://www.mounthagen.us/products/organic-freeze-dried-instant-coffee" TargetMode="External" Id="rId2365" /><Relationship Type="http://schemas.openxmlformats.org/officeDocument/2006/relationships/hyperlink" Target="https://www.mounthagen.us/products/organic-freeze-dried-instant-coffee" TargetMode="External" Id="rId2366" /><Relationship Type="http://schemas.openxmlformats.org/officeDocument/2006/relationships/hyperlink" Target="https://www.mounthagen.us/products/organic-freeze-dried-instant-coffee" TargetMode="External" Id="rId2367" /><Relationship Type="http://schemas.openxmlformats.org/officeDocument/2006/relationships/hyperlink" Target="https://www.mounthagen.us/products/organic-freeze-dried-instant-coffee" TargetMode="External" Id="rId2368" /><Relationship Type="http://schemas.openxmlformats.org/officeDocument/2006/relationships/hyperlink" Target="https://www.mounthagen.us/products/organic-freeze-dried-instant-coffee" TargetMode="External" Id="rId2369" /><Relationship Type="http://schemas.openxmlformats.org/officeDocument/2006/relationships/hyperlink" Target="https://www.mounthagen.us/products/organic-freeze-dried-instant-coffee" TargetMode="External" Id="rId2370" /><Relationship Type="http://schemas.openxmlformats.org/officeDocument/2006/relationships/hyperlink" Target="https://www.mounthagen.us/products/organic-freeze-dried-instant-coffee" TargetMode="External" Id="rId2371" /><Relationship Type="http://schemas.openxmlformats.org/officeDocument/2006/relationships/hyperlink" Target="https://www.mounthagen.us/products/organic-freeze-dried-instant-coffee" TargetMode="External" Id="rId2372" /><Relationship Type="http://schemas.openxmlformats.org/officeDocument/2006/relationships/hyperlink" Target="https://www.mounthagen.us/products/organic-freeze-dried-instant-coffee" TargetMode="External" Id="rId2373" /><Relationship Type="http://schemas.openxmlformats.org/officeDocument/2006/relationships/hyperlink" Target="https://www.mounthagen.us/products/organic-freeze-dried-instant-coffee" TargetMode="External" Id="rId2374" /><Relationship Type="http://schemas.openxmlformats.org/officeDocument/2006/relationships/hyperlink" Target="https://www.mounthagen.us/products/organic-freeze-dried-instant-coffee" TargetMode="External" Id="rId2375" /><Relationship Type="http://schemas.openxmlformats.org/officeDocument/2006/relationships/hyperlink" Target="https://www.mounthagen.us/products/organic-freeze-dried-instant-coffee" TargetMode="External" Id="rId2376" /><Relationship Type="http://schemas.openxmlformats.org/officeDocument/2006/relationships/hyperlink" Target="https://www.mounthagen.us/products/organic-freeze-dried-instant-coffee" TargetMode="External" Id="rId2377" /><Relationship Type="http://schemas.openxmlformats.org/officeDocument/2006/relationships/hyperlink" Target="https://www.mounthagen.us/products/organic-freeze-dried-instant-coffee" TargetMode="External" Id="rId2378" /><Relationship Type="http://schemas.openxmlformats.org/officeDocument/2006/relationships/hyperlink" Target="https://www.mounthagen.us/products/organic-freeze-dried-instant-coffee" TargetMode="External" Id="rId2379" /><Relationship Type="http://schemas.openxmlformats.org/officeDocument/2006/relationships/hyperlink" Target="https://www.mounthagen.us/products/organic-freeze-dried-instant-coffee" TargetMode="External" Id="rId2380" /><Relationship Type="http://schemas.openxmlformats.org/officeDocument/2006/relationships/hyperlink" Target="https://www.mounthagen.us/products/organic-freeze-dried-instant-coffee" TargetMode="External" Id="rId2381" /><Relationship Type="http://schemas.openxmlformats.org/officeDocument/2006/relationships/hyperlink" Target="https://www.mounthagen.us/products/organic-freeze-dried-instant-coffee" TargetMode="External" Id="rId2382" /><Relationship Type="http://schemas.openxmlformats.org/officeDocument/2006/relationships/hyperlink" Target="https://www.mounthagen.us/products/organic-freeze-dried-instant-coffee" TargetMode="External" Id="rId2383" /><Relationship Type="http://schemas.openxmlformats.org/officeDocument/2006/relationships/hyperlink" Target="https://www.mounthagen.us/products/organic-freeze-dried-instant-coffee" TargetMode="External" Id="rId2384" /><Relationship Type="http://schemas.openxmlformats.org/officeDocument/2006/relationships/hyperlink" Target="https://www.mounthagen.us/products/organic-freeze-dried-instant-coffee" TargetMode="External" Id="rId2385" /><Relationship Type="http://schemas.openxmlformats.org/officeDocument/2006/relationships/hyperlink" Target="https://www.mounthagen.us/products/organic-freeze-dried-instant-coffee" TargetMode="External" Id="rId2386" /><Relationship Type="http://schemas.openxmlformats.org/officeDocument/2006/relationships/hyperlink" Target="https://www.mounthagen.us/products/organic-freeze-dried-instant-coffee" TargetMode="External" Id="rId2387" /><Relationship Type="http://schemas.openxmlformats.org/officeDocument/2006/relationships/hyperlink" Target="https://www.mounthagen.us/products/organic-freeze-dried-instant-coffee" TargetMode="External" Id="rId2388" /><Relationship Type="http://schemas.openxmlformats.org/officeDocument/2006/relationships/hyperlink" Target="https://www.mounthagen.us/products/organic-freeze-dried-instant-coffee" TargetMode="External" Id="rId2389" /><Relationship Type="http://schemas.openxmlformats.org/officeDocument/2006/relationships/hyperlink" Target="https://www.mounthagen.us/products/organic-freeze-dried-instant-coffee" TargetMode="External" Id="rId2390" /><Relationship Type="http://schemas.openxmlformats.org/officeDocument/2006/relationships/hyperlink" Target="https://www.mounthagen.us/products/organic-freeze-dried-instant-coffee" TargetMode="External" Id="rId2391" /><Relationship Type="http://schemas.openxmlformats.org/officeDocument/2006/relationships/hyperlink" Target="https://www.mounthagen.us/products/organic-freeze-dried-instant-coffee" TargetMode="External" Id="rId2392" /><Relationship Type="http://schemas.openxmlformats.org/officeDocument/2006/relationships/hyperlink" Target="https://www.mounthagen.us/products/organic-freeze-dried-instant-coffee" TargetMode="External" Id="rId2393" /><Relationship Type="http://schemas.openxmlformats.org/officeDocument/2006/relationships/hyperlink" Target="https://www.mounthagen.us/products/organic-freeze-dried-instant-coffee" TargetMode="External" Id="rId2394" /><Relationship Type="http://schemas.openxmlformats.org/officeDocument/2006/relationships/hyperlink" Target="https://www.mounthagen.us/products/organic-freeze-dried-instant-coffee" TargetMode="External" Id="rId2395" /><Relationship Type="http://schemas.openxmlformats.org/officeDocument/2006/relationships/hyperlink" Target="https://www.mounthagen.us/products/organic-freeze-dried-instant-coffee" TargetMode="External" Id="rId2396" /><Relationship Type="http://schemas.openxmlformats.org/officeDocument/2006/relationships/hyperlink" Target="https://www.mounthagen.us/products/organic-freeze-dried-instant-coffee" TargetMode="External" Id="rId2397" /><Relationship Type="http://schemas.openxmlformats.org/officeDocument/2006/relationships/hyperlink" Target="https://www.mounthagen.us/products/organic-freeze-dried-instant-coffee" TargetMode="External" Id="rId2398" /><Relationship Type="http://schemas.openxmlformats.org/officeDocument/2006/relationships/hyperlink" Target="https://mounthagencoffee.com/pages/faq" TargetMode="External" Id="rId2399" /><Relationship Type="http://schemas.openxmlformats.org/officeDocument/2006/relationships/hyperlink" Target="https://www.mounthagen.us/products/organic-freeze-dried-instant-coffee" TargetMode="External" Id="rId2400" /><Relationship Type="http://schemas.openxmlformats.org/officeDocument/2006/relationships/hyperlink" Target="https://www.mounthagen.us/products/organic-freeze-dried-instant-coffee" TargetMode="External" Id="rId2401" /><Relationship Type="http://schemas.openxmlformats.org/officeDocument/2006/relationships/hyperlink" Target="https://www.mounthagen.us/products/organic-freeze-dried-instant-coffee" TargetMode="External" Id="rId2402" /><Relationship Type="http://schemas.openxmlformats.org/officeDocument/2006/relationships/hyperlink" Target="https://www.mounthagen.us/products/organic-freeze-dried-instant-coffee" TargetMode="External" Id="rId2403" /><Relationship Type="http://schemas.openxmlformats.org/officeDocument/2006/relationships/hyperlink" Target="https://www.mounthagen.us/products/organic-freeze-dried-instant-coffee" TargetMode="External" Id="rId2404" /><Relationship Type="http://schemas.openxmlformats.org/officeDocument/2006/relationships/hyperlink" Target="https://www.mounthagen.us/products/organic-freeze-dried-instant-coffee" TargetMode="External" Id="rId2405" /><Relationship Type="http://schemas.openxmlformats.org/officeDocument/2006/relationships/hyperlink" Target="https://www.mounthagen.us/products/organic-freeze-dried-instant-coffee" TargetMode="External" Id="rId2406" /><Relationship Type="http://schemas.openxmlformats.org/officeDocument/2006/relationships/hyperlink" Target="https://www.mounthagen.us/products/organic-freeze-dried-instant-coffee" TargetMode="External" Id="rId2407" /><Relationship Type="http://schemas.openxmlformats.org/officeDocument/2006/relationships/hyperlink" Target="https://www.eatthismuch.com/calories/psyllium-whole-husk-fiber-3328101" TargetMode="External" Id="rId2408" /><Relationship Type="http://schemas.openxmlformats.org/officeDocument/2006/relationships/hyperlink" Target="https://www.eatthismuch.com/calories/psyllium-whole-husk-fiber-3328101" TargetMode="External" Id="rId2409" /><Relationship Type="http://schemas.openxmlformats.org/officeDocument/2006/relationships/hyperlink" Target="https://www.eatthismuch.com/calories/psyllium-whole-husk-fiber-3328101" TargetMode="External" Id="rId2410" /><Relationship Type="http://schemas.openxmlformats.org/officeDocument/2006/relationships/hyperlink" Target="https://www.eatthismuch.com/calories/psyllium-whole-husk-fiber-3328101" TargetMode="External" Id="rId2411" /><Relationship Type="http://schemas.openxmlformats.org/officeDocument/2006/relationships/hyperlink" Target="https://www.eatthismuch.com/calories/psyllium-whole-husk-fiber-3328101" TargetMode="External" Id="rId2412" /><Relationship Type="http://schemas.openxmlformats.org/officeDocument/2006/relationships/hyperlink" Target="https://www.eatthismuch.com/calories/psyllium-whole-husk-fiber-3328101" TargetMode="External" Id="rId2413" /><Relationship Type="http://schemas.openxmlformats.org/officeDocument/2006/relationships/hyperlink" Target="https://www.eatthismuch.com/calories/psyllium-whole-husk-fiber-3328101" TargetMode="External" Id="rId2414" /><Relationship Type="http://schemas.openxmlformats.org/officeDocument/2006/relationships/hyperlink" Target="https://www.eatthismuch.com/calories/psyllium-whole-husk-fiber-3328101" TargetMode="External" Id="rId2415" /><Relationship Type="http://schemas.openxmlformats.org/officeDocument/2006/relationships/hyperlink" Target="https://www.eatthismuch.com/calories/psyllium-whole-husk-fiber-3328101" TargetMode="External" Id="rId2416" /><Relationship Type="http://schemas.openxmlformats.org/officeDocument/2006/relationships/hyperlink" Target="https://www.eatthismuch.com/calories/psyllium-whole-husk-fiber-3328101" TargetMode="External" Id="rId2417" /><Relationship Type="http://schemas.openxmlformats.org/officeDocument/2006/relationships/hyperlink" Target="https://www.eatthismuch.com/calories/psyllium-whole-husk-fiber-3328101" TargetMode="External" Id="rId2418" /><Relationship Type="http://schemas.openxmlformats.org/officeDocument/2006/relationships/hyperlink" Target="https://www.eatthismuch.com/calories/psyllium-whole-husk-fiber-3328101" TargetMode="External" Id="rId2419" /><Relationship Type="http://schemas.openxmlformats.org/officeDocument/2006/relationships/hyperlink" Target="https://www.eatthismuch.com/calories/psyllium-whole-husk-fiber-3328101" TargetMode="External" Id="rId2420" /><Relationship Type="http://schemas.openxmlformats.org/officeDocument/2006/relationships/hyperlink" Target="https://www.eatthismuch.com/calories/psyllium-whole-husk-fiber-3328101" TargetMode="External" Id="rId2421" /><Relationship Type="http://schemas.openxmlformats.org/officeDocument/2006/relationships/hyperlink" Target="https://www.eatthismuch.com/calories/psyllium-whole-husk-fiber-3328101" TargetMode="External" Id="rId2422" /><Relationship Type="http://schemas.openxmlformats.org/officeDocument/2006/relationships/hyperlink" Target="https://www.eatthismuch.com/calories/psyllium-whole-husk-fiber-3328101" TargetMode="External" Id="rId2423" /><Relationship Type="http://schemas.openxmlformats.org/officeDocument/2006/relationships/hyperlink" Target="https://www.eatthismuch.com/calories/psyllium-whole-husk-fiber-3328101" TargetMode="External" Id="rId2424" /><Relationship Type="http://schemas.openxmlformats.org/officeDocument/2006/relationships/hyperlink" Target="https://www.eatthismuch.com/calories/psyllium-whole-husk-fiber-3328101" TargetMode="External" Id="rId2425" /><Relationship Type="http://schemas.openxmlformats.org/officeDocument/2006/relationships/hyperlink" Target="https://www.eatthismuch.com/calories/psyllium-whole-husk-fiber-3328101" TargetMode="External" Id="rId2426" /><Relationship Type="http://schemas.openxmlformats.org/officeDocument/2006/relationships/hyperlink" Target="https://www.eatthismuch.com/calories/psyllium-whole-husk-fiber-3328101" TargetMode="External" Id="rId2427" /><Relationship Type="http://schemas.openxmlformats.org/officeDocument/2006/relationships/hyperlink" Target="https://www.eatthismuch.com/calories/psyllium-whole-husk-fiber-3328101" TargetMode="External" Id="rId2428" /><Relationship Type="http://schemas.openxmlformats.org/officeDocument/2006/relationships/hyperlink" Target="https://www.eatthismuch.com/calories/psyllium-whole-husk-fiber-3328101" TargetMode="External" Id="rId2429" /><Relationship Type="http://schemas.openxmlformats.org/officeDocument/2006/relationships/hyperlink" Target="https://www.eatthismuch.com/calories/psyllium-whole-husk-fiber-3328101" TargetMode="External" Id="rId2430" /><Relationship Type="http://schemas.openxmlformats.org/officeDocument/2006/relationships/hyperlink" Target="https://www.eatthismuch.com/calories/psyllium-whole-husk-fiber-3328101" TargetMode="External" Id="rId2431" /><Relationship Type="http://schemas.openxmlformats.org/officeDocument/2006/relationships/hyperlink" Target="https://www.eatthismuch.com/calories/psyllium-whole-husk-fiber-3328101" TargetMode="External" Id="rId2432" /><Relationship Type="http://schemas.openxmlformats.org/officeDocument/2006/relationships/hyperlink" Target="https://www.eatthismuch.com/calories/psyllium-whole-husk-fiber-3328101" TargetMode="External" Id="rId2433" /><Relationship Type="http://schemas.openxmlformats.org/officeDocument/2006/relationships/hyperlink" Target="https://www.eatthismuch.com/calories/psyllium-whole-husk-fiber-3328101" TargetMode="External" Id="rId2434" /><Relationship Type="http://schemas.openxmlformats.org/officeDocument/2006/relationships/hyperlink" Target="https://www.eatthismuch.com/calories/psyllium-whole-husk-fiber-3328101" TargetMode="External" Id="rId2435" /><Relationship Type="http://schemas.openxmlformats.org/officeDocument/2006/relationships/hyperlink" Target="https://www.eatthismuch.com/calories/psyllium-whole-husk-fiber-3328101" TargetMode="External" Id="rId2436" /><Relationship Type="http://schemas.openxmlformats.org/officeDocument/2006/relationships/hyperlink" Target="https://www.eatthismuch.com/calories/psyllium-whole-husk-fiber-3328101" TargetMode="External" Id="rId2437" /><Relationship Type="http://schemas.openxmlformats.org/officeDocument/2006/relationships/hyperlink" Target="https://www.eatthismuch.com/calories/psyllium-whole-husk-fiber-3328101" TargetMode="External" Id="rId2438" /><Relationship Type="http://schemas.openxmlformats.org/officeDocument/2006/relationships/hyperlink" Target="https://www.eatthismuch.com/calories/psyllium-whole-husk-fiber-3328101" TargetMode="External" Id="rId2439" /><Relationship Type="http://schemas.openxmlformats.org/officeDocument/2006/relationships/hyperlink" Target="https://www.eatthismuch.com/calories/psyllium-whole-husk-fiber-3328101" TargetMode="External" Id="rId2440" /><Relationship Type="http://schemas.openxmlformats.org/officeDocument/2006/relationships/hyperlink" Target="https://www.eatthismuch.com/calories/psyllium-whole-husk-fiber-3328101" TargetMode="External" Id="rId2441" /><Relationship Type="http://schemas.openxmlformats.org/officeDocument/2006/relationships/hyperlink" Target="https://www.eatthismuch.com/calories/psyllium-whole-husk-fiber-3328101" TargetMode="External" Id="rId2442" /><Relationship Type="http://schemas.openxmlformats.org/officeDocument/2006/relationships/hyperlink" Target="https://www.eatthismuch.com/calories/psyllium-whole-husk-fiber-3328101" TargetMode="External" Id="rId2443" /><Relationship Type="http://schemas.openxmlformats.org/officeDocument/2006/relationships/hyperlink" Target="https://www.eatthismuch.com/calories/psyllium-whole-husk-fiber-3328101" TargetMode="External" Id="rId2444" /><Relationship Type="http://schemas.openxmlformats.org/officeDocument/2006/relationships/hyperlink" Target="https://www.eatthismuch.com/calories/psyllium-whole-husk-fiber-3328101" TargetMode="External" Id="rId2445" /><Relationship Type="http://schemas.openxmlformats.org/officeDocument/2006/relationships/hyperlink" Target="https://www.eatthismuch.com/calories/psyllium-whole-husk-fiber-3328101" TargetMode="External" Id="rId2446" /><Relationship Type="http://schemas.openxmlformats.org/officeDocument/2006/relationships/hyperlink" Target="https://www.eatthismuch.com/calories/psyllium-whole-husk-fiber-3328101" TargetMode="External" Id="rId2447" /><Relationship Type="http://schemas.openxmlformats.org/officeDocument/2006/relationships/hyperlink" Target="https://www.eatthismuch.com/calories/psyllium-whole-husk-fiber-3328101" TargetMode="External" Id="rId2448" /><Relationship Type="http://schemas.openxmlformats.org/officeDocument/2006/relationships/hyperlink" Target="https://www.eatthismuch.com/calories/psyllium-whole-husk-fiber-3328101" TargetMode="External" Id="rId2449" /><Relationship Type="http://schemas.openxmlformats.org/officeDocument/2006/relationships/hyperlink" Target="https://www.eatthismuch.com/calories/psyllium-whole-husk-fiber-3328101" TargetMode="External" Id="rId2450" /><Relationship Type="http://schemas.openxmlformats.org/officeDocument/2006/relationships/hyperlink" Target="https://www.eatthismuch.com/calories/psyllium-whole-husk-fiber-3328101" TargetMode="External" Id="rId2451" /><Relationship Type="http://schemas.openxmlformats.org/officeDocument/2006/relationships/hyperlink" Target="https://www.eatthismuch.com/calories/psyllium-whole-husk-fiber-3328101" TargetMode="External" Id="rId2452" /><Relationship Type="http://schemas.openxmlformats.org/officeDocument/2006/relationships/hyperlink" Target="https://www.eatthismuch.com/calories/psyllium-whole-husk-fiber-3328101" TargetMode="External" Id="rId2453" /><Relationship Type="http://schemas.openxmlformats.org/officeDocument/2006/relationships/hyperlink" Target="https://www.eatthismuch.com/calories/psyllium-whole-husk-fiber-3328101" TargetMode="External" Id="rId2454" /><Relationship Type="http://schemas.openxmlformats.org/officeDocument/2006/relationships/hyperlink" Target="https://www.eatthismuch.com/calories/psyllium-whole-husk-fiber-3328101" TargetMode="External" Id="rId2455" /><Relationship Type="http://schemas.openxmlformats.org/officeDocument/2006/relationships/hyperlink" Target="https://www.eatthismuch.com/calories/psyllium-whole-husk-fiber-3328101" TargetMode="External" Id="rId2456" /><Relationship Type="http://schemas.openxmlformats.org/officeDocument/2006/relationships/hyperlink" Target="https://www.eatthismuch.com/calories/psyllium-whole-husk-fiber-3328101" TargetMode="External" Id="rId2457" /><Relationship Type="http://schemas.openxmlformats.org/officeDocument/2006/relationships/hyperlink" Target="https://www.eatthismuch.com/calories/psyllium-whole-husk-fiber-3328101" TargetMode="External" Id="rId2458" /><Relationship Type="http://schemas.openxmlformats.org/officeDocument/2006/relationships/hyperlink" Target="https://www.eatthismuch.com/calories/psyllium-whole-husk-fiber-3328101" TargetMode="External" Id="rId2459" /><Relationship Type="http://schemas.openxmlformats.org/officeDocument/2006/relationships/hyperlink" Target="https://www.eatthismuch.com/calories/psyllium-whole-husk-fiber-3328101" TargetMode="External" Id="rId2460" /><Relationship Type="http://schemas.openxmlformats.org/officeDocument/2006/relationships/hyperlink" Target="https://www.eatthismuch.com/calories/psyllium-whole-husk-fiber-3328101" TargetMode="External" Id="rId2461" /><Relationship Type="http://schemas.openxmlformats.org/officeDocument/2006/relationships/hyperlink" Target="https://www.eatthismuch.com/calories/psyllium-whole-husk-fiber-3328101" TargetMode="External" Id="rId2462" /><Relationship Type="http://schemas.openxmlformats.org/officeDocument/2006/relationships/hyperlink" Target="https://www.eatthismuch.com/calories/psyllium-whole-husk-fiber-3328101" TargetMode="External" Id="rId2463" /><Relationship Type="http://schemas.openxmlformats.org/officeDocument/2006/relationships/hyperlink" Target="https://www.eatthismuch.com/calories/psyllium-whole-husk-fiber-3328101" TargetMode="External" Id="rId2464" /><Relationship Type="http://schemas.openxmlformats.org/officeDocument/2006/relationships/hyperlink" Target="https://www.eatthismuch.com/calories/psyllium-whole-husk-fiber-3328101" TargetMode="External" Id="rId2465" /><Relationship Type="http://schemas.openxmlformats.org/officeDocument/2006/relationships/hyperlink" Target="https://www.eatthismuch.com/calories/psyllium-whole-husk-fiber-3328101" TargetMode="External" Id="rId2466" /><Relationship Type="http://schemas.openxmlformats.org/officeDocument/2006/relationships/hyperlink" Target="https://www.eatthismuch.com/calories/psyllium-whole-husk-fiber-3328101" TargetMode="External" Id="rId2467" /><Relationship Type="http://schemas.openxmlformats.org/officeDocument/2006/relationships/hyperlink" Target="https://www.eatthismuch.com/calories/psyllium-whole-husk-fiber-3328101" TargetMode="External" Id="rId2468" /><Relationship Type="http://schemas.openxmlformats.org/officeDocument/2006/relationships/hyperlink" Target="https://www.eatthismuch.com/calories/psyllium-whole-husk-fiber-3328101" TargetMode="External" Id="rId2469" /><Relationship Type="http://schemas.openxmlformats.org/officeDocument/2006/relationships/hyperlink" Target="https://www.eatthismuch.com/calories/psyllium-whole-husk-fiber-3328101" TargetMode="External" Id="rId2470" /><Relationship Type="http://schemas.openxmlformats.org/officeDocument/2006/relationships/hyperlink" Target="https://www.eatthismuch.com/calories/psyllium-whole-husk-fiber-3328101" TargetMode="External" Id="rId2471" /><Relationship Type="http://schemas.openxmlformats.org/officeDocument/2006/relationships/hyperlink" Target="https://www.eatthismuch.com/calories/psyllium-whole-husk-fiber-3328101" TargetMode="External" Id="rId2472" /><Relationship Type="http://schemas.openxmlformats.org/officeDocument/2006/relationships/hyperlink" Target="https://www.eatthismuch.com/calories/psyllium-whole-husk-fiber-3328101" TargetMode="External" Id="rId2473" /><Relationship Type="http://schemas.openxmlformats.org/officeDocument/2006/relationships/hyperlink" Target="https://www.eatthismuch.com/calories/psyllium-whole-husk-fiber-3328101" TargetMode="External" Id="rId2474" /><Relationship Type="http://schemas.openxmlformats.org/officeDocument/2006/relationships/hyperlink" Target="https://www.eatthismuch.com/calories/psyllium-whole-husk-fiber-3328101" TargetMode="External" Id="rId2475" /><Relationship Type="http://schemas.openxmlformats.org/officeDocument/2006/relationships/hyperlink" Target="https://www.eatthismuch.com/calories/psyllium-whole-husk-fiber-3328101" TargetMode="External" Id="rId2476" /><Relationship Type="http://schemas.openxmlformats.org/officeDocument/2006/relationships/hyperlink" Target="https://www.eatthismuch.com/calories/psyllium-whole-husk-fiber-3328101" TargetMode="External" Id="rId2477" /><Relationship Type="http://schemas.openxmlformats.org/officeDocument/2006/relationships/hyperlink" Target="https://www.eatthismuch.com/calories/psyllium-whole-husk-fiber-3328101" TargetMode="External" Id="rId2478" /><Relationship Type="http://schemas.openxmlformats.org/officeDocument/2006/relationships/hyperlink" Target="https://www.eatthismuch.com/calories/psyllium-whole-husk-fiber-3328101" TargetMode="External" Id="rId2479" /><Relationship Type="http://schemas.openxmlformats.org/officeDocument/2006/relationships/hyperlink" Target="https://www.eatthismuch.com/calories/psyllium-whole-husk-fiber-3328101" TargetMode="External" Id="rId2480" /><Relationship Type="http://schemas.openxmlformats.org/officeDocument/2006/relationships/hyperlink" Target="https://www.eatthismuch.com/calories/psyllium-whole-husk-fiber-3328101" TargetMode="External" Id="rId2481" /><Relationship Type="http://schemas.openxmlformats.org/officeDocument/2006/relationships/hyperlink" Target="https://www.eatthismuch.com/calories/psyllium-whole-husk-fiber-3328101" TargetMode="External" Id="rId2482" /><Relationship Type="http://schemas.openxmlformats.org/officeDocument/2006/relationships/hyperlink" Target="https://www.eatthismuch.com/calories/psyllium-whole-husk-fiber-3328101" TargetMode="External" Id="rId2483" /><Relationship Type="http://schemas.openxmlformats.org/officeDocument/2006/relationships/hyperlink" Target="https://www.eatthismuch.com/calories/psyllium-whole-husk-fiber-3328101" TargetMode="External" Id="rId2484" /><Relationship Type="http://schemas.openxmlformats.org/officeDocument/2006/relationships/hyperlink" Target="https://www.eatthismuch.com/calories/psyllium-whole-husk-fiber-3328101" TargetMode="External" Id="rId2485" /><Relationship Type="http://schemas.openxmlformats.org/officeDocument/2006/relationships/hyperlink" Target="https://www.eatthismuch.com/calories/psyllium-whole-husk-fiber-3328101" TargetMode="External" Id="rId2486" /><Relationship Type="http://schemas.openxmlformats.org/officeDocument/2006/relationships/hyperlink" Target="https://shop.organicindiausa.com/products/psyllium" TargetMode="External" Id="rId2487" /><Relationship Type="http://schemas.openxmlformats.org/officeDocument/2006/relationships/hyperlink" Target="https://shop.organicindiausa.com/products/psyllium" TargetMode="External" Id="rId2488" /><Relationship Type="http://schemas.openxmlformats.org/officeDocument/2006/relationships/hyperlink" Target="https://shop.organicindiausa.com/products/psyllium" TargetMode="External" Id="rId2489" /><Relationship Type="http://schemas.openxmlformats.org/officeDocument/2006/relationships/hyperlink" Target="https://shop.organicindiausa.com/products/psyllium" TargetMode="External" Id="rId2490" /><Relationship Type="http://schemas.openxmlformats.org/officeDocument/2006/relationships/hyperlink" Target="https://www.logixpathchef.com/app/food/getfoodnutrition?fdcid=168463" TargetMode="External" Id="rId2491" /><Relationship Type="http://schemas.openxmlformats.org/officeDocument/2006/relationships/hyperlink" Target="https://www.logixpathchef.com/app/food/getfoodnutrition?fdcid=168463" TargetMode="External" Id="rId2492" /><Relationship Type="http://schemas.openxmlformats.org/officeDocument/2006/relationships/hyperlink" Target="https://www.logixpathchef.com/app/food/getfoodnutrition?fdcid=168463" TargetMode="External" Id="rId2493" /><Relationship Type="http://schemas.openxmlformats.org/officeDocument/2006/relationships/hyperlink" Target="https://www.logixpathchef.com/app/food/getfoodnutrition?fdcid=168463" TargetMode="External" Id="rId2494" /><Relationship Type="http://schemas.openxmlformats.org/officeDocument/2006/relationships/hyperlink" Target="https://www.logixpathchef.com/app/food/getfoodnutrition?fdcid=168463" TargetMode="External" Id="rId2495" /><Relationship Type="http://schemas.openxmlformats.org/officeDocument/2006/relationships/hyperlink" Target="https://www.logixpathchef.com/app/food/getfoodnutrition?fdcid=168463" TargetMode="External" Id="rId2496" /><Relationship Type="http://schemas.openxmlformats.org/officeDocument/2006/relationships/hyperlink" Target="https://www.logixpathchef.com/app/food/getfoodnutrition?fdcid=168463" TargetMode="External" Id="rId2497" /><Relationship Type="http://schemas.openxmlformats.org/officeDocument/2006/relationships/hyperlink" Target="https://www.logixpathchef.com/app/food/getfoodnutrition?fdcid=168463" TargetMode="External" Id="rId2498" /><Relationship Type="http://schemas.openxmlformats.org/officeDocument/2006/relationships/hyperlink" Target="https://www.logixpathchef.com/app/food/getfoodnutrition?fdcid=168463" TargetMode="External" Id="rId2499" /><Relationship Type="http://schemas.openxmlformats.org/officeDocument/2006/relationships/hyperlink" Target="https://www.logixpathchef.com/app/food/getfoodnutrition?fdcid=168463" TargetMode="External" Id="rId2500" /><Relationship Type="http://schemas.openxmlformats.org/officeDocument/2006/relationships/hyperlink" Target="https://www.logixpathchef.com/app/food/getfoodnutrition?fdcid=168463" TargetMode="External" Id="rId2501" /><Relationship Type="http://schemas.openxmlformats.org/officeDocument/2006/relationships/hyperlink" Target="https://www.logixpathchef.com/app/food/getfoodnutrition?fdcid=168463" TargetMode="External" Id="rId2502" /><Relationship Type="http://schemas.openxmlformats.org/officeDocument/2006/relationships/hyperlink" Target="https://www.logixpathchef.com/app/food/getfoodnutrition?fdcid=168463" TargetMode="External" Id="rId2503" /><Relationship Type="http://schemas.openxmlformats.org/officeDocument/2006/relationships/hyperlink" Target="https://www.logixpathchef.com/app/food/getfoodnutrition?fdcid=168463" TargetMode="External" Id="rId2504" /><Relationship Type="http://schemas.openxmlformats.org/officeDocument/2006/relationships/hyperlink" Target="https://www.logixpathchef.com/app/food/getfoodnutrition?fdcid=168463" TargetMode="External" Id="rId2505" /><Relationship Type="http://schemas.openxmlformats.org/officeDocument/2006/relationships/hyperlink" Target="https://www.logixpathchef.com/app/food/getfoodnutrition?fdcid=168463" TargetMode="External" Id="rId2506" /><Relationship Type="http://schemas.openxmlformats.org/officeDocument/2006/relationships/hyperlink" Target="https://www.logixpathchef.com/app/food/getfoodnutrition?fdcid=168463" TargetMode="External" Id="rId2507" /><Relationship Type="http://schemas.openxmlformats.org/officeDocument/2006/relationships/hyperlink" Target="https://www.logixpathchef.com/app/food/getfoodnutrition?fdcid=168463" TargetMode="External" Id="rId2508" /><Relationship Type="http://schemas.openxmlformats.org/officeDocument/2006/relationships/hyperlink" Target="https://www.logixpathchef.com/app/food/getfoodnutrition?fdcid=168463" TargetMode="External" Id="rId2509" /><Relationship Type="http://schemas.openxmlformats.org/officeDocument/2006/relationships/hyperlink" Target="https://www.logixpathchef.com/app/food/getfoodnutrition?fdcid=168463" TargetMode="External" Id="rId2510" /><Relationship Type="http://schemas.openxmlformats.org/officeDocument/2006/relationships/hyperlink" Target="https://www.logixpathchef.com/app/food/getfoodnutrition?fdcid=168463" TargetMode="External" Id="rId2511" /><Relationship Type="http://schemas.openxmlformats.org/officeDocument/2006/relationships/hyperlink" Target="https://www.logixpathchef.com/app/food/getfoodnutrition?fdcid=168463" TargetMode="External" Id="rId2512" /><Relationship Type="http://schemas.openxmlformats.org/officeDocument/2006/relationships/hyperlink" Target="https://www.logixpathchef.com/app/food/getfoodnutrition?fdcid=168463" TargetMode="External" Id="rId2513" /><Relationship Type="http://schemas.openxmlformats.org/officeDocument/2006/relationships/hyperlink" Target="https://www.logixpathchef.com/app/food/getfoodnutrition?fdcid=168463" TargetMode="External" Id="rId2514" /><Relationship Type="http://schemas.openxmlformats.org/officeDocument/2006/relationships/hyperlink" Target="https://pubmed.ncbi.nlm.nih.gov/26471267/" TargetMode="External" Id="rId2515" /><Relationship Type="http://schemas.openxmlformats.org/officeDocument/2006/relationships/hyperlink" Target="https://www.logixpathchef.com/app/food/getfoodnutrition?fdcid=168463" TargetMode="External" Id="rId2516" /><Relationship Type="http://schemas.openxmlformats.org/officeDocument/2006/relationships/hyperlink" Target="https://www.logixpathchef.com/app/food/getfoodnutrition?fdcid=168463" TargetMode="External" Id="rId2517" /><Relationship Type="http://schemas.openxmlformats.org/officeDocument/2006/relationships/hyperlink" Target="https://www.logixpathchef.com/app/food/getfoodnutrition?fdcid=168463" TargetMode="External" Id="rId2518" /><Relationship Type="http://schemas.openxmlformats.org/officeDocument/2006/relationships/hyperlink" Target="https://www.logixpathchef.com/app/food/getfoodnutrition?fdcid=168463" TargetMode="External" Id="rId2519" /><Relationship Type="http://schemas.openxmlformats.org/officeDocument/2006/relationships/hyperlink" Target="https://www.logixpathchef.com/app/food/getfoodnutrition?fdcid=168463" TargetMode="External" Id="rId2520" /><Relationship Type="http://schemas.openxmlformats.org/officeDocument/2006/relationships/hyperlink" Target="https://www.logixpathchef.com/app/food/getfoodnutrition?fdcid=168463" TargetMode="External" Id="rId2521" /><Relationship Type="http://schemas.openxmlformats.org/officeDocument/2006/relationships/hyperlink" Target="https://www.ars.usda.gov/ARSUserFiles/80400535/DATA/IODINE/IODINE_DATABASE_PDFVersion_2020.PDF" TargetMode="External" Id="rId2522" /><Relationship Type="http://schemas.openxmlformats.org/officeDocument/2006/relationships/hyperlink" Target="https://www.logixpathchef.com/app/food/getfoodnutrition?fdcid=168463" TargetMode="External" Id="rId2523" /><Relationship Type="http://schemas.openxmlformats.org/officeDocument/2006/relationships/hyperlink" Target="https://www.logixpathchef.com/app/food/getfoodnutrition?fdcid=168463" TargetMode="External" Id="rId2524" /><Relationship Type="http://schemas.openxmlformats.org/officeDocument/2006/relationships/hyperlink" Target="https://www.logixpathchef.com/app/food/getfoodnutrition?fdcid=168463" TargetMode="External" Id="rId2525" /><Relationship Type="http://schemas.openxmlformats.org/officeDocument/2006/relationships/hyperlink" Target="https://www.logixpathchef.com/app/food/getfoodnutrition?fdcid=168463" TargetMode="External" Id="rId2526" /><Relationship Type="http://schemas.openxmlformats.org/officeDocument/2006/relationships/hyperlink" Target="https://www.logixpathchef.com/app/food/getfoodnutrition?fdcid=168463" TargetMode="External" Id="rId2527" /><Relationship Type="http://schemas.openxmlformats.org/officeDocument/2006/relationships/hyperlink" Target="https://www.logixpathchef.com/app/food/getfoodnutrition?fdcid=168463" TargetMode="External" Id="rId2528" /><Relationship Type="http://schemas.openxmlformats.org/officeDocument/2006/relationships/hyperlink" Target="https://www.logixpathchef.com/app/food/getfoodnutrition?fdcid=168463" TargetMode="External" Id="rId2529" /><Relationship Type="http://schemas.openxmlformats.org/officeDocument/2006/relationships/hyperlink" Target="https://www.logixpathchef.com/app/food/getfoodnutrition?fdcid=168463" TargetMode="External" Id="rId2530" /><Relationship Type="http://schemas.openxmlformats.org/officeDocument/2006/relationships/hyperlink" Target="https://www.logixpathchef.com/app/food/getfoodnutrition?fdcid=168463" TargetMode="External" Id="rId2531" /><Relationship Type="http://schemas.openxmlformats.org/officeDocument/2006/relationships/hyperlink" Target="https://www.logixpathchef.com/app/food/getfoodnutrition?fdcid=168463" TargetMode="External" Id="rId2532" /><Relationship Type="http://schemas.openxmlformats.org/officeDocument/2006/relationships/hyperlink" Target="https://www.logixpathchef.com/app/food/getfoodnutrition?fdcid=168463" TargetMode="External" Id="rId2533" /><Relationship Type="http://schemas.openxmlformats.org/officeDocument/2006/relationships/hyperlink" Target="https://www.logixpathchef.com/app/food/getfoodnutrition?fdcid=168463" TargetMode="External" Id="rId2534" /><Relationship Type="http://schemas.openxmlformats.org/officeDocument/2006/relationships/hyperlink" Target="https://www.logixpathchef.com/app/food/getfoodnutrition?fdcid=168463" TargetMode="External" Id="rId2535" /><Relationship Type="http://schemas.openxmlformats.org/officeDocument/2006/relationships/hyperlink" Target="https://www.logixpathchef.com/app/food/getfoodnutrition?fdcid=168463" TargetMode="External" Id="rId2536" /><Relationship Type="http://schemas.openxmlformats.org/officeDocument/2006/relationships/hyperlink" Target="https://www.logixpathchef.com/app/food/getfoodnutrition?fdcid=168463" TargetMode="External" Id="rId2537" /><Relationship Type="http://schemas.openxmlformats.org/officeDocument/2006/relationships/hyperlink" Target="https://www.logixpathchef.com/app/food/getfoodnutrition?fdcid=168463" TargetMode="External" Id="rId2538" /><Relationship Type="http://schemas.openxmlformats.org/officeDocument/2006/relationships/hyperlink" Target="https://www.logixpathchef.com/app/food/getfoodnutrition?fdcid=168463" TargetMode="External" Id="rId2539" /><Relationship Type="http://schemas.openxmlformats.org/officeDocument/2006/relationships/hyperlink" Target="https://www.logixpathchef.com/app/food/getfoodnutrition?fdcid=168463" TargetMode="External" Id="rId2540" /><Relationship Type="http://schemas.openxmlformats.org/officeDocument/2006/relationships/hyperlink" Target="https://www.logixpathchef.com/app/food/getfoodnutrition?fdcid=168463" TargetMode="External" Id="rId2541" /><Relationship Type="http://schemas.openxmlformats.org/officeDocument/2006/relationships/hyperlink" Target="https://www.logixpathchef.com/app/food/getfoodnutrition?fdcid=168463" TargetMode="External" Id="rId2542" /><Relationship Type="http://schemas.openxmlformats.org/officeDocument/2006/relationships/hyperlink" Target="https://www.logixpathchef.com/app/food/getfoodnutrition?fdcid=168463" TargetMode="External" Id="rId2543" /><Relationship Type="http://schemas.openxmlformats.org/officeDocument/2006/relationships/hyperlink" Target="https://www.logixpathchef.com/app/food/getfoodnutrition?fdcid=168463" TargetMode="External" Id="rId2544" /><Relationship Type="http://schemas.openxmlformats.org/officeDocument/2006/relationships/hyperlink" Target="https://www.logixpathchef.com/app/food/getfoodnutrition?fdcid=168463" TargetMode="External" Id="rId2545" /><Relationship Type="http://schemas.openxmlformats.org/officeDocument/2006/relationships/hyperlink" Target="https://www.logixpathchef.com/app/food/getfoodnutrition?fdcid=168463" TargetMode="External" Id="rId2546" /><Relationship Type="http://schemas.openxmlformats.org/officeDocument/2006/relationships/hyperlink" Target="https://www.ars.usda.gov/ARSUserFiles/80400535/Data/Flav/Flav3.3.pdf" TargetMode="External" Id="rId2547" /><Relationship Type="http://schemas.openxmlformats.org/officeDocument/2006/relationships/hyperlink" Target="https://www.logixpathchef.com/app/food/getfoodnutrition?fdcid=168463" TargetMode="External" Id="rId2548" /><Relationship Type="http://schemas.openxmlformats.org/officeDocument/2006/relationships/hyperlink" Target="https://www.logixpathchef.com/app/food/getfoodnutrition?fdcid=168463" TargetMode="External" Id="rId2549" /><Relationship Type="http://schemas.openxmlformats.org/officeDocument/2006/relationships/hyperlink" Target="https://www.logixpathchef.com/app/food/getfoodnutrition?fdcid=168463" TargetMode="External" Id="rId2550" /><Relationship Type="http://schemas.openxmlformats.org/officeDocument/2006/relationships/hyperlink" Target="https://www.logixpathchef.com/app/food/getfoodnutrition?fdcid=168463" TargetMode="External" Id="rId2551" /><Relationship Type="http://schemas.openxmlformats.org/officeDocument/2006/relationships/hyperlink" Target="https://www.logixpathchef.com/app/food/getfoodnutrition?fdcid=168463" TargetMode="External" Id="rId2552" /><Relationship Type="http://schemas.openxmlformats.org/officeDocument/2006/relationships/hyperlink" Target="https://www.logixpathchef.com/app/food/getfoodnutrition?fdcid=168463" TargetMode="External" Id="rId2553" /><Relationship Type="http://schemas.openxmlformats.org/officeDocument/2006/relationships/hyperlink" Target="https://www.logixpathchef.com/app/food/getfoodnutrition?fdcid=168463" TargetMode="External" Id="rId2554" /><Relationship Type="http://schemas.openxmlformats.org/officeDocument/2006/relationships/hyperlink" Target="https://pubmed.ncbi.nlm.nih.gov/19439460/" TargetMode="External" Id="rId2555" /><Relationship Type="http://schemas.openxmlformats.org/officeDocument/2006/relationships/hyperlink" Target="https://www.logixpathchef.com/app/food/getfoodnutrition?fdcid=168463" TargetMode="External" Id="rId2556" /><Relationship Type="http://schemas.openxmlformats.org/officeDocument/2006/relationships/hyperlink" Target="https://www.logixpathchef.com/app/food/getfoodnutrition?fdcid=168463" TargetMode="External" Id="rId2557" /><Relationship Type="http://schemas.openxmlformats.org/officeDocument/2006/relationships/hyperlink" Target="https://www.logixpathchef.com/app/food/getfoodnutrition?fdcid=168463" TargetMode="External" Id="rId2558" /><Relationship Type="http://schemas.openxmlformats.org/officeDocument/2006/relationships/hyperlink" Target="https://www.logixpathchef.com/app/food/getfoodnutrition?fdcid=168463" TargetMode="External" Id="rId2559" /><Relationship Type="http://schemas.openxmlformats.org/officeDocument/2006/relationships/hyperlink" Target="https://www.logixpathchef.com/app/food/getfoodnutrition?fdcid=168463" TargetMode="External" Id="rId2560" /><Relationship Type="http://schemas.openxmlformats.org/officeDocument/2006/relationships/hyperlink" Target="https://pubmed.ncbi.nlm.nih.gov/11453768/" TargetMode="External" Id="rId2561" /><Relationship Type="http://schemas.openxmlformats.org/officeDocument/2006/relationships/hyperlink" Target="https://www.logixpathchef.com/app/food/getfoodnutrition?fdcid=168463" TargetMode="External" Id="rId2562" /><Relationship Type="http://schemas.openxmlformats.org/officeDocument/2006/relationships/hyperlink" Target="https://www.logixpathchef.com/app/food/getfoodnutrition?fdcid=168463" TargetMode="External" Id="rId2563" /><Relationship Type="http://schemas.openxmlformats.org/officeDocument/2006/relationships/hyperlink" Target="https://www.logixpathchef.com/app/food/getfoodnutrition?fdcid=168463" TargetMode="External" Id="rId2564" /><Relationship Type="http://schemas.openxmlformats.org/officeDocument/2006/relationships/hyperlink" Target="https://www.logixpathchef.com/app/food/getfoodnutrition?fdcid=168463" TargetMode="External" Id="rId2565" /><Relationship Type="http://schemas.openxmlformats.org/officeDocument/2006/relationships/hyperlink" Target="https://www.logixpathchef.com/app/food/getfoodnutrition?fdcid=168463" TargetMode="External" Id="rId2566" /><Relationship Type="http://schemas.openxmlformats.org/officeDocument/2006/relationships/hyperlink" Target="https://www.logixpathchef.com/app/food/getfoodnutrition?fdcid=168463" TargetMode="External" Id="rId2567" /><Relationship Type="http://schemas.openxmlformats.org/officeDocument/2006/relationships/hyperlink" Target="https://www.logixpathchef.com/app/food/getfoodnutrition?fdcid=168463" TargetMode="External" Id="rId2568" /><Relationship Type="http://schemas.openxmlformats.org/officeDocument/2006/relationships/hyperlink" Target="https://www.logixpathchef.com/app/food/getfoodnutrition?fdcid=168463" TargetMode="External" Id="rId2569" /><Relationship Type="http://schemas.openxmlformats.org/officeDocument/2006/relationships/hyperlink" Target="https://www.fda.gov/media/159745/download" TargetMode="External" Id="rId2570" /><Relationship Type="http://schemas.openxmlformats.org/officeDocument/2006/relationships/hyperlink" Target="https://www.fda.gov/media/159745/download" TargetMode="External" Id="rId2571" /><Relationship Type="http://schemas.openxmlformats.org/officeDocument/2006/relationships/hyperlink" Target="https://www.fda.gov/media/159745/download" TargetMode="External" Id="rId2572" /><Relationship Type="http://schemas.openxmlformats.org/officeDocument/2006/relationships/hyperlink" Target="https://www.fda.gov/media/159745/download" TargetMode="External" Id="rId2573" /><Relationship Type="http://schemas.openxmlformats.org/officeDocument/2006/relationships/hyperlink" Target="https://supplementfirst.com/products/thorne-research-multi-vitamin-elite" TargetMode="External" Id="rId2574" /><Relationship Type="http://schemas.openxmlformats.org/officeDocument/2006/relationships/hyperlink" Target="https://supplementfirst.com/products/thorne-research-multi-vitamin-elite" TargetMode="External" Id="rId2575" /><Relationship Type="http://schemas.openxmlformats.org/officeDocument/2006/relationships/hyperlink" Target="https://supplementfirst.com/products/thorne-research-multi-vitamin-elite" TargetMode="External" Id="rId2576" /><Relationship Type="http://schemas.openxmlformats.org/officeDocument/2006/relationships/hyperlink" Target="https://supplementfirst.com/products/thorne-research-multi-vitamin-elite" TargetMode="External" Id="rId2577" /><Relationship Type="http://schemas.openxmlformats.org/officeDocument/2006/relationships/hyperlink" Target="https://supplementfirst.com/products/thorne-research-multi-vitamin-elite" TargetMode="External" Id="rId2578" /><Relationship Type="http://schemas.openxmlformats.org/officeDocument/2006/relationships/hyperlink" Target="https://supplementfirst.com/products/thorne-research-multi-vitamin-elite" TargetMode="External" Id="rId2579" /><Relationship Type="http://schemas.openxmlformats.org/officeDocument/2006/relationships/hyperlink" Target="https://supplementfirst.com/products/thorne-research-multi-vitamin-elite" TargetMode="External" Id="rId2580" /><Relationship Type="http://schemas.openxmlformats.org/officeDocument/2006/relationships/hyperlink" Target="https://supplementfirst.com/products/thorne-research-multi-vitamin-elite" TargetMode="External" Id="rId2581" /><Relationship Type="http://schemas.openxmlformats.org/officeDocument/2006/relationships/hyperlink" Target="https://supplementfirst.com/products/thorne-research-multi-vitamin-elite" TargetMode="External" Id="rId2582" /><Relationship Type="http://schemas.openxmlformats.org/officeDocument/2006/relationships/hyperlink" Target="https://supplementfirst.com/products/thorne-research-multi-vitamin-elite" TargetMode="External" Id="rId2583" /><Relationship Type="http://schemas.openxmlformats.org/officeDocument/2006/relationships/hyperlink" Target="https://supplementfirst.com/products/thorne-research-multi-vitamin-elite" TargetMode="External" Id="rId2584" /><Relationship Type="http://schemas.openxmlformats.org/officeDocument/2006/relationships/hyperlink" Target="https://supplementfirst.com/products/thorne-research-multi-vitamin-elite" TargetMode="External" Id="rId2585" /><Relationship Type="http://schemas.openxmlformats.org/officeDocument/2006/relationships/hyperlink" Target="https://supplementfirst.com/products/thorne-research-multi-vitamin-elite" TargetMode="External" Id="rId2586" /><Relationship Type="http://schemas.openxmlformats.org/officeDocument/2006/relationships/hyperlink" Target="https://supplementfirst.com/products/thorne-research-multi-vitamin-elite" TargetMode="External" Id="rId2587" /><Relationship Type="http://schemas.openxmlformats.org/officeDocument/2006/relationships/hyperlink" Target="https://supplementfirst.com/products/thorne-research-multi-vitamin-elite" TargetMode="External" Id="rId2588" /><Relationship Type="http://schemas.openxmlformats.org/officeDocument/2006/relationships/hyperlink" Target="https://supplementfirst.com/products/thorne-research-multi-vitamin-elite" TargetMode="External" Id="rId2589" /><Relationship Type="http://schemas.openxmlformats.org/officeDocument/2006/relationships/hyperlink" Target="https://supplementfirst.com/products/thorne-research-multi-vitamin-elite" TargetMode="External" Id="rId2590" /><Relationship Type="http://schemas.openxmlformats.org/officeDocument/2006/relationships/hyperlink" Target="https://supplementfirst.com/products/thorne-research-multi-vitamin-elite" TargetMode="External" Id="rId2591" /><Relationship Type="http://schemas.openxmlformats.org/officeDocument/2006/relationships/hyperlink" Target="https://supplementfirst.com/products/thorne-research-multi-vitamin-elite" TargetMode="External" Id="rId2592" /><Relationship Type="http://schemas.openxmlformats.org/officeDocument/2006/relationships/hyperlink" Target="https://supplementfirst.com/products/thorne-research-multi-vitamin-elite" TargetMode="External" Id="rId2593" /><Relationship Type="http://schemas.openxmlformats.org/officeDocument/2006/relationships/hyperlink" Target="https://supplementfirst.com/products/thorne-research-multi-vitamin-elite" TargetMode="External" Id="rId2594" /><Relationship Type="http://schemas.openxmlformats.org/officeDocument/2006/relationships/hyperlink" Target="https://supplementfirst.com/products/thorne-research-multi-vitamin-elite" TargetMode="External" Id="rId2595" /><Relationship Type="http://schemas.openxmlformats.org/officeDocument/2006/relationships/hyperlink" Target="https://supplementfirst.com/products/thorne-research-multi-vitamin-elite" TargetMode="External" Id="rId2596" /><Relationship Type="http://schemas.openxmlformats.org/officeDocument/2006/relationships/hyperlink" Target="https://supplementfirst.com/products/thorne-research-multi-vitamin-elite" TargetMode="External" Id="rId2597" /><Relationship Type="http://schemas.openxmlformats.org/officeDocument/2006/relationships/hyperlink" Target="https://supplementfirst.com/products/thorne-research-multi-vitamin-elite" TargetMode="External" Id="rId2598" /><Relationship Type="http://schemas.openxmlformats.org/officeDocument/2006/relationships/hyperlink" Target="https://supplementfirst.com/products/thorne-research-multi-vitamin-elite" TargetMode="External" Id="rId2599" /><Relationship Type="http://schemas.openxmlformats.org/officeDocument/2006/relationships/hyperlink" Target="https://supplementfirst.com/products/thorne-research-multi-vitamin-elite" TargetMode="External" Id="rId2600" /><Relationship Type="http://schemas.openxmlformats.org/officeDocument/2006/relationships/hyperlink" Target="https://supplementfirst.com/products/thorne-research-multi-vitamin-elite" TargetMode="External" Id="rId2601" /><Relationship Type="http://schemas.openxmlformats.org/officeDocument/2006/relationships/hyperlink" Target="https://supplementfirst.com/products/thorne-research-multi-vitamin-elite" TargetMode="External" Id="rId2602" /><Relationship Type="http://schemas.openxmlformats.org/officeDocument/2006/relationships/hyperlink" Target="https://supplementfirst.com/products/thorne-research-multi-vitamin-elite" TargetMode="External" Id="rId2603" /><Relationship Type="http://schemas.openxmlformats.org/officeDocument/2006/relationships/hyperlink" Target="https://supplementfirst.com/products/thorne-research-multi-vitamin-elite" TargetMode="External" Id="rId2604" /><Relationship Type="http://schemas.openxmlformats.org/officeDocument/2006/relationships/hyperlink" Target="https://supplementfirst.com/products/thorne-research-multi-vitamin-elite" TargetMode="External" Id="rId2605" /><Relationship Type="http://schemas.openxmlformats.org/officeDocument/2006/relationships/hyperlink" Target="https://supplementfirst.com/products/thorne-research-multi-vitamin-elite" TargetMode="External" Id="rId2606" /><Relationship Type="http://schemas.openxmlformats.org/officeDocument/2006/relationships/hyperlink" Target="https://supplementfirst.com/products/thorne-research-multi-vitamin-elite" TargetMode="External" Id="rId2607" /><Relationship Type="http://schemas.openxmlformats.org/officeDocument/2006/relationships/hyperlink" Target="https://supplementfirst.com/products/thorne-research-multi-vitamin-elite" TargetMode="External" Id="rId2608" /><Relationship Type="http://schemas.openxmlformats.org/officeDocument/2006/relationships/hyperlink" Target="https://supplementfirst.com/products/thorne-research-multi-vitamin-elite" TargetMode="External" Id="rId2609" /><Relationship Type="http://schemas.openxmlformats.org/officeDocument/2006/relationships/hyperlink" Target="https://supplementfirst.com/products/thorne-research-multi-vitamin-elite" TargetMode="External" Id="rId2610" /><Relationship Type="http://schemas.openxmlformats.org/officeDocument/2006/relationships/hyperlink" Target="https://supplementfirst.com/products/thorne-research-multi-vitamin-elite" TargetMode="External" Id="rId2611" /><Relationship Type="http://schemas.openxmlformats.org/officeDocument/2006/relationships/hyperlink" Target="https://supplementfirst.com/products/thorne-research-multi-vitamin-elite" TargetMode="External" Id="rId2612" /><Relationship Type="http://schemas.openxmlformats.org/officeDocument/2006/relationships/hyperlink" Target="https://supplementfirst.com/products/thorne-research-multi-vitamin-elite" TargetMode="External" Id="rId2613" /><Relationship Type="http://schemas.openxmlformats.org/officeDocument/2006/relationships/hyperlink" Target="https://supplementfirst.com/products/thorne-research-multi-vitamin-elite" TargetMode="External" Id="rId2614" /><Relationship Type="http://schemas.openxmlformats.org/officeDocument/2006/relationships/hyperlink" Target="https://supplementfirst.com/products/thorne-research-multi-vitamin-elite" TargetMode="External" Id="rId2615" /><Relationship Type="http://schemas.openxmlformats.org/officeDocument/2006/relationships/hyperlink" Target="https://supplementfirst.com/products/thorne-research-multi-vitamin-elite" TargetMode="External" Id="rId2616" /><Relationship Type="http://schemas.openxmlformats.org/officeDocument/2006/relationships/hyperlink" Target="https://supplementfirst.com/products/thorne-research-multi-vitamin-elite" TargetMode="External" Id="rId2617" /><Relationship Type="http://schemas.openxmlformats.org/officeDocument/2006/relationships/hyperlink" Target="https://supplementfirst.com/products/thorne-research-multi-vitamin-elite" TargetMode="External" Id="rId2618" /><Relationship Type="http://schemas.openxmlformats.org/officeDocument/2006/relationships/hyperlink" Target="https://supplementfirst.com/products/thorne-research-multi-vitamin-elite" TargetMode="External" Id="rId2619" /><Relationship Type="http://schemas.openxmlformats.org/officeDocument/2006/relationships/hyperlink" Target="https://supplementfirst.com/products/thorne-research-multi-vitamin-elite" TargetMode="External" Id="rId2620" /><Relationship Type="http://schemas.openxmlformats.org/officeDocument/2006/relationships/hyperlink" Target="https://supplementfirst.com/products/thorne-research-multi-vitamin-elite" TargetMode="External" Id="rId2621" /><Relationship Type="http://schemas.openxmlformats.org/officeDocument/2006/relationships/hyperlink" Target="https://supplementfirst.com/products/thorne-research-multi-vitamin-elite" TargetMode="External" Id="rId2622" /><Relationship Type="http://schemas.openxmlformats.org/officeDocument/2006/relationships/hyperlink" Target="https://supplementfirst.com/products/thorne-research-multi-vitamin-elite" TargetMode="External" Id="rId2623" /><Relationship Type="http://schemas.openxmlformats.org/officeDocument/2006/relationships/hyperlink" Target="https://supplementfirst.com/products/thorne-research-multi-vitamin-elite" TargetMode="External" Id="rId2624" /><Relationship Type="http://schemas.openxmlformats.org/officeDocument/2006/relationships/hyperlink" Target="https://supplementfirst.com/products/thorne-research-multi-vitamin-elite" TargetMode="External" Id="rId2625" /><Relationship Type="http://schemas.openxmlformats.org/officeDocument/2006/relationships/hyperlink" Target="https://supplementfirst.com/products/thorne-research-multi-vitamin-elite" TargetMode="External" Id="rId2626" /><Relationship Type="http://schemas.openxmlformats.org/officeDocument/2006/relationships/hyperlink" Target="https://supplementfirst.com/products/thorne-research-multi-vitamin-elite" TargetMode="External" Id="rId2627" /><Relationship Type="http://schemas.openxmlformats.org/officeDocument/2006/relationships/hyperlink" Target="https://supplementfirst.com/products/thorne-research-multi-vitamin-elite" TargetMode="External" Id="rId2628" /><Relationship Type="http://schemas.openxmlformats.org/officeDocument/2006/relationships/hyperlink" Target="https://supplementfirst.com/products/thorne-research-multi-vitamin-elite" TargetMode="External" Id="rId2629" /><Relationship Type="http://schemas.openxmlformats.org/officeDocument/2006/relationships/hyperlink" Target="https://supplementfirst.com/products/thorne-research-multi-vitamin-elite" TargetMode="External" Id="rId2630" /><Relationship Type="http://schemas.openxmlformats.org/officeDocument/2006/relationships/hyperlink" Target="https://supplementfirst.com/products/thorne-research-multi-vitamin-elite" TargetMode="External" Id="rId2631" /><Relationship Type="http://schemas.openxmlformats.org/officeDocument/2006/relationships/hyperlink" Target="https://supplementfirst.com/products/thorne-research-multi-vitamin-elite" TargetMode="External" Id="rId2632" /><Relationship Type="http://schemas.openxmlformats.org/officeDocument/2006/relationships/hyperlink" Target="https://supplementfirst.com/products/thorne-research-multi-vitamin-elite" TargetMode="External" Id="rId2633" /><Relationship Type="http://schemas.openxmlformats.org/officeDocument/2006/relationships/hyperlink" Target="https://supplementfirst.com/products/thorne-research-multi-vitamin-elite" TargetMode="External" Id="rId2634" /><Relationship Type="http://schemas.openxmlformats.org/officeDocument/2006/relationships/hyperlink" Target="https://supplementfirst.com/products/thorne-research-multi-vitamin-elite" TargetMode="External" Id="rId2635" /><Relationship Type="http://schemas.openxmlformats.org/officeDocument/2006/relationships/hyperlink" Target="https://supplementfirst.com/products/thorne-research-multi-vitamin-elite" TargetMode="External" Id="rId2636" /><Relationship Type="http://schemas.openxmlformats.org/officeDocument/2006/relationships/hyperlink" Target="https://supplementfirst.com/products/thorne-research-multi-vitamin-elite" TargetMode="External" Id="rId2637" /><Relationship Type="http://schemas.openxmlformats.org/officeDocument/2006/relationships/hyperlink" Target="https://supplementfirst.com/products/thorne-research-multi-vitamin-elite" TargetMode="External" Id="rId2638" /><Relationship Type="http://schemas.openxmlformats.org/officeDocument/2006/relationships/hyperlink" Target="https://supplementfirst.com/products/thorne-research-multi-vitamin-elite" TargetMode="External" Id="rId2639" /><Relationship Type="http://schemas.openxmlformats.org/officeDocument/2006/relationships/hyperlink" Target="https://supplementfirst.com/products/thorne-research-multi-vitamin-elite" TargetMode="External" Id="rId2640" /><Relationship Type="http://schemas.openxmlformats.org/officeDocument/2006/relationships/hyperlink" Target="https://supplementfirst.com/products/thorne-research-multi-vitamin-elite" TargetMode="External" Id="rId2641" /><Relationship Type="http://schemas.openxmlformats.org/officeDocument/2006/relationships/hyperlink" Target="https://supplementfirst.com/products/thorne-research-multi-vitamin-elite" TargetMode="External" Id="rId2642" /><Relationship Type="http://schemas.openxmlformats.org/officeDocument/2006/relationships/hyperlink" Target="https://supplementfirst.com/products/thorne-research-multi-vitamin-elite" TargetMode="External" Id="rId2643" /><Relationship Type="http://schemas.openxmlformats.org/officeDocument/2006/relationships/hyperlink" Target="https://supplementfirst.com/products/thorne-research-multi-vitamin-elite" TargetMode="External" Id="rId2644" /><Relationship Type="http://schemas.openxmlformats.org/officeDocument/2006/relationships/hyperlink" Target="https://supplementfirst.com/products/thorne-research-multi-vitamin-elite" TargetMode="External" Id="rId2645" /><Relationship Type="http://schemas.openxmlformats.org/officeDocument/2006/relationships/hyperlink" Target="https://supplementfirst.com/products/thorne-research-multi-vitamin-elite" TargetMode="External" Id="rId2646" /><Relationship Type="http://schemas.openxmlformats.org/officeDocument/2006/relationships/hyperlink" Target="https://supplementfirst.com/products/thorne-research-multi-vitamin-elite" TargetMode="External" Id="rId2647" /><Relationship Type="http://schemas.openxmlformats.org/officeDocument/2006/relationships/hyperlink" Target="https://supplementfirst.com/products/thorne-research-multi-vitamin-elite" TargetMode="External" Id="rId2648" /><Relationship Type="http://schemas.openxmlformats.org/officeDocument/2006/relationships/hyperlink" Target="https://supplementfirst.com/products/thorne-research-multi-vitamin-elite" TargetMode="External" Id="rId2649" /><Relationship Type="http://schemas.openxmlformats.org/officeDocument/2006/relationships/hyperlink" Target="https://supplementfirst.com/products/thorne-research-multi-vitamin-elite" TargetMode="External" Id="rId2650" /><Relationship Type="http://schemas.openxmlformats.org/officeDocument/2006/relationships/hyperlink" Target="https://supplementfirst.com/products/thorne-research-multi-vitamin-elite" TargetMode="External" Id="rId2651" /><Relationship Type="http://schemas.openxmlformats.org/officeDocument/2006/relationships/hyperlink" Target="https://supplementfirst.com/products/thorne-research-multi-vitamin-elite" TargetMode="External" Id="rId2652" /><Relationship Type="http://schemas.openxmlformats.org/officeDocument/2006/relationships/hyperlink" Target="https://supplementfirst.com/products/thorne-research-multi-vitamin-elite" TargetMode="External" Id="rId2653" /><Relationship Type="http://schemas.openxmlformats.org/officeDocument/2006/relationships/hyperlink" Target="https://supplementfirst.com/products/thorne-research-multi-vitamin-elite" TargetMode="External" Id="rId2654" /><Relationship Type="http://schemas.openxmlformats.org/officeDocument/2006/relationships/hyperlink" Target="https://supplementfirst.com/products/thorne-research-multi-vitamin-elite" TargetMode="External" Id="rId2655" /><Relationship Type="http://schemas.openxmlformats.org/officeDocument/2006/relationships/hyperlink" Target="https://supplementfirst.com/products/thorne-research-multi-vitamin-elite" TargetMode="External" Id="rId2656" /><Relationship Type="http://schemas.openxmlformats.org/officeDocument/2006/relationships/hyperlink" Target="https://www.nordicnaturals.com/products/ultimate-omega-d3-sport" TargetMode="External" Id="rId2657" /><Relationship Type="http://schemas.openxmlformats.org/officeDocument/2006/relationships/hyperlink" Target="https://www.nordicnaturals.com/products/ultimate-omega-d3-sport" TargetMode="External" Id="rId2658" /><Relationship Type="http://schemas.openxmlformats.org/officeDocument/2006/relationships/hyperlink" Target="https://www.nordicnaturals.com/products/ultimate-omega-d3-sport" TargetMode="External" Id="rId2659" /><Relationship Type="http://schemas.openxmlformats.org/officeDocument/2006/relationships/hyperlink" Target="https://www.nordicnaturals.com/products/ultimate-omega-d3-sport" TargetMode="External" Id="rId2660" /><Relationship Type="http://schemas.openxmlformats.org/officeDocument/2006/relationships/hyperlink" Target="https://www.nordicnaturals.com/products/ultimate-omega-d3-sport" TargetMode="External" Id="rId2661" /><Relationship Type="http://schemas.openxmlformats.org/officeDocument/2006/relationships/hyperlink" Target="https://www.nordicnaturals.com/products/ultimate-omega-d3-sport" TargetMode="External" Id="rId2662" /><Relationship Type="http://schemas.openxmlformats.org/officeDocument/2006/relationships/hyperlink" Target="https://www.nordicnaturals.com/products/ultimate-omega-d3-sport" TargetMode="External" Id="rId2663" /><Relationship Type="http://schemas.openxmlformats.org/officeDocument/2006/relationships/hyperlink" Target="https://www.nordicnaturals.com/products/ultimate-omega-d3-sport" TargetMode="External" Id="rId2664" /><Relationship Type="http://schemas.openxmlformats.org/officeDocument/2006/relationships/hyperlink" Target="https://www.nordicnaturals.com/products/ultimate-omega-d3-sport" TargetMode="External" Id="rId2665" /><Relationship Type="http://schemas.openxmlformats.org/officeDocument/2006/relationships/hyperlink" Target="https://www.nordicnaturals.com/products/ultimate-omega-d3-sport" TargetMode="External" Id="rId2666" /><Relationship Type="http://schemas.openxmlformats.org/officeDocument/2006/relationships/hyperlink" Target="https://www.nordicnaturals.com/products/ultimate-omega-d3-sport" TargetMode="External" Id="rId2667" /><Relationship Type="http://schemas.openxmlformats.org/officeDocument/2006/relationships/hyperlink" Target="https://www.nordicnaturals.com/products/ultimate-omega-d3-sport" TargetMode="External" Id="rId2668" /><Relationship Type="http://schemas.openxmlformats.org/officeDocument/2006/relationships/hyperlink" Target="https://www.nordicnaturals.com/products/ultimate-omega-d3-sport" TargetMode="External" Id="rId2669" /><Relationship Type="http://schemas.openxmlformats.org/officeDocument/2006/relationships/hyperlink" Target="https://www.nordicnaturals.com/products/ultimate-omega-d3-sport" TargetMode="External" Id="rId2670" /><Relationship Type="http://schemas.openxmlformats.org/officeDocument/2006/relationships/hyperlink" Target="https://www.nordicnaturals.com/products/ultimate-omega-d3-sport" TargetMode="External" Id="rId2671" /><Relationship Type="http://schemas.openxmlformats.org/officeDocument/2006/relationships/hyperlink" Target="https://www.nordicnaturals.com/products/ultimate-omega-d3-sport" TargetMode="External" Id="rId2672" /><Relationship Type="http://schemas.openxmlformats.org/officeDocument/2006/relationships/hyperlink" Target="https://www.nordicnaturals.com/products/ultimate-omega-d3-sport" TargetMode="External" Id="rId2673" /><Relationship Type="http://schemas.openxmlformats.org/officeDocument/2006/relationships/hyperlink" Target="https://www.nordicnaturals.com/products/ultimate-omega-d3-sport" TargetMode="External" Id="rId2674" /><Relationship Type="http://schemas.openxmlformats.org/officeDocument/2006/relationships/hyperlink" Target="https://www.nordicnaturals.com/products/ultimate-omega-d3-sport" TargetMode="External" Id="rId2675" /><Relationship Type="http://schemas.openxmlformats.org/officeDocument/2006/relationships/hyperlink" Target="https://www.nordicnaturals.com/products/ultimate-omega-d3-sport" TargetMode="External" Id="rId2676" /><Relationship Type="http://schemas.openxmlformats.org/officeDocument/2006/relationships/hyperlink" Target="https://www.nordicnaturals.com/products/ultimate-omega-d3-sport" TargetMode="External" Id="rId2677" /><Relationship Type="http://schemas.openxmlformats.org/officeDocument/2006/relationships/hyperlink" Target="https://www.nordicnaturals.com/products/ultimate-omega-d3-sport" TargetMode="External" Id="rId2678" /><Relationship Type="http://schemas.openxmlformats.org/officeDocument/2006/relationships/hyperlink" Target="https://www.nordicnaturals.com/products/ultimate-omega-d3-sport" TargetMode="External" Id="rId2679" /><Relationship Type="http://schemas.openxmlformats.org/officeDocument/2006/relationships/hyperlink" Target="https://www.nordicnaturals.com/products/ultimate-omega-d3-sport" TargetMode="External" Id="rId2680" /><Relationship Type="http://schemas.openxmlformats.org/officeDocument/2006/relationships/hyperlink" Target="https://www.nordicnaturals.com/products/ultimate-omega-d3-sport" TargetMode="External" Id="rId2681" /><Relationship Type="http://schemas.openxmlformats.org/officeDocument/2006/relationships/hyperlink" Target="https://www.nordicnaturals.com/products/ultimate-omega-d3-sport" TargetMode="External" Id="rId2682" /><Relationship Type="http://schemas.openxmlformats.org/officeDocument/2006/relationships/hyperlink" Target="https://www.nordicnaturals.com/products/ultimate-omega-d3-sport" TargetMode="External" Id="rId2683" /><Relationship Type="http://schemas.openxmlformats.org/officeDocument/2006/relationships/hyperlink" Target="https://www.nordicnaturals.com/products/ultimate-omega-d3-sport" TargetMode="External" Id="rId2684" /><Relationship Type="http://schemas.openxmlformats.org/officeDocument/2006/relationships/hyperlink" Target="https://www.nordicnaturals.com/products/ultimate-omega-d3-sport" TargetMode="External" Id="rId2685" /><Relationship Type="http://schemas.openxmlformats.org/officeDocument/2006/relationships/hyperlink" Target="https://www.nordicnaturals.com/products/ultimate-omega-d3-sport" TargetMode="External" Id="rId2686" /><Relationship Type="http://schemas.openxmlformats.org/officeDocument/2006/relationships/hyperlink" Target="https://www.nordicnaturals.com/products/ultimate-omega-d3-sport" TargetMode="External" Id="rId2687" /><Relationship Type="http://schemas.openxmlformats.org/officeDocument/2006/relationships/hyperlink" Target="https://www.nordicnaturals.com/products/ultimate-omega-d3-sport" TargetMode="External" Id="rId2688" /><Relationship Type="http://schemas.openxmlformats.org/officeDocument/2006/relationships/hyperlink" Target="https://www.nordicnaturals.com/products/ultimate-omega-d3-sport" TargetMode="External" Id="rId2689" /><Relationship Type="http://schemas.openxmlformats.org/officeDocument/2006/relationships/hyperlink" Target="https://www.nordicnaturals.com/products/ultimate-omega-d3-sport" TargetMode="External" Id="rId2690" /><Relationship Type="http://schemas.openxmlformats.org/officeDocument/2006/relationships/hyperlink" Target="https://www.nordicnaturals.com/products/ultimate-omega-d3-sport" TargetMode="External" Id="rId2691" /><Relationship Type="http://schemas.openxmlformats.org/officeDocument/2006/relationships/hyperlink" Target="https://www.nordic.com/products/ultimate-omega-d3-sport/" TargetMode="External" Id="rId2692" /><Relationship Type="http://schemas.openxmlformats.org/officeDocument/2006/relationships/hyperlink" Target="https://www.nordicnaturals.com/products/ultimate-omega-d3-sport" TargetMode="External" Id="rId2693" /><Relationship Type="http://schemas.openxmlformats.org/officeDocument/2006/relationships/hyperlink" Target="https://www.nordicnaturals.com/products/ultimate-omega-d3-sport" TargetMode="External" Id="rId2694" /><Relationship Type="http://schemas.openxmlformats.org/officeDocument/2006/relationships/hyperlink" Target="https://www.nordicnaturals.com/products/ultimate-omega-d3-sport" TargetMode="External" Id="rId2695" /><Relationship Type="http://schemas.openxmlformats.org/officeDocument/2006/relationships/hyperlink" Target="https://www.nordicnaturals.com/products/ultimate-omega-d3-sport" TargetMode="External" Id="rId2696" /><Relationship Type="http://schemas.openxmlformats.org/officeDocument/2006/relationships/hyperlink" Target="https://www.nordicnaturals.com/products/ultimate-omega-d3-sport" TargetMode="External" Id="rId2697" /><Relationship Type="http://schemas.openxmlformats.org/officeDocument/2006/relationships/hyperlink" Target="https://www.nordicnaturals.com/products/ultimate-omega-d3-sport" TargetMode="External" Id="rId2698" /><Relationship Type="http://schemas.openxmlformats.org/officeDocument/2006/relationships/hyperlink" Target="https://www.nordicnaturals.com/products/ultimate-omega-d3-sport" TargetMode="External" Id="rId2699" /><Relationship Type="http://schemas.openxmlformats.org/officeDocument/2006/relationships/hyperlink" Target="https://www.nordicnaturals.com/products/ultimate-omega-d3-sport" TargetMode="External" Id="rId2700" /><Relationship Type="http://schemas.openxmlformats.org/officeDocument/2006/relationships/hyperlink" Target="https://www.nordicnaturals.com/products/ultimate-omega-d3-sport" TargetMode="External" Id="rId2701" /><Relationship Type="http://schemas.openxmlformats.org/officeDocument/2006/relationships/hyperlink" Target="https://www.nordicnaturals.com/products/ultimate-omega-d3-sport" TargetMode="External" Id="rId2702" /><Relationship Type="http://schemas.openxmlformats.org/officeDocument/2006/relationships/hyperlink" Target="https://www.nordicnaturals.com/products/ultimate-omega-d3-sport" TargetMode="External" Id="rId2703" /><Relationship Type="http://schemas.openxmlformats.org/officeDocument/2006/relationships/hyperlink" Target="https://www.nordicnaturals.com/products/ultimate-omega-d3-sport" TargetMode="External" Id="rId2704" /><Relationship Type="http://schemas.openxmlformats.org/officeDocument/2006/relationships/hyperlink" Target="https://www.nordic.com/products/ultimate-omega-d3-sport/" TargetMode="External" Id="rId2705" /><Relationship Type="http://schemas.openxmlformats.org/officeDocument/2006/relationships/hyperlink" Target="https://www.nordic.com/products/ultimate-omega-d3-sport/" TargetMode="External" Id="rId2706" /><Relationship Type="http://schemas.openxmlformats.org/officeDocument/2006/relationships/hyperlink" Target="https://www.nordicnaturals.com/products/ultimate-omega-d3-sport" TargetMode="External" Id="rId2707" /><Relationship Type="http://schemas.openxmlformats.org/officeDocument/2006/relationships/hyperlink" Target="https://www.nordicnaturals.com/products/ultimate-omega-d3-sport" TargetMode="External" Id="rId2708" /><Relationship Type="http://schemas.openxmlformats.org/officeDocument/2006/relationships/hyperlink" Target="https://www.nordicnaturals.com/products/ultimate-omega-d3-sport" TargetMode="External" Id="rId2709" /><Relationship Type="http://schemas.openxmlformats.org/officeDocument/2006/relationships/hyperlink" Target="https://www.nordicnaturals.com/products/ultimate-omega-d3-sport" TargetMode="External" Id="rId2710" /><Relationship Type="http://schemas.openxmlformats.org/officeDocument/2006/relationships/hyperlink" Target="https://www.nordicnaturals.com/products/ultimate-omega-d3-sport" TargetMode="External" Id="rId2711" /><Relationship Type="http://schemas.openxmlformats.org/officeDocument/2006/relationships/hyperlink" Target="https://www.nordicnaturals.com/products/ultimate-omega-d3-sport" TargetMode="External" Id="rId2712" /><Relationship Type="http://schemas.openxmlformats.org/officeDocument/2006/relationships/hyperlink" Target="https://www.nordicnaturals.com/products/ultimate-omega-d3-sport" TargetMode="External" Id="rId2713" /><Relationship Type="http://schemas.openxmlformats.org/officeDocument/2006/relationships/hyperlink" Target="https://www.nordicnaturals.com/products/ultimate-omega-d3-sport" TargetMode="External" Id="rId2714" /><Relationship Type="http://schemas.openxmlformats.org/officeDocument/2006/relationships/hyperlink" Target="https://www.nordicnaturals.com/products/ultimate-omega-d3-sport" TargetMode="External" Id="rId2715" /><Relationship Type="http://schemas.openxmlformats.org/officeDocument/2006/relationships/hyperlink" Target="https://www.nordicnaturals.com/products/ultimate-omega-d3-sport" TargetMode="External" Id="rId2716" /><Relationship Type="http://schemas.openxmlformats.org/officeDocument/2006/relationships/hyperlink" Target="https://www.nordicnaturals.com/products/ultimate-omega-d3-sport" TargetMode="External" Id="rId2717" /><Relationship Type="http://schemas.openxmlformats.org/officeDocument/2006/relationships/hyperlink" Target="https://www.nordicnaturals.com/products/ultimate-omega-d3-sport" TargetMode="External" Id="rId2718" /><Relationship Type="http://schemas.openxmlformats.org/officeDocument/2006/relationships/hyperlink" Target="https://www.nordicnaturals.com/products/ultimate-omega-d3-sport" TargetMode="External" Id="rId2719" /><Relationship Type="http://schemas.openxmlformats.org/officeDocument/2006/relationships/hyperlink" Target="https://www.nordicnaturals.com/products/ultimate-omega-d3-sport" TargetMode="External" Id="rId2720" /><Relationship Type="http://schemas.openxmlformats.org/officeDocument/2006/relationships/hyperlink" Target="https://www.nordicnaturals.com/products/ultimate-omega-d3-sport" TargetMode="External" Id="rId2721" /><Relationship Type="http://schemas.openxmlformats.org/officeDocument/2006/relationships/hyperlink" Target="https://www.nordicnaturals.com/products/ultimate-omega-d3-sport" TargetMode="External" Id="rId2722" /><Relationship Type="http://schemas.openxmlformats.org/officeDocument/2006/relationships/hyperlink" Target="https://www.nordicnaturals.com/products/ultimate-omega-d3-sport" TargetMode="External" Id="rId2723" /><Relationship Type="http://schemas.openxmlformats.org/officeDocument/2006/relationships/hyperlink" Target="https://www.nordicnaturals.com/products/ultimate-omega-d3-sport" TargetMode="External" Id="rId2724" /><Relationship Type="http://schemas.openxmlformats.org/officeDocument/2006/relationships/hyperlink" Target="https://www.nordicnaturals.com/products/ultimate-omega-d3-sport" TargetMode="External" Id="rId2725" /><Relationship Type="http://schemas.openxmlformats.org/officeDocument/2006/relationships/hyperlink" Target="https://www.nordicnaturals.com/products/ultimate-omega-d3-sport" TargetMode="External" Id="rId2726" /><Relationship Type="http://schemas.openxmlformats.org/officeDocument/2006/relationships/hyperlink" Target="https://www.nordicnaturals.com/products/ultimate-omega-d3-sport" TargetMode="External" Id="rId2727" /><Relationship Type="http://schemas.openxmlformats.org/officeDocument/2006/relationships/hyperlink" Target="https://www.nordicnaturals.com/products/ultimate-omega-d3-sport" TargetMode="External" Id="rId2728" /><Relationship Type="http://schemas.openxmlformats.org/officeDocument/2006/relationships/hyperlink" Target="https://www.nordicnaturals.com/products/ultimate-omega-d3-sport" TargetMode="External" Id="rId2729" /><Relationship Type="http://schemas.openxmlformats.org/officeDocument/2006/relationships/hyperlink" Target="https://www.nordicnaturals.com/products/ultimate-omega-d3-sport" TargetMode="External" Id="rId2730" /><Relationship Type="http://schemas.openxmlformats.org/officeDocument/2006/relationships/hyperlink" Target="https://www.nordicnaturals.com/products/ultimate-omega-d3-sport" TargetMode="External" Id="rId2731" /><Relationship Type="http://schemas.openxmlformats.org/officeDocument/2006/relationships/hyperlink" Target="https://www.nordicnaturals.com/products/ultimate-omega-d3-sport" TargetMode="External" Id="rId2732" /><Relationship Type="http://schemas.openxmlformats.org/officeDocument/2006/relationships/hyperlink" Target="https://www.nordicnaturals.com/products/ultimate-omega-d3-sport" TargetMode="External" Id="rId2733" /><Relationship Type="http://schemas.openxmlformats.org/officeDocument/2006/relationships/hyperlink" Target="https://www.nordicnaturals.com/products/ultimate-omega-d3-sport" TargetMode="External" Id="rId2734" /><Relationship Type="http://schemas.openxmlformats.org/officeDocument/2006/relationships/hyperlink" Target="https://www.nordicnaturals.com/products/ultimate-omega-d3-sport" TargetMode="External" Id="rId2735" /><Relationship Type="http://schemas.openxmlformats.org/officeDocument/2006/relationships/hyperlink" Target="https://www.nordicnaturals.com/products/ultimate-omega-d3-sport" TargetMode="External" Id="rId2736" /><Relationship Type="http://schemas.openxmlformats.org/officeDocument/2006/relationships/hyperlink" Target="https://www.nordicnaturals.com/products/ultimate-omega-d3-sport" TargetMode="External" Id="rId2737" /><Relationship Type="http://schemas.openxmlformats.org/officeDocument/2006/relationships/hyperlink" Target="https://www.nordicnaturals.com/products/ultimate-omega-d3-sport" TargetMode="External" Id="rId2738" /><Relationship Type="http://schemas.openxmlformats.org/officeDocument/2006/relationships/hyperlink" Target="https://www.nordicnaturals.com/products/ultimate-omega-d3-sport" TargetMode="External" Id="rId2739" /><Relationship Type="http://schemas.openxmlformats.org/officeDocument/2006/relationships/hyperlink" Target="https://seed.com/ds-01-daily-synbiotic" TargetMode="External" Id="rId2740" /><Relationship Type="http://schemas.openxmlformats.org/officeDocument/2006/relationships/hyperlink" Target="https://seed.com/ds-01-daily-synbiotic" TargetMode="External" Id="rId2741" /><Relationship Type="http://schemas.openxmlformats.org/officeDocument/2006/relationships/hyperlink" Target="https://seed.com/ds-01-daily-synbiotic" TargetMode="External" Id="rId2742" /><Relationship Type="http://schemas.openxmlformats.org/officeDocument/2006/relationships/hyperlink" Target="https://seed.com/ds-01-daily-synbiotic" TargetMode="External" Id="rId2743" /><Relationship Type="http://schemas.openxmlformats.org/officeDocument/2006/relationships/hyperlink" Target="https://seed.com/ds-01-daily-synbiotic" TargetMode="External" Id="rId2744" /><Relationship Type="http://schemas.openxmlformats.org/officeDocument/2006/relationships/hyperlink" Target="https://seed.com/ds-01-daily-synbiotic" TargetMode="External" Id="rId2745" /><Relationship Type="http://schemas.openxmlformats.org/officeDocument/2006/relationships/hyperlink" Target="https://seed.com/ds-01-daily-synbiotic" TargetMode="External" Id="rId2746" /><Relationship Type="http://schemas.openxmlformats.org/officeDocument/2006/relationships/hyperlink" Target="https://seed.com/ds-01-daily-synbiotic" TargetMode="External" Id="rId2747" /><Relationship Type="http://schemas.openxmlformats.org/officeDocument/2006/relationships/hyperlink" Target="https://seed.com/ds-01-daily-synbiotic" TargetMode="External" Id="rId2748" /><Relationship Type="http://schemas.openxmlformats.org/officeDocument/2006/relationships/hyperlink" Target="https://seed.com/ds-01-daily-synbiotic" TargetMode="External" Id="rId2749" /><Relationship Type="http://schemas.openxmlformats.org/officeDocument/2006/relationships/hyperlink" Target="https://seed.com/ds-01-daily-synbiotic" TargetMode="External" Id="rId2750" /><Relationship Type="http://schemas.openxmlformats.org/officeDocument/2006/relationships/hyperlink" Target="https://seed.com/ds-01-daily-synbiotic" TargetMode="External" Id="rId2751" /><Relationship Type="http://schemas.openxmlformats.org/officeDocument/2006/relationships/hyperlink" Target="https://seed.com/ds-01-daily-synbiotic" TargetMode="External" Id="rId2752" /><Relationship Type="http://schemas.openxmlformats.org/officeDocument/2006/relationships/hyperlink" Target="https://seed.com/ds-01-daily-synbiotic" TargetMode="External" Id="rId2753" /><Relationship Type="http://schemas.openxmlformats.org/officeDocument/2006/relationships/hyperlink" Target="https://seed.com/ds-01-daily-synbiotic" TargetMode="External" Id="rId2754" /><Relationship Type="http://schemas.openxmlformats.org/officeDocument/2006/relationships/hyperlink" Target="https://seed.com/ds-01-daily-synbiotic" TargetMode="External" Id="rId2755" /><Relationship Type="http://schemas.openxmlformats.org/officeDocument/2006/relationships/hyperlink" Target="https://seed.com/ds-01-daily-synbiotic" TargetMode="External" Id="rId2756" /><Relationship Type="http://schemas.openxmlformats.org/officeDocument/2006/relationships/hyperlink" Target="https://seed.com/ds-01-daily-synbiotic" TargetMode="External" Id="rId2757" /><Relationship Type="http://schemas.openxmlformats.org/officeDocument/2006/relationships/hyperlink" Target="https://seed.com/ds-01-daily-synbiotic" TargetMode="External" Id="rId2758" /><Relationship Type="http://schemas.openxmlformats.org/officeDocument/2006/relationships/hyperlink" Target="https://seed.com/ds-01-daily-synbiotic" TargetMode="External" Id="rId2759" /><Relationship Type="http://schemas.openxmlformats.org/officeDocument/2006/relationships/hyperlink" Target="https://seed.com/ds-01-daily-synbiotic" TargetMode="External" Id="rId2760" /><Relationship Type="http://schemas.openxmlformats.org/officeDocument/2006/relationships/hyperlink" Target="https://seed.com/ds-01-daily-synbiotic" TargetMode="External" Id="rId2761" /><Relationship Type="http://schemas.openxmlformats.org/officeDocument/2006/relationships/hyperlink" Target="https://seed.com/ds-01-daily-synbiotic" TargetMode="External" Id="rId2762" /><Relationship Type="http://schemas.openxmlformats.org/officeDocument/2006/relationships/hyperlink" Target="https://seed.com/ds-01-daily-synbiotic" TargetMode="External" Id="rId2763" /><Relationship Type="http://schemas.openxmlformats.org/officeDocument/2006/relationships/hyperlink" Target="https://seed.com/ds-01-daily-synbiotic" TargetMode="External" Id="rId2764" /><Relationship Type="http://schemas.openxmlformats.org/officeDocument/2006/relationships/hyperlink" Target="https://seed.com/ds-01-daily-synbiotic" TargetMode="External" Id="rId2765" /><Relationship Type="http://schemas.openxmlformats.org/officeDocument/2006/relationships/hyperlink" Target="https://seed.com/ds-01-daily-synbiotic" TargetMode="External" Id="rId2766" /><Relationship Type="http://schemas.openxmlformats.org/officeDocument/2006/relationships/hyperlink" Target="https://seed.com/ds-01-daily-synbiotic" TargetMode="External" Id="rId2767" /><Relationship Type="http://schemas.openxmlformats.org/officeDocument/2006/relationships/hyperlink" Target="https://seed.com/ds-01-daily-synbiotic" TargetMode="External" Id="rId2768" /><Relationship Type="http://schemas.openxmlformats.org/officeDocument/2006/relationships/hyperlink" Target="https://seed.com/ds-01-daily-synbiotic" TargetMode="External" Id="rId2769" /><Relationship Type="http://schemas.openxmlformats.org/officeDocument/2006/relationships/hyperlink" Target="https://seed.com/ds-01-daily-synbiotic" TargetMode="External" Id="rId2770" /><Relationship Type="http://schemas.openxmlformats.org/officeDocument/2006/relationships/hyperlink" Target="https://seed.com/ds-01-daily-synbiotic" TargetMode="External" Id="rId2771" /><Relationship Type="http://schemas.openxmlformats.org/officeDocument/2006/relationships/hyperlink" Target="https://seed.com/ds-01-daily-synbiotic" TargetMode="External" Id="rId2772" /><Relationship Type="http://schemas.openxmlformats.org/officeDocument/2006/relationships/hyperlink" Target="https://seed.com/ds-01-daily-synbiotic" TargetMode="External" Id="rId2773" /><Relationship Type="http://schemas.openxmlformats.org/officeDocument/2006/relationships/hyperlink" Target="https://seed.com/ds-01-daily-synbiotic" TargetMode="External" Id="rId2774" /><Relationship Type="http://schemas.openxmlformats.org/officeDocument/2006/relationships/hyperlink" Target="https://seed.com/ds-01-daily-synbiotic" TargetMode="External" Id="rId2775" /><Relationship Type="http://schemas.openxmlformats.org/officeDocument/2006/relationships/hyperlink" Target="https://seed.com/ds-01-daily-synbiotic" TargetMode="External" Id="rId2776" /><Relationship Type="http://schemas.openxmlformats.org/officeDocument/2006/relationships/hyperlink" Target="https://seed.com/ds-01-daily-synbiotic" TargetMode="External" Id="rId2777" /><Relationship Type="http://schemas.openxmlformats.org/officeDocument/2006/relationships/hyperlink" Target="https://seed.com/ds-01-daily-synbiotic" TargetMode="External" Id="rId2778" /><Relationship Type="http://schemas.openxmlformats.org/officeDocument/2006/relationships/hyperlink" Target="https://seed.com/ds-01-daily-synbiotic" TargetMode="External" Id="rId2779" /><Relationship Type="http://schemas.openxmlformats.org/officeDocument/2006/relationships/hyperlink" Target="https://seed.com/ds-01-daily-synbiotic" TargetMode="External" Id="rId2780" /><Relationship Type="http://schemas.openxmlformats.org/officeDocument/2006/relationships/hyperlink" Target="https://seed.com/ds-01-daily-synbiotic" TargetMode="External" Id="rId2781" /><Relationship Type="http://schemas.openxmlformats.org/officeDocument/2006/relationships/hyperlink" Target="https://seed.com/ds-01-daily-synbiotic" TargetMode="External" Id="rId2782" /><Relationship Type="http://schemas.openxmlformats.org/officeDocument/2006/relationships/hyperlink" Target="https://seed.com/ds-01-daily-synbiotic" TargetMode="External" Id="rId2783" /><Relationship Type="http://schemas.openxmlformats.org/officeDocument/2006/relationships/hyperlink" Target="https://seed.com/ds-01-daily-synbiotic" TargetMode="External" Id="rId2784" /><Relationship Type="http://schemas.openxmlformats.org/officeDocument/2006/relationships/hyperlink" Target="https://seed.com/ds-01-daily-synbiotic" TargetMode="External" Id="rId2785" /><Relationship Type="http://schemas.openxmlformats.org/officeDocument/2006/relationships/hyperlink" Target="https://seed.com/ds-01-daily-synbiotic" TargetMode="External" Id="rId2786" /><Relationship Type="http://schemas.openxmlformats.org/officeDocument/2006/relationships/hyperlink" Target="https://seed.com/ds-01-daily-synbiotic" TargetMode="External" Id="rId2787" /><Relationship Type="http://schemas.openxmlformats.org/officeDocument/2006/relationships/hyperlink" Target="https://seed.com/ds-01-daily-synbiotic" TargetMode="External" Id="rId2788" /><Relationship Type="http://schemas.openxmlformats.org/officeDocument/2006/relationships/hyperlink" Target="https://seed.com/ds-01-daily-synbiotic" TargetMode="External" Id="rId2789" /><Relationship Type="http://schemas.openxmlformats.org/officeDocument/2006/relationships/hyperlink" Target="https://seed.com/ds-01-daily-synbiotic" TargetMode="External" Id="rId2790" /><Relationship Type="http://schemas.openxmlformats.org/officeDocument/2006/relationships/hyperlink" Target="https://seed.com/ds-01-daily-synbiotic" TargetMode="External" Id="rId2791" /><Relationship Type="http://schemas.openxmlformats.org/officeDocument/2006/relationships/hyperlink" Target="https://seed.com/ds-01-daily-synbiotic" TargetMode="External" Id="rId2792" /><Relationship Type="http://schemas.openxmlformats.org/officeDocument/2006/relationships/hyperlink" Target="https://seed.com/ds-01-daily-synbiotic" TargetMode="External" Id="rId2793" /><Relationship Type="http://schemas.openxmlformats.org/officeDocument/2006/relationships/hyperlink" Target="https://seed.com/ds-01-daily-synbiotic" TargetMode="External" Id="rId2794" /><Relationship Type="http://schemas.openxmlformats.org/officeDocument/2006/relationships/hyperlink" Target="https://seed.com/ds-01-daily-synbiotic" TargetMode="External" Id="rId2795" /><Relationship Type="http://schemas.openxmlformats.org/officeDocument/2006/relationships/hyperlink" Target="https://seed.com/ds-01-daily-synbiotic" TargetMode="External" Id="rId2796" /><Relationship Type="http://schemas.openxmlformats.org/officeDocument/2006/relationships/hyperlink" Target="https://seed.com/ds-01-daily-synbiotic" TargetMode="External" Id="rId2797" /><Relationship Type="http://schemas.openxmlformats.org/officeDocument/2006/relationships/hyperlink" Target="https://seed.com/ds-01-daily-synbiotic" TargetMode="External" Id="rId2798" /><Relationship Type="http://schemas.openxmlformats.org/officeDocument/2006/relationships/hyperlink" Target="https://seed.com/ds-01-daily-synbiotic" TargetMode="External" Id="rId2799" /><Relationship Type="http://schemas.openxmlformats.org/officeDocument/2006/relationships/hyperlink" Target="https://seed.com/ds-01-daily-synbiotic" TargetMode="External" Id="rId2800" /><Relationship Type="http://schemas.openxmlformats.org/officeDocument/2006/relationships/hyperlink" Target="https://seed.com/ds-01-daily-synbiotic" TargetMode="External" Id="rId2801" /><Relationship Type="http://schemas.openxmlformats.org/officeDocument/2006/relationships/hyperlink" Target="https://seed.com/ds-01-daily-synbiotic" TargetMode="External" Id="rId2802" /><Relationship Type="http://schemas.openxmlformats.org/officeDocument/2006/relationships/hyperlink" Target="https://seed.com/ds-01-daily-synbiotic" TargetMode="External" Id="rId2803" /><Relationship Type="http://schemas.openxmlformats.org/officeDocument/2006/relationships/hyperlink" Target="https://seed.com/ds-01-daily-synbiotic" TargetMode="External" Id="rId2804" /><Relationship Type="http://schemas.openxmlformats.org/officeDocument/2006/relationships/hyperlink" Target="https://seed.com/ds-01-daily-synbiotic" TargetMode="External" Id="rId2805" /><Relationship Type="http://schemas.openxmlformats.org/officeDocument/2006/relationships/hyperlink" Target="https://seed.com/ds-01-daily-synbiotic" TargetMode="External" Id="rId2806" /><Relationship Type="http://schemas.openxmlformats.org/officeDocument/2006/relationships/hyperlink" Target="https://seed.com/ds-01-daily-synbiotic" TargetMode="External" Id="rId2807" /><Relationship Type="http://schemas.openxmlformats.org/officeDocument/2006/relationships/hyperlink" Target="https://seed.com/ds-01-daily-synbiotic" TargetMode="External" Id="rId2808" /><Relationship Type="http://schemas.openxmlformats.org/officeDocument/2006/relationships/hyperlink" Target="https://seed.com/ds-01-daily-synbiotic" TargetMode="External" Id="rId2809" /><Relationship Type="http://schemas.openxmlformats.org/officeDocument/2006/relationships/hyperlink" Target="https://seed.com/ds-01-daily-synbiotic" TargetMode="External" Id="rId2810" /><Relationship Type="http://schemas.openxmlformats.org/officeDocument/2006/relationships/hyperlink" Target="https://seed.com/ds-01-daily-synbiotic" TargetMode="External" Id="rId2811" /><Relationship Type="http://schemas.openxmlformats.org/officeDocument/2006/relationships/hyperlink" Target="https://seed.com/ds-01-daily-synbiotic" TargetMode="External" Id="rId2812" /><Relationship Type="http://schemas.openxmlformats.org/officeDocument/2006/relationships/hyperlink" Target="https://seed.com/ds-01-daily-synbiotic" TargetMode="External" Id="rId2813" /><Relationship Type="http://schemas.openxmlformats.org/officeDocument/2006/relationships/hyperlink" Target="https://seed.com/ds-01-daily-synbiotic" TargetMode="External" Id="rId2814" /><Relationship Type="http://schemas.openxmlformats.org/officeDocument/2006/relationships/hyperlink" Target="https://seed.com/ds-01-daily-synbiotic" TargetMode="External" Id="rId2815" /><Relationship Type="http://schemas.openxmlformats.org/officeDocument/2006/relationships/hyperlink" Target="https://seed.com/ds-01-daily-synbiotic" TargetMode="External" Id="rId2816" /><Relationship Type="http://schemas.openxmlformats.org/officeDocument/2006/relationships/hyperlink" Target="https://seed.com/ds-01-daily-synbiotic" TargetMode="External" Id="rId2817" /><Relationship Type="http://schemas.openxmlformats.org/officeDocument/2006/relationships/hyperlink" Target="https://seed.com/ds-01-daily-synbiotic" TargetMode="External" Id="rId2818" /><Relationship Type="http://schemas.openxmlformats.org/officeDocument/2006/relationships/hyperlink" Target="https://seed.com/ds-01-daily-synbiotic" TargetMode="External" Id="rId2819" /><Relationship Type="http://schemas.openxmlformats.org/officeDocument/2006/relationships/hyperlink" Target="https://seed.com/ds-01-daily-synbiotic" TargetMode="External" Id="rId2820" /><Relationship Type="http://schemas.openxmlformats.org/officeDocument/2006/relationships/hyperlink" Target="https://seed.com/ds-01-daily-synbiotic" TargetMode="External" Id="rId2821" /><Relationship Type="http://schemas.openxmlformats.org/officeDocument/2006/relationships/hyperlink" Target="https://seed.com/ds-01-daily-synbiotic" TargetMode="External" Id="rId2822" /><Relationship Type="http://schemas.openxmlformats.org/officeDocument/2006/relationships/hyperlink" Target="https://www.jarrow.com/product/452/citicoline-cdp-choline" TargetMode="External" Id="rId2823" /><Relationship Type="http://schemas.openxmlformats.org/officeDocument/2006/relationships/hyperlink" Target="https://www.jarrow.com/product/452/citicoline-cdp-choline" TargetMode="External" Id="rId2824" /><Relationship Type="http://schemas.openxmlformats.org/officeDocument/2006/relationships/hyperlink" Target="https://www.jarrow.com/product/452/citicoline-cdp-choline" TargetMode="External" Id="rId2825" /><Relationship Type="http://schemas.openxmlformats.org/officeDocument/2006/relationships/hyperlink" Target="https://www.jarrow.com/product/452/citicoline-cdp-choline" TargetMode="External" Id="rId2826" /><Relationship Type="http://schemas.openxmlformats.org/officeDocument/2006/relationships/hyperlink" Target="https://www.jarrow.com/product/452/citicoline-cdp-choline" TargetMode="External" Id="rId2827" /><Relationship Type="http://schemas.openxmlformats.org/officeDocument/2006/relationships/hyperlink" Target="https://www.jarrow.com/product/452/citicoline-cdp-choline" TargetMode="External" Id="rId2828" /><Relationship Type="http://schemas.openxmlformats.org/officeDocument/2006/relationships/hyperlink" Target="https://www.jarrow.com/product/452/citicoline-cdp-choline" TargetMode="External" Id="rId2829" /><Relationship Type="http://schemas.openxmlformats.org/officeDocument/2006/relationships/hyperlink" Target="https://www.jarrow.com/product/452/citicoline-cdp-choline" TargetMode="External" Id="rId2830" /><Relationship Type="http://schemas.openxmlformats.org/officeDocument/2006/relationships/hyperlink" Target="https://www.jarrow.com/product/452/citicoline-cdp-choline" TargetMode="External" Id="rId2831" /><Relationship Type="http://schemas.openxmlformats.org/officeDocument/2006/relationships/hyperlink" Target="https://www.jarrow.com/product/452/citicoline-cdp-choline" TargetMode="External" Id="rId2832" /><Relationship Type="http://schemas.openxmlformats.org/officeDocument/2006/relationships/hyperlink" Target="https://www.jarrow.com/product/452/citicoline-cdp-choline" TargetMode="External" Id="rId2833" /><Relationship Type="http://schemas.openxmlformats.org/officeDocument/2006/relationships/hyperlink" Target="https://www.jarrow.com/product/452/citicoline-cdp-choline" TargetMode="External" Id="rId2834" /><Relationship Type="http://schemas.openxmlformats.org/officeDocument/2006/relationships/hyperlink" Target="https://www.jarrow.com/product/452/citicoline-cdp-choline" TargetMode="External" Id="rId2835" /><Relationship Type="http://schemas.openxmlformats.org/officeDocument/2006/relationships/hyperlink" Target="https://www.jarrow.com/product/452/citicoline-cdp-choline" TargetMode="External" Id="rId2836" /><Relationship Type="http://schemas.openxmlformats.org/officeDocument/2006/relationships/hyperlink" Target="https://www.jarrow.com/product/452/citicoline-cdp-choline" TargetMode="External" Id="rId2837" /><Relationship Type="http://schemas.openxmlformats.org/officeDocument/2006/relationships/hyperlink" Target="https://www.jarrow.com/product/452/citicoline-cdp-choline" TargetMode="External" Id="rId2838" /><Relationship Type="http://schemas.openxmlformats.org/officeDocument/2006/relationships/hyperlink" Target="https://www.jarrow.com/product/452/citicoline-cdp-choline" TargetMode="External" Id="rId2839" /><Relationship Type="http://schemas.openxmlformats.org/officeDocument/2006/relationships/hyperlink" Target="https://www.jarrow.com/product/452/citicoline-cdp-choline" TargetMode="External" Id="rId2840" /><Relationship Type="http://schemas.openxmlformats.org/officeDocument/2006/relationships/hyperlink" Target="https://www.jarrow.com/product/452/citicoline-cdp-choline" TargetMode="External" Id="rId2841" /><Relationship Type="http://schemas.openxmlformats.org/officeDocument/2006/relationships/hyperlink" Target="https://www.jarrow.com/product/452/citicoline-cdp-choline" TargetMode="External" Id="rId2842" /><Relationship Type="http://schemas.openxmlformats.org/officeDocument/2006/relationships/hyperlink" Target="https://www.jarrow.com/product/452/citicoline-cdp-choline" TargetMode="External" Id="rId2843" /><Relationship Type="http://schemas.openxmlformats.org/officeDocument/2006/relationships/hyperlink" Target="https://www.jarrow.com/product/452/citicoline-cdp-choline" TargetMode="External" Id="rId2844" /><Relationship Type="http://schemas.openxmlformats.org/officeDocument/2006/relationships/hyperlink" Target="https://www.jarrow.com/product/452/citicoline-cdp-choline" TargetMode="External" Id="rId2845" /><Relationship Type="http://schemas.openxmlformats.org/officeDocument/2006/relationships/hyperlink" Target="https://www.jarrow.com/product/452/citicoline-cdp-choline" TargetMode="External" Id="rId2846" /><Relationship Type="http://schemas.openxmlformats.org/officeDocument/2006/relationships/hyperlink" Target="https://www.jarrow.com/product/452/citicoline-cdp-choline" TargetMode="External" Id="rId2847" /><Relationship Type="http://schemas.openxmlformats.org/officeDocument/2006/relationships/hyperlink" Target="https://www.jarrow.com/product/452/citicoline-cdp-choline" TargetMode="External" Id="rId2848" /><Relationship Type="http://schemas.openxmlformats.org/officeDocument/2006/relationships/hyperlink" Target="https://www.jarrow.com/product/452/citicoline-cdp-choline" TargetMode="External" Id="rId2849" /><Relationship Type="http://schemas.openxmlformats.org/officeDocument/2006/relationships/hyperlink" Target="https://www.jarrow.com/product/452/citicoline-cdp-choline" TargetMode="External" Id="rId2850" /><Relationship Type="http://schemas.openxmlformats.org/officeDocument/2006/relationships/hyperlink" Target="https://www.jarrow.com/product/452/citicoline-cdp-choline" TargetMode="External" Id="rId2851" /><Relationship Type="http://schemas.openxmlformats.org/officeDocument/2006/relationships/hyperlink" Target="https://www.jarrow.com/product/452/citicoline-cdp-choline" TargetMode="External" Id="rId2852" /><Relationship Type="http://schemas.openxmlformats.org/officeDocument/2006/relationships/hyperlink" Target="https://www.jarrow.com/product/452/citicoline-cdp-choline" TargetMode="External" Id="rId2853" /><Relationship Type="http://schemas.openxmlformats.org/officeDocument/2006/relationships/hyperlink" Target="https://www.jarrow.com/product/452/citicoline-cdp-choline" TargetMode="External" Id="rId2854" /><Relationship Type="http://schemas.openxmlformats.org/officeDocument/2006/relationships/hyperlink" Target="https://www.jarrow.com/product/452/citicoline-cdp-choline" TargetMode="External" Id="rId2855" /><Relationship Type="http://schemas.openxmlformats.org/officeDocument/2006/relationships/hyperlink" Target="https://www.jarrow.com/product/452/citicoline-cdp-choline" TargetMode="External" Id="rId2856" /><Relationship Type="http://schemas.openxmlformats.org/officeDocument/2006/relationships/hyperlink" Target="https://www.jarrow.com/product/452/citicoline-cdp-choline" TargetMode="External" Id="rId2857" /><Relationship Type="http://schemas.openxmlformats.org/officeDocument/2006/relationships/hyperlink" Target="https://www.jarrow.com/product/452/citicoline-cdp-choline" TargetMode="External" Id="rId2858" /><Relationship Type="http://schemas.openxmlformats.org/officeDocument/2006/relationships/hyperlink" Target="https://www.jarrow.com/product/452/citicoline-cdp-choline" TargetMode="External" Id="rId2859" /><Relationship Type="http://schemas.openxmlformats.org/officeDocument/2006/relationships/hyperlink" Target="https://www.jarrow.com/product/452/citicoline-cdp-choline" TargetMode="External" Id="rId2860" /><Relationship Type="http://schemas.openxmlformats.org/officeDocument/2006/relationships/hyperlink" Target="https://www.jarrow.com/product/452/citicoline-cdp-choline" TargetMode="External" Id="rId2861" /><Relationship Type="http://schemas.openxmlformats.org/officeDocument/2006/relationships/hyperlink" Target="https://www.jarrow.com/product/452/citicoline-cdp-choline" TargetMode="External" Id="rId2862" /><Relationship Type="http://schemas.openxmlformats.org/officeDocument/2006/relationships/hyperlink" Target="https://www.jarrow.com/product/452/citicoline-cdp-choline" TargetMode="External" Id="rId2863" /><Relationship Type="http://schemas.openxmlformats.org/officeDocument/2006/relationships/hyperlink" Target="https://www.jarrow.com/product/452/citicoline-cdp-choline" TargetMode="External" Id="rId2864" /><Relationship Type="http://schemas.openxmlformats.org/officeDocument/2006/relationships/hyperlink" Target="https://www.jarrow.com/product/452/citicoline-cdp-choline" TargetMode="External" Id="rId2865" /><Relationship Type="http://schemas.openxmlformats.org/officeDocument/2006/relationships/hyperlink" Target="https://www.jarrow.com/product/452/citicoline-cdp-choline" TargetMode="External" Id="rId2866" /><Relationship Type="http://schemas.openxmlformats.org/officeDocument/2006/relationships/hyperlink" Target="https://www.jarrow.com/product/452/citicoline-cdp-choline" TargetMode="External" Id="rId2867" /><Relationship Type="http://schemas.openxmlformats.org/officeDocument/2006/relationships/hyperlink" Target="https://www.jarrow.com/product/452/citicoline-cdp-choline" TargetMode="External" Id="rId2868" /><Relationship Type="http://schemas.openxmlformats.org/officeDocument/2006/relationships/hyperlink" Target="https://www.jarrow.com/product/452/citicoline-cdp-choline" TargetMode="External" Id="rId2869" /><Relationship Type="http://schemas.openxmlformats.org/officeDocument/2006/relationships/hyperlink" Target="https://www.jarrow.com/product/452/citicoline-cdp-choline" TargetMode="External" Id="rId2870" /><Relationship Type="http://schemas.openxmlformats.org/officeDocument/2006/relationships/hyperlink" Target="https://www.jarrow.com/product/452/citicoline-cdp-choline" TargetMode="External" Id="rId2871" /><Relationship Type="http://schemas.openxmlformats.org/officeDocument/2006/relationships/hyperlink" Target="https://www.jarrow.com/product/452/citicoline-cdp-choline" TargetMode="External" Id="rId2872" /><Relationship Type="http://schemas.openxmlformats.org/officeDocument/2006/relationships/hyperlink" Target="https://www.jarrow.com/product/452/citicoline-cdp-choline" TargetMode="External" Id="rId2873" /><Relationship Type="http://schemas.openxmlformats.org/officeDocument/2006/relationships/hyperlink" Target="https://www.jarrow.com/product/452/citicoline-cdp-choline" TargetMode="External" Id="rId2874" /><Relationship Type="http://schemas.openxmlformats.org/officeDocument/2006/relationships/hyperlink" Target="https://www.jarrow.com/product/452/citicoline-cdp-choline" TargetMode="External" Id="rId2875" /><Relationship Type="http://schemas.openxmlformats.org/officeDocument/2006/relationships/hyperlink" Target="https://www.jarrow.com/product/452/citicoline-cdp-choline" TargetMode="External" Id="rId2876" /><Relationship Type="http://schemas.openxmlformats.org/officeDocument/2006/relationships/hyperlink" Target="https://www.jarrow.com/product/452/citicoline-cdp-choline" TargetMode="External" Id="rId2877" /><Relationship Type="http://schemas.openxmlformats.org/officeDocument/2006/relationships/hyperlink" Target="https://www.jarrow.com/product/452/citicoline-cdp-choline" TargetMode="External" Id="rId2878" /><Relationship Type="http://schemas.openxmlformats.org/officeDocument/2006/relationships/hyperlink" Target="https://www.jarrow.com/product/452/citicoline-cdp-choline" TargetMode="External" Id="rId2879" /><Relationship Type="http://schemas.openxmlformats.org/officeDocument/2006/relationships/hyperlink" Target="https://www.jarrow.com/product/452/citicoline-cdp-choline" TargetMode="External" Id="rId2880" /><Relationship Type="http://schemas.openxmlformats.org/officeDocument/2006/relationships/hyperlink" Target="https://www.jarrow.com/product/452/citicoline-cdp-choline" TargetMode="External" Id="rId2881" /><Relationship Type="http://schemas.openxmlformats.org/officeDocument/2006/relationships/hyperlink" Target="https://www.jarrow.com/product/452/citicoline-cdp-choline" TargetMode="External" Id="rId2882" /><Relationship Type="http://schemas.openxmlformats.org/officeDocument/2006/relationships/hyperlink" Target="https://www.jarrow.com/product/452/citicoline-cdp-choline" TargetMode="External" Id="rId2883" /><Relationship Type="http://schemas.openxmlformats.org/officeDocument/2006/relationships/hyperlink" Target="https://www.jarrow.com/product/452/citicoline-cdp-choline" TargetMode="External" Id="rId2884" /><Relationship Type="http://schemas.openxmlformats.org/officeDocument/2006/relationships/hyperlink" Target="https://www.jarrow.com/product/452/citicoline-cdp-choline" TargetMode="External" Id="rId2885" /><Relationship Type="http://schemas.openxmlformats.org/officeDocument/2006/relationships/hyperlink" Target="https://www.jarrow.com/product/452/citicoline-cdp-choline" TargetMode="External" Id="rId2886" /><Relationship Type="http://schemas.openxmlformats.org/officeDocument/2006/relationships/hyperlink" Target="https://www.jarrow.com/product/452/citicoline-cdp-choline" TargetMode="External" Id="rId2887" /><Relationship Type="http://schemas.openxmlformats.org/officeDocument/2006/relationships/hyperlink" Target="https://www.jarrow.com/product/452/citicoline-cdp-choline" TargetMode="External" Id="rId2888" /><Relationship Type="http://schemas.openxmlformats.org/officeDocument/2006/relationships/hyperlink" Target="https://www.jarrow.com/product/452/citicoline-cdp-choline" TargetMode="External" Id="rId2889" /><Relationship Type="http://schemas.openxmlformats.org/officeDocument/2006/relationships/hyperlink" Target="https://www.jarrow.com/product/452/citicoline-cdp-choline" TargetMode="External" Id="rId2890" /><Relationship Type="http://schemas.openxmlformats.org/officeDocument/2006/relationships/hyperlink" Target="https://www.jarrow.com/product/452/citicoline-cdp-choline" TargetMode="External" Id="rId2891" /><Relationship Type="http://schemas.openxmlformats.org/officeDocument/2006/relationships/hyperlink" Target="https://www.jarrow.com/product/452/citicoline-cdp-choline" TargetMode="External" Id="rId2892" /><Relationship Type="http://schemas.openxmlformats.org/officeDocument/2006/relationships/hyperlink" Target="https://www.jarrow.com/product/452/citicoline-cdp-choline" TargetMode="External" Id="rId2893" /><Relationship Type="http://schemas.openxmlformats.org/officeDocument/2006/relationships/hyperlink" Target="https://www.jarrow.com/product/452/citicoline-cdp-choline" TargetMode="External" Id="rId2894" /><Relationship Type="http://schemas.openxmlformats.org/officeDocument/2006/relationships/hyperlink" Target="https://www.jarrow.com/product/452/citicoline-cdp-choline" TargetMode="External" Id="rId2895" /><Relationship Type="http://schemas.openxmlformats.org/officeDocument/2006/relationships/hyperlink" Target="https://www.jarrow.com/product/452/citicoline-cdp-choline" TargetMode="External" Id="rId2896" /><Relationship Type="http://schemas.openxmlformats.org/officeDocument/2006/relationships/hyperlink" Target="https://www.jarrow.com/product/452/citicoline-cdp-choline" TargetMode="External" Id="rId2897" /><Relationship Type="http://schemas.openxmlformats.org/officeDocument/2006/relationships/hyperlink" Target="https://www.jarrow.com/product/452/citicoline-cdp-choline" TargetMode="External" Id="rId2898" /><Relationship Type="http://schemas.openxmlformats.org/officeDocument/2006/relationships/hyperlink" Target="https://www.jarrow.com/product/452/citicoline-cdp-choline" TargetMode="External" Id="rId2899" /><Relationship Type="http://schemas.openxmlformats.org/officeDocument/2006/relationships/hyperlink" Target="https://www.jarrow.com/product/452/citicoline-cdp-choline" TargetMode="External" Id="rId2900" /><Relationship Type="http://schemas.openxmlformats.org/officeDocument/2006/relationships/hyperlink" Target="https://www.jarrow.com/product/452/citicoline-cdp-choline" TargetMode="External" Id="rId2901" /><Relationship Type="http://schemas.openxmlformats.org/officeDocument/2006/relationships/hyperlink" Target="https://www.jarrow.com/product/452/citicoline-cdp-choline" TargetMode="External" Id="rId2902" /><Relationship Type="http://schemas.openxmlformats.org/officeDocument/2006/relationships/hyperlink" Target="https://www.jarrow.com/product/452/citicoline-cdp-choline" TargetMode="External" Id="rId2903" /><Relationship Type="http://schemas.openxmlformats.org/officeDocument/2006/relationships/hyperlink" Target="https://www.jarrow.com/product/452/citicoline-cdp-choline" TargetMode="External" Id="rId2904" /><Relationship Type="http://schemas.openxmlformats.org/officeDocument/2006/relationships/hyperlink" Target="https://www.jarrow.com/product/452/citicoline-cdp-choline" TargetMode="External" Id="rId2905" /><Relationship Type="http://schemas.openxmlformats.org/officeDocument/2006/relationships/hyperlink" Target="https://www.qunol.com/products/ultra-coq10" TargetMode="External" Id="rId2906" /><Relationship Type="http://schemas.openxmlformats.org/officeDocument/2006/relationships/hyperlink" Target="https://www.qunol.com/products/ultra-coq10" TargetMode="External" Id="rId2907" /><Relationship Type="http://schemas.openxmlformats.org/officeDocument/2006/relationships/hyperlink" Target="https://www.qunol.com/products/ultra-coq10" TargetMode="External" Id="rId2908" /><Relationship Type="http://schemas.openxmlformats.org/officeDocument/2006/relationships/hyperlink" Target="https://www.qunol.com/products/ultra-coq10" TargetMode="External" Id="rId2909" /><Relationship Type="http://schemas.openxmlformats.org/officeDocument/2006/relationships/hyperlink" Target="https://www.qunol.com/products/ultra-coq10" TargetMode="External" Id="rId2910" /><Relationship Type="http://schemas.openxmlformats.org/officeDocument/2006/relationships/hyperlink" Target="https://www.qunol.com/products/ultra-coq10" TargetMode="External" Id="rId2911" /><Relationship Type="http://schemas.openxmlformats.org/officeDocument/2006/relationships/hyperlink" Target="https://www.qunol.com/products/ultra-coq10" TargetMode="External" Id="rId2912" /><Relationship Type="http://schemas.openxmlformats.org/officeDocument/2006/relationships/hyperlink" Target="https://www.qunol.com/products/ultra-coq10" TargetMode="External" Id="rId2913" /><Relationship Type="http://schemas.openxmlformats.org/officeDocument/2006/relationships/hyperlink" Target="https://www.qunol.com/products/ultra-coq10" TargetMode="External" Id="rId2914" /><Relationship Type="http://schemas.openxmlformats.org/officeDocument/2006/relationships/hyperlink" Target="https://www.qunol.com/products/ultra-coq10" TargetMode="External" Id="rId2915" /><Relationship Type="http://schemas.openxmlformats.org/officeDocument/2006/relationships/hyperlink" Target="https://www.qunol.com/products/ultra-coq10" TargetMode="External" Id="rId2916" /><Relationship Type="http://schemas.openxmlformats.org/officeDocument/2006/relationships/hyperlink" Target="https://www.qunol.com/products/ultra-coq10" TargetMode="External" Id="rId2917" /><Relationship Type="http://schemas.openxmlformats.org/officeDocument/2006/relationships/hyperlink" Target="https://www.qunol.com/products/ultra-coq10" TargetMode="External" Id="rId2918" /><Relationship Type="http://schemas.openxmlformats.org/officeDocument/2006/relationships/hyperlink" Target="https://www.qunol.com/products/ultra-coq10" TargetMode="External" Id="rId2919" /><Relationship Type="http://schemas.openxmlformats.org/officeDocument/2006/relationships/hyperlink" Target="https://www.qunol.com/products/ultra-coq10" TargetMode="External" Id="rId2920" /><Relationship Type="http://schemas.openxmlformats.org/officeDocument/2006/relationships/hyperlink" Target="https://www.qunol.com/products/ultra-coq10" TargetMode="External" Id="rId2921" /><Relationship Type="http://schemas.openxmlformats.org/officeDocument/2006/relationships/hyperlink" Target="https://www.qunol.com/products/ultra-coq10" TargetMode="External" Id="rId2922" /><Relationship Type="http://schemas.openxmlformats.org/officeDocument/2006/relationships/hyperlink" Target="https://www.qunol.com/products/ultra-coq10" TargetMode="External" Id="rId2923" /><Relationship Type="http://schemas.openxmlformats.org/officeDocument/2006/relationships/hyperlink" Target="https://www.qunol.com/products/ultra-coq10" TargetMode="External" Id="rId2924" /><Relationship Type="http://schemas.openxmlformats.org/officeDocument/2006/relationships/hyperlink" Target="https://www.qunol.com/products/ultra-coq10" TargetMode="External" Id="rId2925" /><Relationship Type="http://schemas.openxmlformats.org/officeDocument/2006/relationships/hyperlink" Target="https://www.qunol.com/products/ultra-coq10" TargetMode="External" Id="rId2926" /><Relationship Type="http://schemas.openxmlformats.org/officeDocument/2006/relationships/hyperlink" Target="https://www.qunol.com/products/ultra-coq10" TargetMode="External" Id="rId2927" /><Relationship Type="http://schemas.openxmlformats.org/officeDocument/2006/relationships/hyperlink" Target="https://www.qunol.com/products/ultra-coq10" TargetMode="External" Id="rId2928" /><Relationship Type="http://schemas.openxmlformats.org/officeDocument/2006/relationships/hyperlink" Target="https://www.qunol.com/products/ultra-coq10" TargetMode="External" Id="rId2929" /><Relationship Type="http://schemas.openxmlformats.org/officeDocument/2006/relationships/hyperlink" Target="https://www.qunol.com/products/ultra-coq10" TargetMode="External" Id="rId2930" /><Relationship Type="http://schemas.openxmlformats.org/officeDocument/2006/relationships/hyperlink" Target="https://www.qunol.com/products/ultra-coq10" TargetMode="External" Id="rId2931" /><Relationship Type="http://schemas.openxmlformats.org/officeDocument/2006/relationships/hyperlink" Target="https://www.qunol.com/products/ultra-coq10" TargetMode="External" Id="rId2932" /><Relationship Type="http://schemas.openxmlformats.org/officeDocument/2006/relationships/hyperlink" Target="https://www.qunol.com/products/ultra-coq10" TargetMode="External" Id="rId2933" /><Relationship Type="http://schemas.openxmlformats.org/officeDocument/2006/relationships/hyperlink" Target="https://www.qunol.com/products/ultra-coq10" TargetMode="External" Id="rId2934" /><Relationship Type="http://schemas.openxmlformats.org/officeDocument/2006/relationships/hyperlink" Target="https://www.qunol.com/products/ultra-coq10" TargetMode="External" Id="rId2935" /><Relationship Type="http://schemas.openxmlformats.org/officeDocument/2006/relationships/hyperlink" Target="https://www.qunol.com/products/ultra-coq10" TargetMode="External" Id="rId2936" /><Relationship Type="http://schemas.openxmlformats.org/officeDocument/2006/relationships/hyperlink" Target="https://www.qunol.com/products/ultra-coq10" TargetMode="External" Id="rId2937" /><Relationship Type="http://schemas.openxmlformats.org/officeDocument/2006/relationships/hyperlink" Target="https://www.qunol.com/products/ultra-coq10" TargetMode="External" Id="rId2938" /><Relationship Type="http://schemas.openxmlformats.org/officeDocument/2006/relationships/hyperlink" Target="https://www.qunol.com/products/ultra-coq10" TargetMode="External" Id="rId2939" /><Relationship Type="http://schemas.openxmlformats.org/officeDocument/2006/relationships/hyperlink" Target="https://www.qunol.com/products/ultra-coq10" TargetMode="External" Id="rId2940" /><Relationship Type="http://schemas.openxmlformats.org/officeDocument/2006/relationships/hyperlink" Target="https://www.qunol.com/products/ultra-coq10" TargetMode="External" Id="rId2941" /><Relationship Type="http://schemas.openxmlformats.org/officeDocument/2006/relationships/hyperlink" Target="https://www.qunol.com/products/ultra-coq10" TargetMode="External" Id="rId2942" /><Relationship Type="http://schemas.openxmlformats.org/officeDocument/2006/relationships/hyperlink" Target="https://www.qunol.com/products/ultra-coq10" TargetMode="External" Id="rId2943" /><Relationship Type="http://schemas.openxmlformats.org/officeDocument/2006/relationships/hyperlink" Target="https://www.qunol.com/products/ultra-coq10" TargetMode="External" Id="rId2944" /><Relationship Type="http://schemas.openxmlformats.org/officeDocument/2006/relationships/hyperlink" Target="https://www.qunol.com/products/ultra-coq10" TargetMode="External" Id="rId2945" /><Relationship Type="http://schemas.openxmlformats.org/officeDocument/2006/relationships/hyperlink" Target="https://www.qunol.com/products/ultra-coq10" TargetMode="External" Id="rId2946" /><Relationship Type="http://schemas.openxmlformats.org/officeDocument/2006/relationships/hyperlink" Target="https://www.qunol.com/products/ultra-coq10" TargetMode="External" Id="rId2947" /><Relationship Type="http://schemas.openxmlformats.org/officeDocument/2006/relationships/hyperlink" Target="https://www.qunol.com/products/ultra-coq10" TargetMode="External" Id="rId2948" /><Relationship Type="http://schemas.openxmlformats.org/officeDocument/2006/relationships/hyperlink" Target="https://www.qunol.com/products/ultra-coq10" TargetMode="External" Id="rId2949" /><Relationship Type="http://schemas.openxmlformats.org/officeDocument/2006/relationships/hyperlink" Target="https://www.qunol.com/products/ultra-coq10" TargetMode="External" Id="rId2950" /><Relationship Type="http://schemas.openxmlformats.org/officeDocument/2006/relationships/hyperlink" Target="https://www.qunol.com/products/ultra-coq10" TargetMode="External" Id="rId2951" /><Relationship Type="http://schemas.openxmlformats.org/officeDocument/2006/relationships/hyperlink" Target="https://www.qunol.com/products/ultra-coq10" TargetMode="External" Id="rId2952" /><Relationship Type="http://schemas.openxmlformats.org/officeDocument/2006/relationships/hyperlink" Target="https://www.qunol.com/products/ultra-coq10" TargetMode="External" Id="rId2953" /><Relationship Type="http://schemas.openxmlformats.org/officeDocument/2006/relationships/hyperlink" Target="https://www.qunol.com/products/ultra-coq10" TargetMode="External" Id="rId2954" /><Relationship Type="http://schemas.openxmlformats.org/officeDocument/2006/relationships/hyperlink" Target="https://www.qunol.com/products/ultra-coq10" TargetMode="External" Id="rId2955" /><Relationship Type="http://schemas.openxmlformats.org/officeDocument/2006/relationships/hyperlink" Target="https://www.qunol.com/products/ultra-coq10" TargetMode="External" Id="rId2956" /><Relationship Type="http://schemas.openxmlformats.org/officeDocument/2006/relationships/hyperlink" Target="https://www.qunol.com/products/ultra-coq10" TargetMode="External" Id="rId2957" /><Relationship Type="http://schemas.openxmlformats.org/officeDocument/2006/relationships/hyperlink" Target="https://www.qunol.com/products/ultra-coq10" TargetMode="External" Id="rId2958" /><Relationship Type="http://schemas.openxmlformats.org/officeDocument/2006/relationships/hyperlink" Target="https://www.qunol.com/products/ultra-coq10" TargetMode="External" Id="rId2959" /><Relationship Type="http://schemas.openxmlformats.org/officeDocument/2006/relationships/hyperlink" Target="https://www.qunol.com/products/ultra-coq10" TargetMode="External" Id="rId2960" /><Relationship Type="http://schemas.openxmlformats.org/officeDocument/2006/relationships/hyperlink" Target="https://www.qunol.com/products/ultra-coq10" TargetMode="External" Id="rId2961" /><Relationship Type="http://schemas.openxmlformats.org/officeDocument/2006/relationships/hyperlink" Target="https://www.qunol.com/products/ultra-coq10" TargetMode="External" Id="rId2962" /><Relationship Type="http://schemas.openxmlformats.org/officeDocument/2006/relationships/hyperlink" Target="https://www.qunol.com/products/ultra-coq10" TargetMode="External" Id="rId2963" /><Relationship Type="http://schemas.openxmlformats.org/officeDocument/2006/relationships/hyperlink" Target="https://www.qunol.com/products/ultra-coq10" TargetMode="External" Id="rId2964" /><Relationship Type="http://schemas.openxmlformats.org/officeDocument/2006/relationships/hyperlink" Target="https://www.qunol.com/products/ultra-coq10" TargetMode="External" Id="rId2965" /><Relationship Type="http://schemas.openxmlformats.org/officeDocument/2006/relationships/hyperlink" Target="https://www.qunol.com/products/ultra-coq10" TargetMode="External" Id="rId2966" /><Relationship Type="http://schemas.openxmlformats.org/officeDocument/2006/relationships/hyperlink" Target="https://www.qunol.com/products/ultra-coq10" TargetMode="External" Id="rId2967" /><Relationship Type="http://schemas.openxmlformats.org/officeDocument/2006/relationships/hyperlink" Target="https://www.qunol.com/products/ultra-coq10" TargetMode="External" Id="rId2968" /><Relationship Type="http://schemas.openxmlformats.org/officeDocument/2006/relationships/hyperlink" Target="https://www.qunol.com/products/ultra-coq10" TargetMode="External" Id="rId2969" /><Relationship Type="http://schemas.openxmlformats.org/officeDocument/2006/relationships/hyperlink" Target="https://www.qunol.com/products/ultra-coq10" TargetMode="External" Id="rId2970" /><Relationship Type="http://schemas.openxmlformats.org/officeDocument/2006/relationships/hyperlink" Target="https://www.qunol.com/products/ultra-coq10" TargetMode="External" Id="rId2971" /><Relationship Type="http://schemas.openxmlformats.org/officeDocument/2006/relationships/hyperlink" Target="https://www.qunol.com/products/ultra-coq10" TargetMode="External" Id="rId2972" /><Relationship Type="http://schemas.openxmlformats.org/officeDocument/2006/relationships/hyperlink" Target="https://www.qunol.com/products/ultra-coq10" TargetMode="External" Id="rId2973" /><Relationship Type="http://schemas.openxmlformats.org/officeDocument/2006/relationships/hyperlink" Target="https://www.qunol.com/products/ultra-coq10" TargetMode="External" Id="rId2974" /><Relationship Type="http://schemas.openxmlformats.org/officeDocument/2006/relationships/hyperlink" Target="https://www.qunol.com/products/ultra-coq10" TargetMode="External" Id="rId2975" /><Relationship Type="http://schemas.openxmlformats.org/officeDocument/2006/relationships/hyperlink" Target="https://www.qunol.com/products/ultra-coq10" TargetMode="External" Id="rId2976" /><Relationship Type="http://schemas.openxmlformats.org/officeDocument/2006/relationships/hyperlink" Target="https://www.qunol.com/products/ultra-coq10" TargetMode="External" Id="rId2977" /><Relationship Type="http://schemas.openxmlformats.org/officeDocument/2006/relationships/hyperlink" Target="https://www.qunol.com/products/ultra-coq10" TargetMode="External" Id="rId2978" /><Relationship Type="http://schemas.openxmlformats.org/officeDocument/2006/relationships/hyperlink" Target="https://www.qunol.com/products/ultra-coq10" TargetMode="External" Id="rId2979" /><Relationship Type="http://schemas.openxmlformats.org/officeDocument/2006/relationships/hyperlink" Target="https://www.qunol.com/products/ultra-coq10" TargetMode="External" Id="rId2980" /><Relationship Type="http://schemas.openxmlformats.org/officeDocument/2006/relationships/hyperlink" Target="https://www.qunol.com/products/ultra-coq10" TargetMode="External" Id="rId2981" /><Relationship Type="http://schemas.openxmlformats.org/officeDocument/2006/relationships/hyperlink" Target="https://www.qunol.com/products/ultra-coq10" TargetMode="External" Id="rId2982" /><Relationship Type="http://schemas.openxmlformats.org/officeDocument/2006/relationships/hyperlink" Target="https://www.qunol.com/products/ultra-coq10" TargetMode="External" Id="rId2983" /><Relationship Type="http://schemas.openxmlformats.org/officeDocument/2006/relationships/hyperlink" Target="https://www.qunol.com/products/ultra-coq10" TargetMode="External" Id="rId2984" /><Relationship Type="http://schemas.openxmlformats.org/officeDocument/2006/relationships/hyperlink" Target="https://www.qunol.com/products/ultra-coq10" TargetMode="External" Id="rId2985" /><Relationship Type="http://schemas.openxmlformats.org/officeDocument/2006/relationships/hyperlink" Target="https://www.qunol.com/products/ultra-coq10" TargetMode="External" Id="rId2986" /><Relationship Type="http://schemas.openxmlformats.org/officeDocument/2006/relationships/hyperlink" Target="https://www.qunol.com/products/ultra-coq10" TargetMode="External" Id="rId2987" /><Relationship Type="http://schemas.openxmlformats.org/officeDocument/2006/relationships/hyperlink" Target="https://www.qunol.com/products/ultra-coq10" TargetMode="External" Id="rId2988" /><Relationship Type="http://schemas.openxmlformats.org/officeDocument/2006/relationships/hyperlink" Target="https://www.innovixlabs.com/products/full-spectrum-vitamin-k2" TargetMode="External" Id="rId2989" /><Relationship Type="http://schemas.openxmlformats.org/officeDocument/2006/relationships/hyperlink" Target="https://www.innovixlabs.com/products/full-spectrum-vitamin-k2" TargetMode="External" Id="rId2990" /><Relationship Type="http://schemas.openxmlformats.org/officeDocument/2006/relationships/hyperlink" Target="https://www.innovixlabs.com/products/full-spectrum-vitamin-k2" TargetMode="External" Id="rId2991" /><Relationship Type="http://schemas.openxmlformats.org/officeDocument/2006/relationships/hyperlink" Target="https://www.innovixlabs.com/products/full-spectrum-vitamin-k2" TargetMode="External" Id="rId2992" /><Relationship Type="http://schemas.openxmlformats.org/officeDocument/2006/relationships/hyperlink" Target="https://www.innovixlabs.com/products/full-spectrum-vitamin-k2" TargetMode="External" Id="rId2993" /><Relationship Type="http://schemas.openxmlformats.org/officeDocument/2006/relationships/hyperlink" Target="https://www.innovixlabs.com/products/full-spectrum-vitamin-k2" TargetMode="External" Id="rId2994" /><Relationship Type="http://schemas.openxmlformats.org/officeDocument/2006/relationships/hyperlink" Target="https://www.innovixlabs.com/products/full-spectrum-vitamin-k2" TargetMode="External" Id="rId2995" /><Relationship Type="http://schemas.openxmlformats.org/officeDocument/2006/relationships/hyperlink" Target="https://www.innovixlabs.com/products/full-spectrum-vitamin-k2" TargetMode="External" Id="rId2996" /><Relationship Type="http://schemas.openxmlformats.org/officeDocument/2006/relationships/hyperlink" Target="https://www.innovixlabs.com/products/full-spectrum-vitamin-k2" TargetMode="External" Id="rId2997" /><Relationship Type="http://schemas.openxmlformats.org/officeDocument/2006/relationships/hyperlink" Target="https://www.innovixlabs.com/products/full-spectrum-vitamin-k2" TargetMode="External" Id="rId2998" /><Relationship Type="http://schemas.openxmlformats.org/officeDocument/2006/relationships/hyperlink" Target="https://www.innovixlabs.com/products/full-spectrum-vitamin-k2" TargetMode="External" Id="rId2999" /><Relationship Type="http://schemas.openxmlformats.org/officeDocument/2006/relationships/hyperlink" Target="https://www.innovixlabs.com/products/full-spectrum-vitamin-k2" TargetMode="External" Id="rId3000" /><Relationship Type="http://schemas.openxmlformats.org/officeDocument/2006/relationships/hyperlink" Target="https://www.innovixlabs.com/products/full-spectrum-vitamin-k2" TargetMode="External" Id="rId3001" /><Relationship Type="http://schemas.openxmlformats.org/officeDocument/2006/relationships/hyperlink" Target="https://www.innovixlabs.com/products/full-spectrum-vitamin-k2" TargetMode="External" Id="rId3002" /><Relationship Type="http://schemas.openxmlformats.org/officeDocument/2006/relationships/hyperlink" Target="https://www.innovixlabs.com/products/full-spectrum-vitamin-k2" TargetMode="External" Id="rId3003" /><Relationship Type="http://schemas.openxmlformats.org/officeDocument/2006/relationships/hyperlink" Target="https://www.innovixlabs.com/products/full-spectrum-vitamin-k2" TargetMode="External" Id="rId3004" /><Relationship Type="http://schemas.openxmlformats.org/officeDocument/2006/relationships/hyperlink" Target="https://www.innovixlabs.com/products/full-spectrum-vitamin-k2" TargetMode="External" Id="rId3005" /><Relationship Type="http://schemas.openxmlformats.org/officeDocument/2006/relationships/hyperlink" Target="https://www.innovixlabs.com/products/full-spectrum-vitamin-k2" TargetMode="External" Id="rId3006" /><Relationship Type="http://schemas.openxmlformats.org/officeDocument/2006/relationships/hyperlink" Target="https://www.innovixlabs.com/products/full-spectrum-vitamin-k2" TargetMode="External" Id="rId3007" /><Relationship Type="http://schemas.openxmlformats.org/officeDocument/2006/relationships/hyperlink" Target="https://www.innovixlabs.com/products/full-spectrum-vitamin-k2" TargetMode="External" Id="rId3008" /><Relationship Type="http://schemas.openxmlformats.org/officeDocument/2006/relationships/hyperlink" Target="https://www.innovixlabs.com/products/full-spectrum-vitamin-k2" TargetMode="External" Id="rId3009" /><Relationship Type="http://schemas.openxmlformats.org/officeDocument/2006/relationships/hyperlink" Target="https://www.innovixlabs.com/products/full-spectrum-vitamin-k2" TargetMode="External" Id="rId3010" /><Relationship Type="http://schemas.openxmlformats.org/officeDocument/2006/relationships/hyperlink" Target="https://www.innovixlabs.com/products/full-spectrum-vitamin-k2" TargetMode="External" Id="rId3011" /><Relationship Type="http://schemas.openxmlformats.org/officeDocument/2006/relationships/hyperlink" Target="https://www.innovixlabs.com/products/full-spectrum-vitamin-k2" TargetMode="External" Id="rId3012" /><Relationship Type="http://schemas.openxmlformats.org/officeDocument/2006/relationships/hyperlink" Target="https://www.innovixlabs.com/products/full-spectrum-vitamin-k2" TargetMode="External" Id="rId3013" /><Relationship Type="http://schemas.openxmlformats.org/officeDocument/2006/relationships/hyperlink" Target="https://www.innovixlabs.com/products/full-spectrum-vitamin-k2" TargetMode="External" Id="rId3014" /><Relationship Type="http://schemas.openxmlformats.org/officeDocument/2006/relationships/hyperlink" Target="https://www.innovixlabs.com/products/full-spectrum-vitamin-k2" TargetMode="External" Id="rId3015" /><Relationship Type="http://schemas.openxmlformats.org/officeDocument/2006/relationships/hyperlink" Target="https://www.innovixlabs.com/products/full-spectrum-vitamin-k2" TargetMode="External" Id="rId3016" /><Relationship Type="http://schemas.openxmlformats.org/officeDocument/2006/relationships/hyperlink" Target="https://www.innovixlabs.com/products/full-spectrum-vitamin-k2" TargetMode="External" Id="rId3017" /><Relationship Type="http://schemas.openxmlformats.org/officeDocument/2006/relationships/hyperlink" Target="https://www.innovixlabs.com/products/full-spectrum-vitamin-k2" TargetMode="External" Id="rId3018" /><Relationship Type="http://schemas.openxmlformats.org/officeDocument/2006/relationships/hyperlink" Target="https://www.innovixlabs.com/products/full-spectrum-vitamin-k2" TargetMode="External" Id="rId3019" /><Relationship Type="http://schemas.openxmlformats.org/officeDocument/2006/relationships/hyperlink" Target="https://www.innovixlabs.com/products/full-spectrum-vitamin-k2" TargetMode="External" Id="rId3020" /><Relationship Type="http://schemas.openxmlformats.org/officeDocument/2006/relationships/hyperlink" Target="https://www.innovixlabs.com/products/full-spectrum-vitamin-k2" TargetMode="External" Id="rId3021" /><Relationship Type="http://schemas.openxmlformats.org/officeDocument/2006/relationships/hyperlink" Target="https://www.innovixlabs.com/products/full-spectrum-vitamin-k2" TargetMode="External" Id="rId3022" /><Relationship Type="http://schemas.openxmlformats.org/officeDocument/2006/relationships/hyperlink" Target="https://www.innovixlabs.com/products/full-spectrum-vitamin-k2" TargetMode="External" Id="rId3023" /><Relationship Type="http://schemas.openxmlformats.org/officeDocument/2006/relationships/hyperlink" Target="https://www.innovixlabs.com/products/full-spectrum-vitamin-k2" TargetMode="External" Id="rId3024" /><Relationship Type="http://schemas.openxmlformats.org/officeDocument/2006/relationships/hyperlink" Target="https://www.innovixlabs.com/products/full-spectrum-vitamin-k2" TargetMode="External" Id="rId3025" /><Relationship Type="http://schemas.openxmlformats.org/officeDocument/2006/relationships/hyperlink" Target="https://www.innovixlabs.com/products/full-spectrum-vitamin-k2" TargetMode="External" Id="rId3026" /><Relationship Type="http://schemas.openxmlformats.org/officeDocument/2006/relationships/hyperlink" Target="https://www.innovixlabs.com/products/full-spectrum-vitamin-k2" TargetMode="External" Id="rId3027" /><Relationship Type="http://schemas.openxmlformats.org/officeDocument/2006/relationships/hyperlink" Target="https://www.innovixlabs.com/products/full-spectrum-vitamin-k2" TargetMode="External" Id="rId3028" /><Relationship Type="http://schemas.openxmlformats.org/officeDocument/2006/relationships/hyperlink" Target="https://www.innovixlabs.com/products/full-spectrum-vitamin-k2" TargetMode="External" Id="rId3029" /><Relationship Type="http://schemas.openxmlformats.org/officeDocument/2006/relationships/hyperlink" Target="https://www.innovixlabs.com/products/full-spectrum-vitamin-k2" TargetMode="External" Id="rId3030" /><Relationship Type="http://schemas.openxmlformats.org/officeDocument/2006/relationships/hyperlink" Target="https://www.innovixlabs.com/products/full-spectrum-vitamin-k2" TargetMode="External" Id="rId3031" /><Relationship Type="http://schemas.openxmlformats.org/officeDocument/2006/relationships/hyperlink" Target="https://www.innovixlabs.com/products/full-spectrum-vitamin-k2" TargetMode="External" Id="rId3032" /><Relationship Type="http://schemas.openxmlformats.org/officeDocument/2006/relationships/hyperlink" Target="https://www.innovixlabs.com/products/full-spectrum-vitamin-k2" TargetMode="External" Id="rId3033" /><Relationship Type="http://schemas.openxmlformats.org/officeDocument/2006/relationships/hyperlink" Target="https://www.innovixlabs.com/products/full-spectrum-vitamin-k2" TargetMode="External" Id="rId3034" /><Relationship Type="http://schemas.openxmlformats.org/officeDocument/2006/relationships/hyperlink" Target="https://www.innovixlabs.com/products/full-spectrum-vitamin-k2" TargetMode="External" Id="rId3035" /><Relationship Type="http://schemas.openxmlformats.org/officeDocument/2006/relationships/hyperlink" Target="https://www.innovixlabs.com/products/full-spectrum-vitamin-k2" TargetMode="External" Id="rId3036" /><Relationship Type="http://schemas.openxmlformats.org/officeDocument/2006/relationships/hyperlink" Target="https://www.innovixlabs.com/products/full-spectrum-vitamin-k2" TargetMode="External" Id="rId3037" /><Relationship Type="http://schemas.openxmlformats.org/officeDocument/2006/relationships/hyperlink" Target="https://www.innovixlabs.com/products/full-spectrum-vitamin-k2" TargetMode="External" Id="rId3038" /><Relationship Type="http://schemas.openxmlformats.org/officeDocument/2006/relationships/hyperlink" Target="https://www.innovixlabs.com/products/full-spectrum-vitamin-k2" TargetMode="External" Id="rId3039" /><Relationship Type="http://schemas.openxmlformats.org/officeDocument/2006/relationships/hyperlink" Target="https://www.innovixlabs.com/products/full-spectrum-vitamin-k2" TargetMode="External" Id="rId3040" /><Relationship Type="http://schemas.openxmlformats.org/officeDocument/2006/relationships/hyperlink" Target="https://www.innovixlabs.com/products/full-spectrum-vitamin-k2" TargetMode="External" Id="rId3041" /><Relationship Type="http://schemas.openxmlformats.org/officeDocument/2006/relationships/hyperlink" Target="https://www.innovixlabs.com/products/full-spectrum-vitamin-k2" TargetMode="External" Id="rId3042" /><Relationship Type="http://schemas.openxmlformats.org/officeDocument/2006/relationships/hyperlink" Target="https://www.innovixlabs.com/products/full-spectrum-vitamin-k2" TargetMode="External" Id="rId3043" /><Relationship Type="http://schemas.openxmlformats.org/officeDocument/2006/relationships/hyperlink" Target="https://www.innovixlabs.com/products/full-spectrum-vitamin-k2" TargetMode="External" Id="rId3044" /><Relationship Type="http://schemas.openxmlformats.org/officeDocument/2006/relationships/hyperlink" Target="https://www.innovixlabs.com/products/full-spectrum-vitamin-k2" TargetMode="External" Id="rId3045" /><Relationship Type="http://schemas.openxmlformats.org/officeDocument/2006/relationships/hyperlink" Target="https://www.innovixlabs.com/products/full-spectrum-vitamin-k2" TargetMode="External" Id="rId3046" /><Relationship Type="http://schemas.openxmlformats.org/officeDocument/2006/relationships/hyperlink" Target="https://www.innovixlabs.com/products/full-spectrum-vitamin-k2" TargetMode="External" Id="rId3047" /><Relationship Type="http://schemas.openxmlformats.org/officeDocument/2006/relationships/hyperlink" Target="https://www.innovixlabs.com/products/full-spectrum-vitamin-k2" TargetMode="External" Id="rId3048" /><Relationship Type="http://schemas.openxmlformats.org/officeDocument/2006/relationships/hyperlink" Target="https://www.innovixlabs.com/products/full-spectrum-vitamin-k2" TargetMode="External" Id="rId3049" /><Relationship Type="http://schemas.openxmlformats.org/officeDocument/2006/relationships/hyperlink" Target="https://www.innovixlabs.com/products/full-spectrum-vitamin-k2" TargetMode="External" Id="rId3050" /><Relationship Type="http://schemas.openxmlformats.org/officeDocument/2006/relationships/hyperlink" Target="https://www.innovixlabs.com/products/full-spectrum-vitamin-k2" TargetMode="External" Id="rId3051" /><Relationship Type="http://schemas.openxmlformats.org/officeDocument/2006/relationships/hyperlink" Target="https://www.innovixlabs.com/products/full-spectrum-vitamin-k2" TargetMode="External" Id="rId3052" /><Relationship Type="http://schemas.openxmlformats.org/officeDocument/2006/relationships/hyperlink" Target="https://www.innovixlabs.com/products/full-spectrum-vitamin-k2" TargetMode="External" Id="rId3053" /><Relationship Type="http://schemas.openxmlformats.org/officeDocument/2006/relationships/hyperlink" Target="https://www.innovixlabs.com/products/full-spectrum-vitamin-k2" TargetMode="External" Id="rId3054" /><Relationship Type="http://schemas.openxmlformats.org/officeDocument/2006/relationships/hyperlink" Target="https://www.innovixlabs.com/products/full-spectrum-vitamin-k2" TargetMode="External" Id="rId3055" /><Relationship Type="http://schemas.openxmlformats.org/officeDocument/2006/relationships/hyperlink" Target="https://www.innovixlabs.com/products/full-spectrum-vitamin-k2" TargetMode="External" Id="rId3056" /><Relationship Type="http://schemas.openxmlformats.org/officeDocument/2006/relationships/hyperlink" Target="https://www.innovixlabs.com/products/full-spectrum-vitamin-k2" TargetMode="External" Id="rId3057" /><Relationship Type="http://schemas.openxmlformats.org/officeDocument/2006/relationships/hyperlink" Target="https://www.innovixlabs.com/products/full-spectrum-vitamin-k2" TargetMode="External" Id="rId3058" /><Relationship Type="http://schemas.openxmlformats.org/officeDocument/2006/relationships/hyperlink" Target="https://www.innovixlabs.com/products/full-spectrum-vitamin-k2" TargetMode="External" Id="rId3059" /><Relationship Type="http://schemas.openxmlformats.org/officeDocument/2006/relationships/hyperlink" Target="https://www.innovixlabs.com/products/full-spectrum-vitamin-k2" TargetMode="External" Id="rId3060" /><Relationship Type="http://schemas.openxmlformats.org/officeDocument/2006/relationships/hyperlink" Target="https://www.innovixlabs.com/products/full-spectrum-vitamin-k2" TargetMode="External" Id="rId3061" /><Relationship Type="http://schemas.openxmlformats.org/officeDocument/2006/relationships/hyperlink" Target="https://www.innovixlabs.com/products/full-spectrum-vitamin-k2" TargetMode="External" Id="rId3062" /><Relationship Type="http://schemas.openxmlformats.org/officeDocument/2006/relationships/hyperlink" Target="https://www.innovixlabs.com/products/full-spectrum-vitamin-k2" TargetMode="External" Id="rId3063" /><Relationship Type="http://schemas.openxmlformats.org/officeDocument/2006/relationships/hyperlink" Target="https://www.innovixlabs.com/products/full-spectrum-vitamin-k2" TargetMode="External" Id="rId3064" /><Relationship Type="http://schemas.openxmlformats.org/officeDocument/2006/relationships/hyperlink" Target="https://www.innovixlabs.com/products/full-spectrum-vitamin-k2" TargetMode="External" Id="rId3065" /><Relationship Type="http://schemas.openxmlformats.org/officeDocument/2006/relationships/hyperlink" Target="https://www.innovixlabs.com/products/full-spectrum-vitamin-k2" TargetMode="External" Id="rId3066" /><Relationship Type="http://schemas.openxmlformats.org/officeDocument/2006/relationships/hyperlink" Target="https://www.innovixlabs.com/products/full-spectrum-vitamin-k2" TargetMode="External" Id="rId3067" /><Relationship Type="http://schemas.openxmlformats.org/officeDocument/2006/relationships/hyperlink" Target="https://www.innovixlabs.com/products/full-spectrum-vitamin-k2" TargetMode="External" Id="rId3068" /><Relationship Type="http://schemas.openxmlformats.org/officeDocument/2006/relationships/hyperlink" Target="https://www.innovixlabs.com/products/full-spectrum-vitamin-k2" TargetMode="External" Id="rId3069" /><Relationship Type="http://schemas.openxmlformats.org/officeDocument/2006/relationships/hyperlink" Target="https://www.innovixlabs.com/products/full-spectrum-vitamin-k2" TargetMode="External" Id="rId3070" /><Relationship Type="http://schemas.openxmlformats.org/officeDocument/2006/relationships/hyperlink" Target="https://www.innovixlabs.com/products/full-spectrum-vitamin-k2" TargetMode="External" Id="rId3071" /><Relationship Type="http://schemas.openxmlformats.org/officeDocument/2006/relationships/hyperlink" Target="https://www.seekinghealth.com/products/lithium-orotate-5-mg" TargetMode="External" Id="rId3072" /><Relationship Type="http://schemas.openxmlformats.org/officeDocument/2006/relationships/hyperlink" Target="https://www.seekinghealth.com/products/lithium-orotate-5-mg" TargetMode="External" Id="rId3073" /><Relationship Type="http://schemas.openxmlformats.org/officeDocument/2006/relationships/hyperlink" Target="https://www.seekinghealth.com/products/lithium-orotate-5-mg" TargetMode="External" Id="rId3074" /><Relationship Type="http://schemas.openxmlformats.org/officeDocument/2006/relationships/hyperlink" Target="https://www.seekinghealth.com/products/lithium-orotate-5-mg" TargetMode="External" Id="rId3075" /><Relationship Type="http://schemas.openxmlformats.org/officeDocument/2006/relationships/hyperlink" Target="https://www.seekinghealth.com/products/lithium-orotate-5-mg" TargetMode="External" Id="rId3076" /><Relationship Type="http://schemas.openxmlformats.org/officeDocument/2006/relationships/hyperlink" Target="https://www.seekinghealth.com/products/lithium-orotate-5-mg" TargetMode="External" Id="rId3077" /><Relationship Type="http://schemas.openxmlformats.org/officeDocument/2006/relationships/hyperlink" Target="https://www.seekinghealth.com/products/lithium-orotate-5-mg" TargetMode="External" Id="rId3078" /><Relationship Type="http://schemas.openxmlformats.org/officeDocument/2006/relationships/hyperlink" Target="https://www.seekinghealth.com/products/lithium-orotate-5-mg" TargetMode="External" Id="rId3079" /><Relationship Type="http://schemas.openxmlformats.org/officeDocument/2006/relationships/hyperlink" Target="https://www.seekinghealth.com/products/lithium-orotate-5-mg" TargetMode="External" Id="rId3080" /><Relationship Type="http://schemas.openxmlformats.org/officeDocument/2006/relationships/hyperlink" Target="https://www.seekinghealth.com/products/lithium-orotate-5-mg" TargetMode="External" Id="rId3081" /><Relationship Type="http://schemas.openxmlformats.org/officeDocument/2006/relationships/hyperlink" Target="https://www.seekinghealth.com/products/lithium-orotate-5-mg" TargetMode="External" Id="rId3082" /><Relationship Type="http://schemas.openxmlformats.org/officeDocument/2006/relationships/hyperlink" Target="https://www.seekinghealth.com/products/lithium-orotate-5-mg" TargetMode="External" Id="rId3083" /><Relationship Type="http://schemas.openxmlformats.org/officeDocument/2006/relationships/hyperlink" Target="https://www.seekinghealth.com/products/lithium-orotate-5-mg" TargetMode="External" Id="rId3084" /><Relationship Type="http://schemas.openxmlformats.org/officeDocument/2006/relationships/hyperlink" Target="https://www.seekinghealth.com/products/lithium-orotate-5-mg" TargetMode="External" Id="rId3085" /><Relationship Type="http://schemas.openxmlformats.org/officeDocument/2006/relationships/hyperlink" Target="https://www.seekinghealth.com/products/lithium-orotate-5-mg" TargetMode="External" Id="rId3086" /><Relationship Type="http://schemas.openxmlformats.org/officeDocument/2006/relationships/hyperlink" Target="https://www.seekinghealth.com/products/lithium-orotate-5-mg" TargetMode="External" Id="rId3087" /><Relationship Type="http://schemas.openxmlformats.org/officeDocument/2006/relationships/hyperlink" Target="https://www.seekinghealth.com/products/lithium-orotate-5-mg" TargetMode="External" Id="rId3088" /><Relationship Type="http://schemas.openxmlformats.org/officeDocument/2006/relationships/hyperlink" Target="https://www.seekinghealth.com/products/lithium-orotate-5-mg" TargetMode="External" Id="rId3089" /><Relationship Type="http://schemas.openxmlformats.org/officeDocument/2006/relationships/hyperlink" Target="https://www.seekinghealth.com/products/lithium-orotate-5-mg" TargetMode="External" Id="rId3090" /><Relationship Type="http://schemas.openxmlformats.org/officeDocument/2006/relationships/hyperlink" Target="https://www.seekinghealth.com/products/lithium-orotate-5-mg" TargetMode="External" Id="rId3091" /><Relationship Type="http://schemas.openxmlformats.org/officeDocument/2006/relationships/hyperlink" Target="https://www.seekinghealth.com/products/lithium-orotate-5-mg" TargetMode="External" Id="rId3092" /><Relationship Type="http://schemas.openxmlformats.org/officeDocument/2006/relationships/hyperlink" Target="https://www.seekinghealth.com/products/lithium-orotate-5-mg" TargetMode="External" Id="rId3093" /><Relationship Type="http://schemas.openxmlformats.org/officeDocument/2006/relationships/hyperlink" Target="https://www.seekinghealth.com/products/lithium-orotate-5-mg" TargetMode="External" Id="rId3094" /><Relationship Type="http://schemas.openxmlformats.org/officeDocument/2006/relationships/hyperlink" Target="https://www.seekinghealth.com/products/lithium-orotate-5-mg" TargetMode="External" Id="rId3095" /><Relationship Type="http://schemas.openxmlformats.org/officeDocument/2006/relationships/hyperlink" Target="https://www.seekinghealth.com/products/lithium-orotate-5-mg" TargetMode="External" Id="rId3096" /><Relationship Type="http://schemas.openxmlformats.org/officeDocument/2006/relationships/hyperlink" Target="https://www.seekinghealth.com/products/lithium-orotate-5-mg" TargetMode="External" Id="rId3097" /><Relationship Type="http://schemas.openxmlformats.org/officeDocument/2006/relationships/hyperlink" Target="https://www.seekinghealth.com/products/lithium-orotate-5-mg" TargetMode="External" Id="rId3098" /><Relationship Type="http://schemas.openxmlformats.org/officeDocument/2006/relationships/hyperlink" Target="https://www.seekinghealth.com/products/lithium-orotate-5-mg" TargetMode="External" Id="rId3099" /><Relationship Type="http://schemas.openxmlformats.org/officeDocument/2006/relationships/hyperlink" Target="https://www.seekinghealth.com/products/lithium-orotate-5-mg" TargetMode="External" Id="rId3100" /><Relationship Type="http://schemas.openxmlformats.org/officeDocument/2006/relationships/hyperlink" Target="https://www.seekinghealth.com/products/lithium-orotate-5-mg" TargetMode="External" Id="rId3101" /><Relationship Type="http://schemas.openxmlformats.org/officeDocument/2006/relationships/hyperlink" Target="https://www.seekinghealth.com/products/lithium-orotate-5-mg" TargetMode="External" Id="rId3102" /><Relationship Type="http://schemas.openxmlformats.org/officeDocument/2006/relationships/hyperlink" Target="https://www.seekinghealth.com/products/lithium-orotate-5-mg" TargetMode="External" Id="rId3103" /><Relationship Type="http://schemas.openxmlformats.org/officeDocument/2006/relationships/hyperlink" Target="https://www.seekinghealth.com/products/lithium-orotate-5-mg" TargetMode="External" Id="rId3104" /><Relationship Type="http://schemas.openxmlformats.org/officeDocument/2006/relationships/hyperlink" Target="https://www.seekinghealth.com/products/lithium-orotate-5-mg" TargetMode="External" Id="rId3105" /><Relationship Type="http://schemas.openxmlformats.org/officeDocument/2006/relationships/hyperlink" Target="https://www.seekinghealth.com/products/lithium-orotate-5-mg" TargetMode="External" Id="rId3106" /><Relationship Type="http://schemas.openxmlformats.org/officeDocument/2006/relationships/hyperlink" Target="https://www.seekinghealth.com/products/lithium-orotate-5-mg" TargetMode="External" Id="rId3107" /><Relationship Type="http://schemas.openxmlformats.org/officeDocument/2006/relationships/hyperlink" Target="https://www.seekinghealth.com/products/lithium-orotate-5-mg" TargetMode="External" Id="rId3108" /><Relationship Type="http://schemas.openxmlformats.org/officeDocument/2006/relationships/hyperlink" Target="https://www.seekinghealth.com/products/lithium-orotate-5-mg" TargetMode="External" Id="rId3109" /><Relationship Type="http://schemas.openxmlformats.org/officeDocument/2006/relationships/hyperlink" Target="https://www.seekinghealth.com/products/lithium-orotate-5-mg" TargetMode="External" Id="rId3110" /><Relationship Type="http://schemas.openxmlformats.org/officeDocument/2006/relationships/hyperlink" Target="https://www.seekinghealth.com/products/lithium-orotate-5-mg" TargetMode="External" Id="rId3111" /><Relationship Type="http://schemas.openxmlformats.org/officeDocument/2006/relationships/hyperlink" Target="https://www.seekinghealth.com/products/lithium-orotate-5-mg" TargetMode="External" Id="rId3112" /><Relationship Type="http://schemas.openxmlformats.org/officeDocument/2006/relationships/hyperlink" Target="https://www.seekinghealth.com/products/lithium-orotate-5-mg" TargetMode="External" Id="rId3113" /><Relationship Type="http://schemas.openxmlformats.org/officeDocument/2006/relationships/hyperlink" Target="https://www.seekinghealth.com/products/lithium-orotate-5-mg" TargetMode="External" Id="rId3114" /><Relationship Type="http://schemas.openxmlformats.org/officeDocument/2006/relationships/hyperlink" Target="https://www.seekinghealth.com/products/lithium-orotate-5-mg" TargetMode="External" Id="rId3115" /><Relationship Type="http://schemas.openxmlformats.org/officeDocument/2006/relationships/hyperlink" Target="https://www.seekinghealth.com/products/lithium-orotate-5-mg" TargetMode="External" Id="rId3116" /><Relationship Type="http://schemas.openxmlformats.org/officeDocument/2006/relationships/hyperlink" Target="https://www.seekinghealth.com/products/lithium-orotate-5-mg" TargetMode="External" Id="rId3117" /><Relationship Type="http://schemas.openxmlformats.org/officeDocument/2006/relationships/hyperlink" Target="https://www.seekinghealth.com/products/lithium-orotate-5-mg" TargetMode="External" Id="rId3118" /><Relationship Type="http://schemas.openxmlformats.org/officeDocument/2006/relationships/hyperlink" Target="https://www.seekinghealth.com/products/lithium-orotate-5-mg" TargetMode="External" Id="rId3119" /><Relationship Type="http://schemas.openxmlformats.org/officeDocument/2006/relationships/hyperlink" Target="https://www.seekinghealth.com/products/lithium-orotate-5-mg" TargetMode="External" Id="rId3120" /><Relationship Type="http://schemas.openxmlformats.org/officeDocument/2006/relationships/hyperlink" Target="https://www.seekinghealth.com/products/lithium-orotate-5-mg" TargetMode="External" Id="rId3121" /><Relationship Type="http://schemas.openxmlformats.org/officeDocument/2006/relationships/hyperlink" Target="https://www.seekinghealth.com/products/lithium-orotate-5-mg" TargetMode="External" Id="rId3122" /><Relationship Type="http://schemas.openxmlformats.org/officeDocument/2006/relationships/hyperlink" Target="https://www.seekinghealth.com/products/lithium-orotate-5-mg" TargetMode="External" Id="rId3123" /><Relationship Type="http://schemas.openxmlformats.org/officeDocument/2006/relationships/hyperlink" Target="https://www.seekinghealth.com/products/lithium-orotate-5-mg" TargetMode="External" Id="rId3124" /><Relationship Type="http://schemas.openxmlformats.org/officeDocument/2006/relationships/hyperlink" Target="https://www.seekinghealth.com/products/lithium-orotate-5-mg" TargetMode="External" Id="rId3125" /><Relationship Type="http://schemas.openxmlformats.org/officeDocument/2006/relationships/hyperlink" Target="https://www.seekinghealth.com/products/lithium-orotate-5-mg" TargetMode="External" Id="rId3126" /><Relationship Type="http://schemas.openxmlformats.org/officeDocument/2006/relationships/hyperlink" Target="https://www.seekinghealth.com/products/lithium-orotate-5-mg" TargetMode="External" Id="rId3127" /><Relationship Type="http://schemas.openxmlformats.org/officeDocument/2006/relationships/hyperlink" Target="https://www.seekinghealth.com/products/lithium-orotate-5-mg" TargetMode="External" Id="rId3128" /><Relationship Type="http://schemas.openxmlformats.org/officeDocument/2006/relationships/hyperlink" Target="https://www.seekinghealth.com/products/lithium-orotate-5-mg" TargetMode="External" Id="rId3129" /><Relationship Type="http://schemas.openxmlformats.org/officeDocument/2006/relationships/hyperlink" Target="https://www.seekinghealth.com/products/lithium-orotate-5-mg" TargetMode="External" Id="rId3130" /><Relationship Type="http://schemas.openxmlformats.org/officeDocument/2006/relationships/hyperlink" Target="https://www.seekinghealth.com/products/lithium-orotate-5-mg" TargetMode="External" Id="rId3131" /><Relationship Type="http://schemas.openxmlformats.org/officeDocument/2006/relationships/hyperlink" Target="https://www.seekinghealth.com/products/lithium-orotate-5-mg" TargetMode="External" Id="rId3132" /><Relationship Type="http://schemas.openxmlformats.org/officeDocument/2006/relationships/hyperlink" Target="https://www.seekinghealth.com/products/lithium-orotate-5-mg" TargetMode="External" Id="rId3133" /><Relationship Type="http://schemas.openxmlformats.org/officeDocument/2006/relationships/hyperlink" Target="https://www.seekinghealth.com/products/lithium-orotate-5-mg" TargetMode="External" Id="rId3134" /><Relationship Type="http://schemas.openxmlformats.org/officeDocument/2006/relationships/hyperlink" Target="https://www.seekinghealth.com/products/lithium-orotate-5-mg" TargetMode="External" Id="rId3135" /><Relationship Type="http://schemas.openxmlformats.org/officeDocument/2006/relationships/hyperlink" Target="https://www.seekinghealth.com/products/lithium-orotate-5-mg" TargetMode="External" Id="rId3136" /><Relationship Type="http://schemas.openxmlformats.org/officeDocument/2006/relationships/hyperlink" Target="https://www.seekinghealth.com/products/lithium-orotate-5-mg" TargetMode="External" Id="rId3137" /><Relationship Type="http://schemas.openxmlformats.org/officeDocument/2006/relationships/hyperlink" Target="https://www.seekinghealth.com/products/lithium-orotate-5-mg" TargetMode="External" Id="rId3138" /><Relationship Type="http://schemas.openxmlformats.org/officeDocument/2006/relationships/hyperlink" Target="https://www.seekinghealth.com/products/lithium-orotate-5-mg" TargetMode="External" Id="rId3139" /><Relationship Type="http://schemas.openxmlformats.org/officeDocument/2006/relationships/hyperlink" Target="https://www.seekinghealth.com/products/lithium-orotate-5-mg" TargetMode="External" Id="rId3140" /><Relationship Type="http://schemas.openxmlformats.org/officeDocument/2006/relationships/hyperlink" Target="https://www.seekinghealth.com/products/lithium-orotate-5-mg" TargetMode="External" Id="rId3141" /><Relationship Type="http://schemas.openxmlformats.org/officeDocument/2006/relationships/hyperlink" Target="https://www.seekinghealth.com/products/lithium-orotate-5-mg" TargetMode="External" Id="rId3142" /><Relationship Type="http://schemas.openxmlformats.org/officeDocument/2006/relationships/hyperlink" Target="https://www.seekinghealth.com/products/lithium-orotate-5-mg" TargetMode="External" Id="rId3143" /><Relationship Type="http://schemas.openxmlformats.org/officeDocument/2006/relationships/hyperlink" Target="https://www.seekinghealth.com/products/lithium-orotate-5-mg" TargetMode="External" Id="rId3144" /><Relationship Type="http://schemas.openxmlformats.org/officeDocument/2006/relationships/hyperlink" Target="https://www.seekinghealth.com/products/lithium-orotate-5-mg" TargetMode="External" Id="rId3145" /><Relationship Type="http://schemas.openxmlformats.org/officeDocument/2006/relationships/hyperlink" Target="https://www.seekinghealth.com/products/lithium-orotate-5-mg" TargetMode="External" Id="rId3146" /><Relationship Type="http://schemas.openxmlformats.org/officeDocument/2006/relationships/hyperlink" Target="https://www.seekinghealth.com/products/lithium-orotate-5-mg" TargetMode="External" Id="rId3147" /><Relationship Type="http://schemas.openxmlformats.org/officeDocument/2006/relationships/hyperlink" Target="https://www.seekinghealth.com/products/lithium-orotate-5-mg" TargetMode="External" Id="rId3148" /><Relationship Type="http://schemas.openxmlformats.org/officeDocument/2006/relationships/hyperlink" Target="https://www.seekinghealth.com/products/lithium-orotate-5-mg" TargetMode="External" Id="rId3149" /><Relationship Type="http://schemas.openxmlformats.org/officeDocument/2006/relationships/hyperlink" Target="https://www.seekinghealth.com/products/lithium-orotate-5-mg" TargetMode="External" Id="rId3150" /><Relationship Type="http://schemas.openxmlformats.org/officeDocument/2006/relationships/hyperlink" Target="https://www.seekinghealth.com/products/lithium-orotate-5-mg" TargetMode="External" Id="rId3151" /><Relationship Type="http://schemas.openxmlformats.org/officeDocument/2006/relationships/hyperlink" Target="https://www.seekinghealth.com/products/lithium-orotate-5-mg" TargetMode="External" Id="rId3152" /><Relationship Type="http://schemas.openxmlformats.org/officeDocument/2006/relationships/hyperlink" Target="https://www.seekinghealth.com/products/lithium-orotate-5-mg" TargetMode="External" Id="rId3153" /><Relationship Type="http://schemas.openxmlformats.org/officeDocument/2006/relationships/hyperlink" Target="https://www.seekinghealth.com/products/lithium-orotate-5-mg" TargetMode="External" Id="rId3154" /><Relationship Type="http://schemas.openxmlformats.org/officeDocument/2006/relationships/hyperlink" Target="https://www.nowfoods.com/products/supplements/plant-sterols" TargetMode="External" Id="rId3155" /><Relationship Type="http://schemas.openxmlformats.org/officeDocument/2006/relationships/hyperlink" Target="https://www.nowfoods.com/products/supplements/plant-sterols" TargetMode="External" Id="rId3156" /><Relationship Type="http://schemas.openxmlformats.org/officeDocument/2006/relationships/hyperlink" Target="https://www.nowfoods.com/products/supplements/plant-sterols" TargetMode="External" Id="rId3157" /><Relationship Type="http://schemas.openxmlformats.org/officeDocument/2006/relationships/hyperlink" Target="https://www.nowfoods.com/products/supplements/plant-sterols" TargetMode="External" Id="rId3158" /><Relationship Type="http://schemas.openxmlformats.org/officeDocument/2006/relationships/hyperlink" Target="https://www.nowfoods.com/products/supplements/plant-sterols" TargetMode="External" Id="rId3159" /><Relationship Type="http://schemas.openxmlformats.org/officeDocument/2006/relationships/hyperlink" Target="https://www.nowfoods.com/products/supplements/plant-sterols" TargetMode="External" Id="rId3160" /><Relationship Type="http://schemas.openxmlformats.org/officeDocument/2006/relationships/hyperlink" Target="https://www.nowfoods.com/products/supplements/plant-sterols" TargetMode="External" Id="rId3161" /><Relationship Type="http://schemas.openxmlformats.org/officeDocument/2006/relationships/hyperlink" Target="https://www.nowfoods.com/products/supplements/plant-sterols" TargetMode="External" Id="rId3162" /><Relationship Type="http://schemas.openxmlformats.org/officeDocument/2006/relationships/hyperlink" Target="https://www.nowfoods.com/products/supplements/plant-sterols" TargetMode="External" Id="rId3163" /><Relationship Type="http://schemas.openxmlformats.org/officeDocument/2006/relationships/hyperlink" Target="https://www.nowfoods.com/products/supplements/plant-sterols" TargetMode="External" Id="rId3164" /><Relationship Type="http://schemas.openxmlformats.org/officeDocument/2006/relationships/hyperlink" Target="https://www.nowfoods.com/products/supplements/plant-sterols" TargetMode="External" Id="rId3165" /><Relationship Type="http://schemas.openxmlformats.org/officeDocument/2006/relationships/hyperlink" Target="https://www.nowfoods.com/products/supplements/plant-sterols" TargetMode="External" Id="rId3166" /><Relationship Type="http://schemas.openxmlformats.org/officeDocument/2006/relationships/hyperlink" Target="https://www.nowfoods.com/products/supplements/plant-sterols" TargetMode="External" Id="rId3167" /><Relationship Type="http://schemas.openxmlformats.org/officeDocument/2006/relationships/hyperlink" Target="https://www.nowfoods.com/products/supplements/plant-sterols" TargetMode="External" Id="rId3168" /><Relationship Type="http://schemas.openxmlformats.org/officeDocument/2006/relationships/hyperlink" Target="https://www.nowfoods.com/products/supplements/plant-sterols" TargetMode="External" Id="rId3169" /><Relationship Type="http://schemas.openxmlformats.org/officeDocument/2006/relationships/hyperlink" Target="https://www.nowfoods.com/products/supplements/plant-sterols" TargetMode="External" Id="rId3170" /><Relationship Type="http://schemas.openxmlformats.org/officeDocument/2006/relationships/hyperlink" Target="https://www.nowfoods.com/products/supplements/plant-sterols" TargetMode="External" Id="rId3171" /><Relationship Type="http://schemas.openxmlformats.org/officeDocument/2006/relationships/hyperlink" Target="https://www.nowfoods.com/products/supplements/plant-sterols" TargetMode="External" Id="rId3172" /><Relationship Type="http://schemas.openxmlformats.org/officeDocument/2006/relationships/hyperlink" Target="https://www.nowfoods.com/products/supplements/plant-sterols" TargetMode="External" Id="rId3173" /><Relationship Type="http://schemas.openxmlformats.org/officeDocument/2006/relationships/hyperlink" Target="https://www.nowfoods.com/products/supplements/plant-sterols" TargetMode="External" Id="rId3174" /><Relationship Type="http://schemas.openxmlformats.org/officeDocument/2006/relationships/hyperlink" Target="https://www.nowfoods.com/products/supplements/plant-sterols" TargetMode="External" Id="rId3175" /><Relationship Type="http://schemas.openxmlformats.org/officeDocument/2006/relationships/hyperlink" Target="https://www.nowfoods.com/products/supplements/plant-sterols" TargetMode="External" Id="rId3176" /><Relationship Type="http://schemas.openxmlformats.org/officeDocument/2006/relationships/hyperlink" Target="https://www.nowfoods.com/products/supplements/plant-sterols" TargetMode="External" Id="rId3177" /><Relationship Type="http://schemas.openxmlformats.org/officeDocument/2006/relationships/hyperlink" Target="https://www.nowfoods.com/products/supplements/plant-sterols" TargetMode="External" Id="rId3178" /><Relationship Type="http://schemas.openxmlformats.org/officeDocument/2006/relationships/hyperlink" Target="https://www.nowfoods.com/products/supplements/plant-sterols" TargetMode="External" Id="rId3179" /><Relationship Type="http://schemas.openxmlformats.org/officeDocument/2006/relationships/hyperlink" Target="https://www.nowfoods.com/products/supplements/plant-sterols" TargetMode="External" Id="rId3180" /><Relationship Type="http://schemas.openxmlformats.org/officeDocument/2006/relationships/hyperlink" Target="https://www.nowfoods.com/products/supplements/plant-sterols" TargetMode="External" Id="rId3181" /><Relationship Type="http://schemas.openxmlformats.org/officeDocument/2006/relationships/hyperlink" Target="https://www.nowfoods.com/products/supplements/plant-sterols" TargetMode="External" Id="rId3182" /><Relationship Type="http://schemas.openxmlformats.org/officeDocument/2006/relationships/hyperlink" Target="https://www.nowfoods.com/products/supplements/plant-sterols" TargetMode="External" Id="rId3183" /><Relationship Type="http://schemas.openxmlformats.org/officeDocument/2006/relationships/hyperlink" Target="https://www.nowfoods.com/products/supplements/plant-sterols" TargetMode="External" Id="rId3184" /><Relationship Type="http://schemas.openxmlformats.org/officeDocument/2006/relationships/hyperlink" Target="https://www.nowfoods.com/products/supplements/plant-sterols" TargetMode="External" Id="rId3185" /><Relationship Type="http://schemas.openxmlformats.org/officeDocument/2006/relationships/hyperlink" Target="https://www.nowfoods.com/products/supplements/plant-sterols" TargetMode="External" Id="rId3186" /><Relationship Type="http://schemas.openxmlformats.org/officeDocument/2006/relationships/hyperlink" Target="https://www.nowfoods.com/products/supplements/plant-sterols" TargetMode="External" Id="rId3187" /><Relationship Type="http://schemas.openxmlformats.org/officeDocument/2006/relationships/hyperlink" Target="https://www.nowfoods.com/products/supplements/plant-sterols" TargetMode="External" Id="rId3188" /><Relationship Type="http://schemas.openxmlformats.org/officeDocument/2006/relationships/hyperlink" Target="https://www.nowfoods.com/products/supplements/plant-sterols" TargetMode="External" Id="rId3189" /><Relationship Type="http://schemas.openxmlformats.org/officeDocument/2006/relationships/hyperlink" Target="https://www.nowfoods.com/products/supplements/plant-sterols" TargetMode="External" Id="rId3190" /><Relationship Type="http://schemas.openxmlformats.org/officeDocument/2006/relationships/hyperlink" Target="https://www.nowfoods.com/products/supplements/plant-sterols" TargetMode="External" Id="rId3191" /><Relationship Type="http://schemas.openxmlformats.org/officeDocument/2006/relationships/hyperlink" Target="https://www.nowfoods.com/products/supplements/plant-sterols" TargetMode="External" Id="rId3192" /><Relationship Type="http://schemas.openxmlformats.org/officeDocument/2006/relationships/hyperlink" Target="https://www.nowfoods.com/products/supplements/plant-sterols" TargetMode="External" Id="rId3193" /><Relationship Type="http://schemas.openxmlformats.org/officeDocument/2006/relationships/hyperlink" Target="https://www.nowfoods.com/products/supplements/plant-sterols" TargetMode="External" Id="rId3194" /><Relationship Type="http://schemas.openxmlformats.org/officeDocument/2006/relationships/hyperlink" Target="https://www.nowfoods.com/products/supplements/plant-sterols" TargetMode="External" Id="rId3195" /><Relationship Type="http://schemas.openxmlformats.org/officeDocument/2006/relationships/hyperlink" Target="https://www.nowfoods.com/products/supplements/plant-sterols" TargetMode="External" Id="rId3196" /><Relationship Type="http://schemas.openxmlformats.org/officeDocument/2006/relationships/hyperlink" Target="https://www.nowfoods.com/products/supplements/plant-sterols" TargetMode="External" Id="rId3197" /><Relationship Type="http://schemas.openxmlformats.org/officeDocument/2006/relationships/hyperlink" Target="https://www.nowfoods.com/products/supplements/plant-sterols" TargetMode="External" Id="rId3198" /><Relationship Type="http://schemas.openxmlformats.org/officeDocument/2006/relationships/hyperlink" Target="https://www.nowfoods.com/products/supplements/plant-sterols" TargetMode="External" Id="rId3199" /><Relationship Type="http://schemas.openxmlformats.org/officeDocument/2006/relationships/hyperlink" Target="https://www.nowfoods.com/products/supplements/plant-sterols" TargetMode="External" Id="rId3200" /><Relationship Type="http://schemas.openxmlformats.org/officeDocument/2006/relationships/hyperlink" Target="https://www.nowfoods.com/products/supplements/plant-sterols" TargetMode="External" Id="rId3201" /><Relationship Type="http://schemas.openxmlformats.org/officeDocument/2006/relationships/hyperlink" Target="https://www.nowfoods.com/products/supplements/plant-sterols" TargetMode="External" Id="rId3202" /><Relationship Type="http://schemas.openxmlformats.org/officeDocument/2006/relationships/hyperlink" Target="https://www.nowfoods.com/products/supplements/plant-sterols" TargetMode="External" Id="rId3203" /><Relationship Type="http://schemas.openxmlformats.org/officeDocument/2006/relationships/hyperlink" Target="https://www.nowfoods.com/products/supplements/plant-sterols" TargetMode="External" Id="rId3204" /><Relationship Type="http://schemas.openxmlformats.org/officeDocument/2006/relationships/hyperlink" Target="https://www.nowfoods.com/products/supplements/plant-sterols" TargetMode="External" Id="rId3205" /><Relationship Type="http://schemas.openxmlformats.org/officeDocument/2006/relationships/hyperlink" Target="https://www.nowfoods.com/products/supplements/plant-sterols" TargetMode="External" Id="rId3206" /><Relationship Type="http://schemas.openxmlformats.org/officeDocument/2006/relationships/hyperlink" Target="https://www.nowfoods.com/products/supplements/plant-sterols" TargetMode="External" Id="rId3207" /><Relationship Type="http://schemas.openxmlformats.org/officeDocument/2006/relationships/hyperlink" Target="https://www.nowfoods.com/products/supplements/plant-sterols" TargetMode="External" Id="rId3208" /><Relationship Type="http://schemas.openxmlformats.org/officeDocument/2006/relationships/hyperlink" Target="https://www.nowfoods.com/products/supplements/plant-sterols" TargetMode="External" Id="rId3209" /><Relationship Type="http://schemas.openxmlformats.org/officeDocument/2006/relationships/hyperlink" Target="https://www.nowfoods.com/products/supplements/plant-sterols" TargetMode="External" Id="rId3210" /><Relationship Type="http://schemas.openxmlformats.org/officeDocument/2006/relationships/hyperlink" Target="https://www.nowfoods.com/products/supplements/plant-sterols" TargetMode="External" Id="rId3211" /><Relationship Type="http://schemas.openxmlformats.org/officeDocument/2006/relationships/hyperlink" Target="https://www.nowfoods.com/products/supplements/plant-sterols" TargetMode="External" Id="rId3212" /><Relationship Type="http://schemas.openxmlformats.org/officeDocument/2006/relationships/hyperlink" Target="https://www.nowfoods.com/products/supplements/plant-sterols" TargetMode="External" Id="rId3213" /><Relationship Type="http://schemas.openxmlformats.org/officeDocument/2006/relationships/hyperlink" Target="https://www.nowfoods.com/products/supplements/plant-sterols" TargetMode="External" Id="rId3214" /><Relationship Type="http://schemas.openxmlformats.org/officeDocument/2006/relationships/hyperlink" Target="https://www.nowfoods.com/products/supplements/plant-sterols" TargetMode="External" Id="rId3215" /><Relationship Type="http://schemas.openxmlformats.org/officeDocument/2006/relationships/hyperlink" Target="https://www.nowfoods.com/products/supplements/plant-sterols" TargetMode="External" Id="rId3216" /><Relationship Type="http://schemas.openxmlformats.org/officeDocument/2006/relationships/hyperlink" Target="https://www.nowfoods.com/products/supplements/plant-sterols" TargetMode="External" Id="rId3217" /><Relationship Type="http://schemas.openxmlformats.org/officeDocument/2006/relationships/hyperlink" Target="https://www.nowfoods.com/products/supplements/plant-sterols" TargetMode="External" Id="rId3218" /><Relationship Type="http://schemas.openxmlformats.org/officeDocument/2006/relationships/hyperlink" Target="https://www.nowfoods.com/products/supplements/plant-sterols" TargetMode="External" Id="rId3219" /><Relationship Type="http://schemas.openxmlformats.org/officeDocument/2006/relationships/hyperlink" Target="https://www.nowfoods.com/products/supplements/plant-sterols" TargetMode="External" Id="rId3220" /><Relationship Type="http://schemas.openxmlformats.org/officeDocument/2006/relationships/hyperlink" Target="https://www.nowfoods.com/products/supplements/plant-sterols" TargetMode="External" Id="rId3221" /><Relationship Type="http://schemas.openxmlformats.org/officeDocument/2006/relationships/hyperlink" Target="https://www.nowfoods.com/products/supplements/plant-sterols" TargetMode="External" Id="rId3222" /><Relationship Type="http://schemas.openxmlformats.org/officeDocument/2006/relationships/hyperlink" Target="https://www.nowfoods.com/products/supplements/plant-sterols" TargetMode="External" Id="rId3223" /><Relationship Type="http://schemas.openxmlformats.org/officeDocument/2006/relationships/hyperlink" Target="https://www.nowfoods.com/products/supplements/plant-sterols" TargetMode="External" Id="rId3224" /><Relationship Type="http://schemas.openxmlformats.org/officeDocument/2006/relationships/hyperlink" Target="https://www.nowfoods.com/products/supplements/plant-sterols" TargetMode="External" Id="rId3225" /><Relationship Type="http://schemas.openxmlformats.org/officeDocument/2006/relationships/hyperlink" Target="https://www.nowfoods.com/products/supplements/plant-sterols" TargetMode="External" Id="rId3226" /><Relationship Type="http://schemas.openxmlformats.org/officeDocument/2006/relationships/hyperlink" Target="https://www.nowfoods.com/products/supplements/plant-sterols" TargetMode="External" Id="rId3227" /><Relationship Type="http://schemas.openxmlformats.org/officeDocument/2006/relationships/hyperlink" Target="https://www.nowfoods.com/products/supplements/plant-sterols" TargetMode="External" Id="rId3228" /><Relationship Type="http://schemas.openxmlformats.org/officeDocument/2006/relationships/hyperlink" Target="https://www.nowfoods.com/products/supplements/plant-sterols" TargetMode="External" Id="rId3229" /><Relationship Type="http://schemas.openxmlformats.org/officeDocument/2006/relationships/hyperlink" Target="https://www.nowfoods.com/products/supplements/plant-sterols" TargetMode="External" Id="rId3230" /><Relationship Type="http://schemas.openxmlformats.org/officeDocument/2006/relationships/hyperlink" Target="https://www.nowfoods.com/products/supplements/plant-sterols" TargetMode="External" Id="rId3231" /><Relationship Type="http://schemas.openxmlformats.org/officeDocument/2006/relationships/hyperlink" Target="https://www.nowfoods.com/products/supplements/plant-sterols" TargetMode="External" Id="rId3232" /><Relationship Type="http://schemas.openxmlformats.org/officeDocument/2006/relationships/hyperlink" Target="https://www.nowfoods.com/products/supplements/plant-sterols" TargetMode="External" Id="rId3233" /><Relationship Type="http://schemas.openxmlformats.org/officeDocument/2006/relationships/hyperlink" Target="https://www.nowfoods.com/products/supplements/plant-sterols" TargetMode="External" Id="rId3234" /><Relationship Type="http://schemas.openxmlformats.org/officeDocument/2006/relationships/hyperlink" Target="https://www.nowfoods.com/products/supplements/plant-sterols" TargetMode="External" Id="rId3235" /><Relationship Type="http://schemas.openxmlformats.org/officeDocument/2006/relationships/hyperlink" Target="https://www.nowfoods.com/products/supplements/plant-sterols" TargetMode="External" Id="rId3236" /><Relationship Type="http://schemas.openxmlformats.org/officeDocument/2006/relationships/hyperlink" Target="https://www.nowfoods.com/products/supplements/plant-sterols" TargetMode="External" Id="rId323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2:CZ81"/>
  <sheetViews>
    <sheetView showFormulas="0" showGridLines="1" showRowColHeaders="1" showZeros="1" rightToLeft="0" tabSelected="1" showOutlineSymbols="1" defaultGridColor="1" view="normal" topLeftCell="A1" colorId="64" zoomScale="100" zoomScaleNormal="100" zoomScalePageLayoutView="100" workbookViewId="0">
      <pane xSplit="8" ySplit="7" topLeftCell="I23" activePane="bottomRight" state="frozen"/>
      <selection pane="topLeft" activeCell="A1" activeCellId="0" sqref="A1"/>
      <selection pane="topRight" activeCell="I1" activeCellId="0" sqref="I1"/>
      <selection pane="bottomLeft" activeCell="A23" activeCellId="0" sqref="A23"/>
      <selection pane="bottomRight" activeCell="A1" activeCellId="0" sqref="A1"/>
    </sheetView>
  </sheetViews>
  <sheetFormatPr baseColWidth="8" defaultColWidth="8.34375" defaultRowHeight="15" customHeight="0" zeroHeight="0" outlineLevelRow="0"/>
  <cols>
    <col width="2" customWidth="1" style="159" min="1" max="1"/>
    <col width="4" customWidth="1" style="159" min="2" max="2"/>
    <col width="25" customWidth="1" style="159" min="3" max="3"/>
    <col width="13" customWidth="1" style="159" min="4" max="4"/>
    <col width="7" customWidth="1" style="159" min="5" max="5"/>
    <col width="10" customWidth="1" style="159" min="6" max="6"/>
    <col width="22" customWidth="1" style="159" min="7" max="7"/>
    <col width="18" customWidth="1" style="159" min="8" max="8"/>
    <col width="7" customWidth="1" style="159" min="9" max="10"/>
    <col width="10.49" customWidth="1" style="159" min="11" max="11"/>
    <col width="7" customWidth="1" style="159" min="12" max="13"/>
    <col width="14.63" customWidth="1" style="159" min="14" max="14"/>
    <col width="7" customWidth="1" style="159" min="15" max="26"/>
    <col width="10" customWidth="1" style="159" min="27" max="27"/>
    <col width="7" customWidth="1" style="159" min="28" max="89"/>
  </cols>
  <sheetData>
    <row r="2" ht="16.15" customHeight="1" s="160">
      <c r="B2" s="161" t="inlineStr">
        <is>
          <t>PERFORMANCE SHAKE v15 — HORMONE-SAFE BLACKOUT CHOCOLATE</t>
        </is>
      </c>
    </row>
    <row r="3" ht="15" customHeight="1" s="160">
      <c r="B3" s="162" t="inlineStr">
        <is>
          <t>33 ingredients + 1 optional | 8 supplements (Thorne Elite AM/PM) | Iron EOD | Milk kept (IGF-1 retest @ 8wk) | 2026-04-12</t>
        </is>
      </c>
    </row>
    <row r="5" ht="21.75" customHeight="1" s="160">
      <c r="B5" s="163" t="inlineStr">
        <is>
          <t>SHAKE INGREDIENTS (33 items + 1 optional)</t>
        </is>
      </c>
      <c r="CL5" s="164" t="n"/>
      <c r="CM5" s="164" t="n"/>
      <c r="CN5" s="164" t="n"/>
      <c r="CO5" s="164" t="n"/>
      <c r="CP5" s="164" t="n"/>
      <c r="CQ5" s="164" t="n"/>
      <c r="CR5" s="164" t="n"/>
      <c r="CS5" s="164" t="n"/>
      <c r="CT5" s="164" t="n"/>
      <c r="CU5" s="164" t="n"/>
      <c r="CV5" s="164" t="n"/>
    </row>
    <row r="6" ht="15.75" customHeight="1" s="160">
      <c r="B6" s="165" t="inlineStr">
        <is>
          <t>INFO</t>
        </is>
      </c>
      <c r="I6" s="159" t="n"/>
      <c r="AC6" s="159" t="n"/>
      <c r="AR6" s="159" t="n"/>
      <c r="BG6" s="159" t="n"/>
      <c r="BI6" s="159" t="n"/>
      <c r="BY6" s="159" t="n"/>
      <c r="CH6" s="159" t="n"/>
    </row>
    <row r="7" ht="37.5" customHeight="1" s="160">
      <c r="B7" s="166" t="inlineStr">
        <is>
          <t>#</t>
        </is>
      </c>
      <c r="C7" s="166" t="inlineStr">
        <is>
          <t>Ingredient</t>
        </is>
      </c>
      <c r="D7" s="166" t="inlineStr">
        <is>
          <t>Type</t>
        </is>
      </c>
      <c r="E7" s="166" t="inlineStr">
        <is>
          <t>Amt</t>
        </is>
      </c>
      <c r="F7" s="166" t="inlineStr">
        <is>
          <t>Unit</t>
        </is>
      </c>
      <c r="G7" s="166" t="inlineStr">
        <is>
          <t>Product</t>
        </is>
      </c>
      <c r="H7" s="166" t="inlineStr">
        <is>
          <t>Store</t>
        </is>
      </c>
      <c r="I7" s="166" t="inlineStr">
        <is>
          <t>Price
(pkg)</t>
        </is>
      </c>
      <c r="J7" s="166" t="inlineStr">
        <is>
          <t>Restock
(days/pkg)</t>
        </is>
      </c>
      <c r="K7" s="166" t="inlineStr">
        <is>
          <t>$/Month
(1 shake/day)</t>
        </is>
      </c>
      <c r="L7" s="167" t="inlineStr">
        <is>
          <t>Pkg Size
(g/ml)</t>
        </is>
      </c>
      <c r="M7" s="167" t="inlineStr">
        <is>
          <t>Pkg Price
($)</t>
        </is>
      </c>
      <c r="N7" s="166" t="inlineStr">
        <is>
          <t>Purpose</t>
        </is>
      </c>
      <c r="O7" s="168" t="inlineStr">
        <is>
          <t>Cal</t>
        </is>
      </c>
      <c r="P7" s="168" t="inlineStr">
        <is>
          <t>Total
Prot</t>
        </is>
      </c>
      <c r="Q7" s="168" t="inlineStr">
        <is>
          <t>Whey
(g)</t>
        </is>
      </c>
      <c r="R7" s="168" t="inlineStr">
        <is>
          <t>Casein
(g)</t>
        </is>
      </c>
      <c r="S7" s="168" t="inlineStr">
        <is>
          <t>Egg
(g)</t>
        </is>
      </c>
      <c r="T7" s="168" t="inlineStr">
        <is>
          <t>Collagen
(g)</t>
        </is>
      </c>
      <c r="U7" s="168" t="inlineStr">
        <is>
          <t>Plant
(g)</t>
        </is>
      </c>
      <c r="V7" s="166" t="inlineStr">
        <is>
          <t>DIAAS
Score</t>
        </is>
      </c>
      <c r="W7" s="168" t="inlineStr">
        <is>
          <t>Total
Fat</t>
        </is>
      </c>
      <c r="X7" s="168" t="inlineStr">
        <is>
          <t>Sat
(g)</t>
        </is>
      </c>
      <c r="Y7" s="168" t="inlineStr">
        <is>
          <t>MUFA
(g)</t>
        </is>
      </c>
      <c r="Z7" s="168" t="inlineStr">
        <is>
          <t>PUFA
(g)</t>
        </is>
      </c>
      <c r="AA7" s="168" t="inlineStr">
        <is>
          <t>ALA
(g)</t>
        </is>
      </c>
      <c r="AB7" s="168" t="inlineStr">
        <is>
          <t>Ω-6
(g)</t>
        </is>
      </c>
      <c r="AC7" s="168" t="inlineStr">
        <is>
          <t>Trans
(g)</t>
        </is>
      </c>
      <c r="AD7" s="168" t="inlineStr">
        <is>
          <t>Total
Carbs</t>
        </is>
      </c>
      <c r="AE7" s="168" t="inlineStr">
        <is>
          <t>Sugars
(Simple)</t>
        </is>
      </c>
      <c r="AF7" s="166" t="inlineStr">
        <is>
          <t>Sugar
Alcohol (g)</t>
        </is>
      </c>
      <c r="AG7" s="168" t="inlineStr">
        <is>
          <t>Complex
(Starch)</t>
        </is>
      </c>
      <c r="AH7" s="168" t="inlineStr">
        <is>
          <t>Fiber
(g)</t>
        </is>
      </c>
      <c r="AI7" s="168" t="inlineStr">
        <is>
          <t>Net
Carbs</t>
        </is>
      </c>
      <c r="AJ7" s="168" t="inlineStr">
        <is>
          <t>Choline
(mg)</t>
        </is>
      </c>
      <c r="AK7" s="168" t="inlineStr">
        <is>
          <t>Ca
(mg)</t>
        </is>
      </c>
      <c r="AL7" s="168" t="inlineStr">
        <is>
          <t>Mg
(mg)</t>
        </is>
      </c>
      <c r="AM7" s="168" t="inlineStr">
        <is>
          <t>K
(mg)</t>
        </is>
      </c>
      <c r="AN7" s="168" t="inlineStr">
        <is>
          <t>P
(mg)</t>
        </is>
      </c>
      <c r="AO7" s="168" t="inlineStr">
        <is>
          <t>Na
(mg)</t>
        </is>
      </c>
      <c r="AP7" s="168" t="inlineStr">
        <is>
          <t>Mo
(mcg)</t>
        </is>
      </c>
      <c r="AQ7" s="168" t="inlineStr">
        <is>
          <t>Fe
(mg)</t>
        </is>
      </c>
      <c r="AR7" s="168" t="inlineStr">
        <is>
          <t>Zn
(mg)</t>
        </is>
      </c>
      <c r="AS7" s="168" t="inlineStr">
        <is>
          <t>Se
(mcg)</t>
        </is>
      </c>
      <c r="AT7" s="168" t="inlineStr">
        <is>
          <t>Cu
(mcg)</t>
        </is>
      </c>
      <c r="AU7" s="168" t="inlineStr">
        <is>
          <t>Mn
(mg)</t>
        </is>
      </c>
      <c r="AV7" s="168" t="inlineStr">
        <is>
          <t>Cr
(mcg)</t>
        </is>
      </c>
      <c r="AW7" s="168" t="inlineStr">
        <is>
          <t>Iodine
(mcg)</t>
        </is>
      </c>
      <c r="AX7" s="168" t="inlineStr">
        <is>
          <t>Boron
(mg)</t>
        </is>
      </c>
      <c r="AY7" s="168" t="inlineStr">
        <is>
          <t>Vit A
(mcg)</t>
        </is>
      </c>
      <c r="AZ7" s="168" t="inlineStr">
        <is>
          <t>Vit C
(mg)</t>
        </is>
      </c>
      <c r="BA7" s="168" t="inlineStr">
        <is>
          <t>Vit D
(mcg)</t>
        </is>
      </c>
      <c r="BB7" s="168" t="inlineStr">
        <is>
          <t>Vit E
(mg)</t>
        </is>
      </c>
      <c r="BC7" s="168" t="inlineStr">
        <is>
          <t>K1
(mcg)</t>
        </is>
      </c>
      <c r="BD7" s="168" t="inlineStr">
        <is>
          <t>K2
MK-4</t>
        </is>
      </c>
      <c r="BE7" s="168" t="inlineStr">
        <is>
          <t>K2
MK-7</t>
        </is>
      </c>
      <c r="BF7" s="168" t="inlineStr">
        <is>
          <t>B1
(mg)</t>
        </is>
      </c>
      <c r="BG7" s="168" t="inlineStr">
        <is>
          <t>B2
(mg)</t>
        </is>
      </c>
      <c r="BH7" s="168" t="inlineStr">
        <is>
          <t>B3
(mg)</t>
        </is>
      </c>
      <c r="BI7" s="168" t="inlineStr">
        <is>
          <t>B6
(mg)</t>
        </is>
      </c>
      <c r="BJ7" s="168" t="inlineStr">
        <is>
          <t>Folate
(mcg)</t>
        </is>
      </c>
      <c r="BK7" s="168" t="inlineStr">
        <is>
          <t>B12
(mcg)</t>
        </is>
      </c>
      <c r="BL7" s="168" t="inlineStr">
        <is>
          <t>Biotin
(mcg)</t>
        </is>
      </c>
      <c r="BM7" s="168" t="inlineStr">
        <is>
          <t>Panto
(mg)</t>
        </is>
      </c>
      <c r="BN7" s="168" t="inlineStr">
        <is>
          <t>EPA
(mg)</t>
        </is>
      </c>
      <c r="BO7" s="168" t="inlineStr">
        <is>
          <t>DHA
(mg)</t>
        </is>
      </c>
      <c r="BP7" s="168" t="inlineStr">
        <is>
          <t>Antho
(mg)</t>
        </is>
      </c>
      <c r="BQ7" s="168" t="inlineStr">
        <is>
          <t>EGCG
(mg)</t>
        </is>
      </c>
      <c r="BR7" s="168" t="inlineStr">
        <is>
          <t>Cocoa
Flav</t>
        </is>
      </c>
      <c r="BS7" s="168" t="inlineStr">
        <is>
          <t>Ellag
(mg)</t>
        </is>
      </c>
      <c r="BT7" s="168" t="inlineStr">
        <is>
          <t>ProAC
(mg)</t>
        </is>
      </c>
      <c r="BU7" s="168" t="inlineStr">
        <is>
          <t>HydroT
(mg)</t>
        </is>
      </c>
      <c r="BV7" s="168" t="inlineStr">
        <is>
          <t>Querc
(mg)</t>
        </is>
      </c>
      <c r="BW7" s="168" t="inlineStr">
        <is>
          <t>Lignans
(mg)</t>
        </is>
      </c>
      <c r="BX7" s="168" t="inlineStr">
        <is>
          <t>Lutein
(mcg)</t>
        </is>
      </c>
      <c r="BY7" s="168" t="inlineStr">
        <is>
          <t>Zeax
(mcg)</t>
        </is>
      </c>
      <c r="BZ7" s="168" t="inlineStr">
        <is>
          <t>Lyco
(mg)</t>
        </is>
      </c>
      <c r="CA7" s="168" t="inlineStr">
        <is>
          <t>Astax
(mg)</t>
        </is>
      </c>
      <c r="CB7" s="168" t="inlineStr">
        <is>
          <t>Sulfo
(mg)</t>
        </is>
      </c>
      <c r="CC7" s="168" t="inlineStr">
        <is>
          <t>PhytoSt
(mg)</t>
        </is>
      </c>
      <c r="CD7" s="168" t="inlineStr">
        <is>
          <t>Nitrate
(mg)</t>
        </is>
      </c>
      <c r="CE7" s="168" t="inlineStr">
        <is>
          <t>Sperm
(mg)</t>
        </is>
      </c>
      <c r="CF7" s="168" t="inlineStr">
        <is>
          <t>Leucine
(g)</t>
        </is>
      </c>
      <c r="CG7" s="168" t="inlineStr">
        <is>
          <t>Collagen
(g)</t>
        </is>
      </c>
      <c r="CH7" s="168" t="inlineStr">
        <is>
          <t>Prebio
Fiber</t>
        </is>
      </c>
      <c r="CI7" s="168" t="inlineStr">
        <is>
          <t>Taurine
(mg)</t>
        </is>
      </c>
      <c r="CJ7" s="168" t="inlineStr">
        <is>
          <t>CoQ10
(mg)</t>
        </is>
      </c>
      <c r="CK7" s="168" t="inlineStr">
        <is>
          <t>Creatine
(g)</t>
        </is>
      </c>
      <c r="CL7" s="168" t="inlineStr">
        <is>
          <t>Lithium
(mg)</t>
        </is>
      </c>
      <c r="CM7" s="168" t="inlineStr">
        <is>
          <t>Probio
(B AFU)</t>
        </is>
      </c>
      <c r="CN7" s="168" t="inlineStr">
        <is>
          <t>Caffeine
(mg)</t>
        </is>
      </c>
      <c r="CO7" s="168" t="inlineStr">
        <is>
          <t>Curcumin
Phyto</t>
        </is>
      </c>
      <c r="CP7" s="168" t="inlineStr">
        <is>
          <t>GreenTea
Phyto</t>
        </is>
      </c>
      <c r="CQ7" s="168" t="inlineStr">
        <is>
          <t>d-Gamma
Tocoph</t>
        </is>
      </c>
      <c r="CR7" s="168" t="inlineStr">
        <is>
          <t>Prop
Blend</t>
        </is>
      </c>
      <c r="CS7" s="169" t="inlineStr">
        <is>
          <t>Lead
(Pb)
(mcg/day)</t>
        </is>
      </c>
      <c r="CT7" s="169" t="inlineStr">
        <is>
          <t>Cadmium
(Cd)
(mcg/day)</t>
        </is>
      </c>
      <c r="CU7" s="169" t="inlineStr">
        <is>
          <t>Arsenic
(As)
(mcg/day)</t>
        </is>
      </c>
      <c r="CV7" s="169" t="inlineStr">
        <is>
          <t>Mercury
(Hg)
(mcg/day)</t>
        </is>
      </c>
    </row>
    <row r="8" ht="15" customHeight="1" s="160">
      <c r="B8" s="170" t="n">
        <v>1</v>
      </c>
      <c r="C8" s="170" t="inlineStr">
        <is>
          <t>Whole Milk</t>
        </is>
      </c>
      <c r="D8" s="170" t="inlineStr">
        <is>
          <t>Whole Food</t>
        </is>
      </c>
      <c r="E8" s="170" t="n">
        <v>480</v>
      </c>
      <c r="F8" s="170" t="inlineStr">
        <is>
          <t>ml (2 cups)</t>
        </is>
      </c>
      <c r="G8" s="170" t="inlineStr">
        <is>
          <t>Maple Hill 100% Grass-Fed Organic Whole Milk (half gal, 64oz)</t>
        </is>
      </c>
      <c r="H8" s="170" t="inlineStr">
        <is>
          <t>Amazon (WFM)</t>
        </is>
      </c>
      <c r="I8" s="171" t="inlineStr">
        <is>
          <t>$7.49/half gal</t>
        </is>
      </c>
      <c r="J8" s="172">
        <f>ROUND(L8/E8,0)</f>
        <v/>
      </c>
      <c r="K8" s="173">
        <f>ROUND((30/J8)*M8,2)</f>
        <v/>
      </c>
      <c r="L8" s="171" t="n">
        <v>1893</v>
      </c>
      <c r="M8" s="171" t="n">
        <v>7.49</v>
      </c>
      <c r="N8" s="170" t="inlineStr">
        <is>
          <t>Liquid base — Ca + B12</t>
        </is>
      </c>
      <c r="O8" s="174" t="n">
        <v>340</v>
      </c>
      <c r="P8" s="175" t="n">
        <v>18</v>
      </c>
      <c r="Q8" s="176" t="n">
        <v>3.6</v>
      </c>
      <c r="R8" s="176" t="n">
        <v>14.4</v>
      </c>
      <c r="S8" s="177" t="n">
        <v>0</v>
      </c>
      <c r="T8" s="177" t="n">
        <v>0</v>
      </c>
      <c r="U8" s="177" t="n">
        <v>0</v>
      </c>
      <c r="V8" s="178">
        <f>IF(P8=0,"",ROUND((Q8*1.09+R8*1+S8*1.13+T8*0+U8*0.52)/P8,2))</f>
        <v/>
      </c>
      <c r="W8" s="175" t="n">
        <v>20</v>
      </c>
      <c r="X8" s="175" t="n">
        <v>12</v>
      </c>
      <c r="Y8" s="176" t="n">
        <v>5</v>
      </c>
      <c r="Z8" s="176" t="n">
        <v>1.2</v>
      </c>
      <c r="AA8" s="179" t="n">
        <v>0.235</v>
      </c>
      <c r="AB8" s="179" t="n">
        <v>0.28</v>
      </c>
      <c r="AC8" s="180" t="n">
        <v>0.53</v>
      </c>
      <c r="AD8" s="175" t="n">
        <v>24</v>
      </c>
      <c r="AE8" s="175" t="n">
        <v>18</v>
      </c>
      <c r="AF8" s="181" t="n">
        <v>0</v>
      </c>
      <c r="AG8" s="182">
        <f>AD8-AE8-AF8-AH8</f>
        <v/>
      </c>
      <c r="AH8" s="175" t="n">
        <v>0</v>
      </c>
      <c r="AI8" s="182">
        <f>AD8-AH8-AF8</f>
        <v/>
      </c>
      <c r="AJ8" s="176" t="n">
        <v>88</v>
      </c>
      <c r="AK8" s="175" t="n">
        <v>542</v>
      </c>
      <c r="AL8" s="176" t="n">
        <v>57</v>
      </c>
      <c r="AM8" s="175" t="n">
        <v>682</v>
      </c>
      <c r="AN8" s="176" t="n">
        <v>485</v>
      </c>
      <c r="AO8" s="175" t="n">
        <v>149</v>
      </c>
      <c r="AP8" s="176" t="n">
        <v>43</v>
      </c>
      <c r="AQ8" s="177" t="n">
        <v>2</v>
      </c>
      <c r="AR8" s="183" t="n">
        <v>2.02</v>
      </c>
      <c r="AS8" s="183" t="n">
        <v>9.119999999999999</v>
      </c>
      <c r="AT8" s="183" t="n">
        <v>120</v>
      </c>
      <c r="AU8" s="184" t="n">
        <v>0.019</v>
      </c>
      <c r="AV8" s="185" t="inlineStr">
        <is>
          <t>Unknown</t>
        </is>
      </c>
      <c r="AW8" s="183" t="n">
        <v>165</v>
      </c>
      <c r="AX8" s="186" t="n">
        <v>0.08599999999999999</v>
      </c>
      <c r="AY8" s="183" t="n">
        <v>197</v>
      </c>
      <c r="AZ8" s="177" t="n">
        <v>0</v>
      </c>
      <c r="BA8" s="184" t="n">
        <v>0.2</v>
      </c>
      <c r="BB8" s="183" t="n">
        <v>0.31</v>
      </c>
      <c r="BC8" s="183" t="n">
        <v>1.85</v>
      </c>
      <c r="BD8" s="184" t="n">
        <v>6.2</v>
      </c>
      <c r="BE8" s="177" t="n">
        <v>0</v>
      </c>
      <c r="BF8" s="183" t="n">
        <v>0.269</v>
      </c>
      <c r="BG8" s="183" t="n">
        <v>0.662</v>
      </c>
      <c r="BH8" s="183" t="n">
        <v>0.504</v>
      </c>
      <c r="BI8" s="183" t="n">
        <v>0.293</v>
      </c>
      <c r="BJ8" s="183" t="n">
        <v>24</v>
      </c>
      <c r="BK8" s="183" t="n">
        <v>2.59</v>
      </c>
      <c r="BL8" s="183" t="n">
        <v>18.3</v>
      </c>
      <c r="BM8" s="183" t="n">
        <v>1.74</v>
      </c>
      <c r="BN8" s="187" t="n">
        <v>22</v>
      </c>
      <c r="BO8" s="187" t="n">
        <v>3.7</v>
      </c>
      <c r="BP8" s="177" t="n">
        <v>0</v>
      </c>
      <c r="BQ8" s="177" t="n">
        <v>0</v>
      </c>
      <c r="BR8" s="177" t="n">
        <v>0</v>
      </c>
      <c r="BS8" s="177" t="n">
        <v>0</v>
      </c>
      <c r="BT8" s="177" t="n">
        <v>0</v>
      </c>
      <c r="BU8" s="177" t="n">
        <v>0</v>
      </c>
      <c r="BV8" s="177" t="n">
        <v>0</v>
      </c>
      <c r="BW8" s="177" t="n">
        <v>0</v>
      </c>
      <c r="BX8" s="184" t="n">
        <v>24</v>
      </c>
      <c r="BY8" s="184" t="n">
        <v>5</v>
      </c>
      <c r="BZ8" s="177" t="n">
        <v>0</v>
      </c>
      <c r="CA8" s="177" t="n">
        <v>0</v>
      </c>
      <c r="CB8" s="177" t="n">
        <v>0</v>
      </c>
      <c r="CC8" s="185" t="inlineStr">
        <is>
          <t>Unknown</t>
        </is>
      </c>
      <c r="CD8" s="177" t="n">
        <v>0</v>
      </c>
      <c r="CE8" s="184" t="n">
        <v>0.1</v>
      </c>
      <c r="CF8" s="179" t="n">
        <v>1.44</v>
      </c>
      <c r="CG8" s="177" t="n">
        <v>0</v>
      </c>
      <c r="CH8" s="177" t="n">
        <v>0</v>
      </c>
      <c r="CI8" s="183" t="n">
        <v>2.9</v>
      </c>
      <c r="CJ8" s="184" t="n">
        <v>0.2</v>
      </c>
      <c r="CK8" s="177" t="n">
        <v>0</v>
      </c>
      <c r="CL8" s="185" t="inlineStr">
        <is>
          <t>Unknown</t>
        </is>
      </c>
      <c r="CM8" s="177" t="n">
        <v>0</v>
      </c>
      <c r="CN8" s="177" t="n">
        <v>0</v>
      </c>
      <c r="CO8" s="177" t="n">
        <v>0</v>
      </c>
      <c r="CP8" s="177" t="n">
        <v>0</v>
      </c>
      <c r="CQ8" s="185" t="inlineStr">
        <is>
          <t>Unknown</t>
        </is>
      </c>
      <c r="CR8" s="177" t="n">
        <v>0</v>
      </c>
      <c r="CS8" s="188" t="n">
        <v>0</v>
      </c>
      <c r="CT8" s="188" t="n">
        <v>0</v>
      </c>
      <c r="CU8" s="188" t="n">
        <v>0</v>
      </c>
      <c r="CV8" s="188" t="n">
        <v>0</v>
      </c>
    </row>
    <row r="9" ht="15" customHeight="1" s="160">
      <c r="B9" s="189" t="n">
        <v>2</v>
      </c>
      <c r="C9" s="189" t="inlineStr">
        <is>
          <t>Frozen Mixed Berries</t>
        </is>
      </c>
      <c r="D9" s="189" t="inlineStr">
        <is>
          <t>Whole Food</t>
        </is>
      </c>
      <c r="E9" s="189" t="n">
        <v>220</v>
      </c>
      <c r="F9" s="189" t="inlineStr">
        <is>
          <t>g (1⅓ cups)</t>
        </is>
      </c>
      <c r="G9" s="189" t="inlineStr">
        <is>
          <t>Great Value Organic Berry Medley (16oz, USDA Organic, strawberries, blueberries, raspberries, blackberries)</t>
        </is>
      </c>
      <c r="H9" s="189" t="inlineStr">
        <is>
          <t>Walmart</t>
        </is>
      </c>
      <c r="I9" s="190" t="inlineStr">
        <is>
          <t>$3.52/16 oz</t>
        </is>
      </c>
      <c r="J9" s="191">
        <f>ROUND(L9/E9,0)</f>
        <v/>
      </c>
      <c r="K9" s="192">
        <f>ROUND((30/J9)*M9,2)</f>
        <v/>
      </c>
      <c r="L9" s="190" t="n">
        <v>454</v>
      </c>
      <c r="M9" s="190" t="n">
        <v>3.52</v>
      </c>
      <c r="N9" s="189" t="inlineStr">
        <is>
          <t>Antioxidants + fiber</t>
        </is>
      </c>
      <c r="O9" s="174" t="n">
        <v>103</v>
      </c>
      <c r="P9" s="175" t="n">
        <v>1.7</v>
      </c>
      <c r="Q9" s="177" t="n">
        <v>0</v>
      </c>
      <c r="R9" s="177" t="n">
        <v>0</v>
      </c>
      <c r="S9" s="177" t="n">
        <v>0</v>
      </c>
      <c r="T9" s="177" t="n">
        <v>0</v>
      </c>
      <c r="U9" s="175" t="n">
        <v>1.7</v>
      </c>
      <c r="V9" s="193">
        <f>IF(P9=0,"",ROUND((Q9*1.09+R9*1+S9*1.13+T9*0+U9*0.52)/P9,2))</f>
        <v/>
      </c>
      <c r="W9" s="175" t="n">
        <v>0.86</v>
      </c>
      <c r="X9" s="194" t="n">
        <v>0.05</v>
      </c>
      <c r="Y9" s="176" t="n">
        <v>0.12</v>
      </c>
      <c r="Z9" s="176" t="n">
        <v>0.37</v>
      </c>
      <c r="AA9" s="176" t="n">
        <v>0.15</v>
      </c>
      <c r="AB9" s="176" t="n">
        <v>0.22</v>
      </c>
      <c r="AC9" s="175" t="n">
        <v>0</v>
      </c>
      <c r="AD9" s="175" t="n">
        <v>27.5</v>
      </c>
      <c r="AE9" s="175" t="n">
        <v>15.5</v>
      </c>
      <c r="AF9" s="181" t="n">
        <v>0</v>
      </c>
      <c r="AG9" s="182">
        <f>AD9-AE9-AF9-AH9</f>
        <v/>
      </c>
      <c r="AH9" s="175" t="n">
        <v>8.6</v>
      </c>
      <c r="AI9" s="182">
        <f>AD9-AH9-AF9</f>
        <v/>
      </c>
      <c r="AJ9" s="176" t="n">
        <v>17.4</v>
      </c>
      <c r="AK9" s="175" t="n">
        <v>45</v>
      </c>
      <c r="AL9" s="176" t="n">
        <v>32</v>
      </c>
      <c r="AM9" s="176" t="n">
        <v>283</v>
      </c>
      <c r="AN9" s="176" t="n">
        <v>41</v>
      </c>
      <c r="AO9" s="194" t="n">
        <v>3</v>
      </c>
      <c r="AP9" s="195" t="inlineStr">
        <is>
          <t>Unknown</t>
        </is>
      </c>
      <c r="AQ9" s="177" t="n">
        <v>1.24</v>
      </c>
      <c r="AR9" s="183" t="n">
        <v>0.63</v>
      </c>
      <c r="AS9" s="184" t="n">
        <v>0.77</v>
      </c>
      <c r="AT9" s="183" t="n">
        <v>185</v>
      </c>
      <c r="AU9" s="183" t="n">
        <v>0.96</v>
      </c>
      <c r="AV9" s="185" t="inlineStr">
        <is>
          <t>Unknown</t>
        </is>
      </c>
      <c r="AW9" s="184" t="n">
        <v>0.77</v>
      </c>
      <c r="AX9" s="185" t="inlineStr">
        <is>
          <t>Unknown</t>
        </is>
      </c>
      <c r="AY9" s="184" t="n">
        <v>9</v>
      </c>
      <c r="AZ9" s="183" t="n">
        <v>50</v>
      </c>
      <c r="BA9" s="177" t="n">
        <v>0</v>
      </c>
      <c r="BB9" s="183" t="n">
        <v>1.55</v>
      </c>
      <c r="BC9" s="183" t="n">
        <v>25.4</v>
      </c>
      <c r="BD9" s="177" t="n">
        <v>0</v>
      </c>
      <c r="BE9" s="177" t="n">
        <v>0</v>
      </c>
      <c r="BF9" s="183" t="n">
        <v>0.058</v>
      </c>
      <c r="BG9" s="183" t="n">
        <v>0.076</v>
      </c>
      <c r="BH9" s="183" t="n">
        <v>1.22</v>
      </c>
      <c r="BI9" s="183" t="n">
        <v>0.095</v>
      </c>
      <c r="BJ9" s="183" t="n">
        <v>39</v>
      </c>
      <c r="BK9" s="177" t="n">
        <v>0</v>
      </c>
      <c r="BL9" s="185" t="inlineStr">
        <is>
          <t>Unknown</t>
        </is>
      </c>
      <c r="BM9" s="183" t="n">
        <v>0.46</v>
      </c>
      <c r="BN9" s="177" t="n">
        <v>0</v>
      </c>
      <c r="BO9" s="177" t="n">
        <v>0</v>
      </c>
      <c r="BP9" s="179" t="n">
        <v>187</v>
      </c>
      <c r="BQ9" s="177" t="n">
        <v>0</v>
      </c>
      <c r="BR9" s="177" t="n">
        <v>0</v>
      </c>
      <c r="BS9" s="187" t="n">
        <v>46</v>
      </c>
      <c r="BT9" s="179" t="n">
        <v>174</v>
      </c>
      <c r="BU9" s="177" t="n">
        <v>0</v>
      </c>
      <c r="BV9" s="179" t="n">
        <v>7.4</v>
      </c>
      <c r="BW9" s="184" t="n">
        <v>0.25</v>
      </c>
      <c r="BX9" s="194" t="n">
        <v>134</v>
      </c>
      <c r="BY9" s="194" t="n">
        <v>57</v>
      </c>
      <c r="BZ9" s="177" t="n">
        <v>0</v>
      </c>
      <c r="CA9" s="177" t="n">
        <v>0</v>
      </c>
      <c r="CB9" s="177" t="n">
        <v>0</v>
      </c>
      <c r="CC9" s="185" t="inlineStr">
        <is>
          <t>Unknown</t>
        </is>
      </c>
      <c r="CD9" s="185" t="inlineStr">
        <is>
          <t>Unknown</t>
        </is>
      </c>
      <c r="CE9" s="185" t="inlineStr">
        <is>
          <t>Unknown</t>
        </is>
      </c>
      <c r="CF9" s="176" t="n">
        <v>0.13</v>
      </c>
      <c r="CG9" s="177" t="n">
        <v>0</v>
      </c>
      <c r="CH9" s="183" t="n">
        <v>3</v>
      </c>
      <c r="CI9" s="177" t="n">
        <v>0</v>
      </c>
      <c r="CJ9" s="177" t="n">
        <v>0</v>
      </c>
      <c r="CK9" s="177" t="n">
        <v>0</v>
      </c>
      <c r="CL9" s="185" t="inlineStr">
        <is>
          <t>Unknown</t>
        </is>
      </c>
      <c r="CM9" s="177" t="n">
        <v>0</v>
      </c>
      <c r="CN9" s="177" t="n">
        <v>0</v>
      </c>
      <c r="CO9" s="177" t="n">
        <v>0</v>
      </c>
      <c r="CP9" s="177" t="n">
        <v>0</v>
      </c>
      <c r="CQ9" s="183" t="n">
        <v>1.5</v>
      </c>
      <c r="CR9" s="177" t="n">
        <v>0</v>
      </c>
      <c r="CS9" s="188" t="n">
        <v>0</v>
      </c>
      <c r="CT9" s="188" t="n">
        <v>0</v>
      </c>
      <c r="CU9" s="188" t="n">
        <v>0</v>
      </c>
      <c r="CV9" s="188" t="n">
        <v>0</v>
      </c>
    </row>
    <row r="10" ht="15" customHeight="1" s="160">
      <c r="B10" s="170" t="n">
        <v>3</v>
      </c>
      <c r="C10" s="170" t="inlineStr">
        <is>
          <t>Red Lentil Flour</t>
        </is>
      </c>
      <c r="D10" s="170" t="inlineStr">
        <is>
          <t>Whole Food</t>
        </is>
      </c>
      <c r="E10" s="170" t="n">
        <v>25</v>
      </c>
      <c r="F10" s="170" t="inlineStr">
        <is>
          <t>g (2½ tbsp)</t>
        </is>
      </c>
      <c r="G10" s="170" t="inlineStr">
        <is>
          <t>Food to Live Organic Red Lentil Flour (1 lb, finely ground, non-GMO, raw)</t>
        </is>
      </c>
      <c r="H10" s="170" t="inlineStr">
        <is>
          <t>Amazon</t>
        </is>
      </c>
      <c r="I10" s="171" t="inlineStr">
        <is>
          <t>$14.13/1 lb</t>
        </is>
      </c>
      <c r="J10" s="172">
        <f>ROUND(L10/E10,0)</f>
        <v/>
      </c>
      <c r="K10" s="173">
        <f>ROUND((30/J10)*M10,2)</f>
        <v/>
      </c>
      <c r="L10" s="171" t="n">
        <v>454</v>
      </c>
      <c r="M10" s="171" t="n">
        <v>14.13</v>
      </c>
      <c r="N10" s="196" t="inlineStr">
        <is>
          <t>⚠️ Switched from Anthony's Goods — independent lab detected alarming lead levels (FDA complaint filed April 2025). Hearthy Foods: USA-made, non-GMO, single ingredient, no Prop 65 warning.</t>
        </is>
      </c>
      <c r="O10" s="197" t="n">
        <v>90</v>
      </c>
      <c r="P10" s="198" t="n">
        <v>6</v>
      </c>
      <c r="Q10" s="177" t="n">
        <v>0</v>
      </c>
      <c r="R10" s="177" t="n">
        <v>0</v>
      </c>
      <c r="S10" s="177" t="n">
        <v>0</v>
      </c>
      <c r="T10" s="177" t="n">
        <v>0</v>
      </c>
      <c r="U10" s="198" t="n">
        <v>6</v>
      </c>
      <c r="V10" s="178">
        <f>IF(P10=0,"",ROUND((Q10*1.09+R10*1+S10*1.13+T10*0+U10*0.52)/P10,2))</f>
        <v/>
      </c>
      <c r="W10" s="198" t="n">
        <v>0.54</v>
      </c>
      <c r="X10" s="199" t="n">
        <v>0.09</v>
      </c>
      <c r="Y10" s="198" t="n">
        <v>0.13</v>
      </c>
      <c r="Z10" s="198" t="n">
        <v>0.28</v>
      </c>
      <c r="AA10" s="198" t="n">
        <v>0.06</v>
      </c>
      <c r="AB10" s="198" t="n">
        <v>0.22</v>
      </c>
      <c r="AC10" s="198" t="n">
        <v>0</v>
      </c>
      <c r="AD10" s="198" t="n">
        <v>15.8</v>
      </c>
      <c r="AE10" s="198" t="n">
        <v>0</v>
      </c>
      <c r="AF10" s="200" t="n">
        <v>0</v>
      </c>
      <c r="AG10" s="182">
        <f>AD10-AE10-AF10-AH10</f>
        <v/>
      </c>
      <c r="AH10" s="198" t="n">
        <v>2.7</v>
      </c>
      <c r="AI10" s="182">
        <f>AD10-AH10-AF10</f>
        <v/>
      </c>
      <c r="AJ10" s="201" t="n">
        <v>24</v>
      </c>
      <c r="AK10" s="198" t="n">
        <v>12</v>
      </c>
      <c r="AL10" s="198" t="n">
        <v>15</v>
      </c>
      <c r="AM10" s="198" t="n">
        <v>167</v>
      </c>
      <c r="AN10" s="198" t="n">
        <v>74</v>
      </c>
      <c r="AO10" s="199" t="n">
        <v>2</v>
      </c>
      <c r="AP10" s="202" t="inlineStr">
        <is>
          <t>Unknown</t>
        </is>
      </c>
      <c r="AQ10" s="177" t="n">
        <v>1.85</v>
      </c>
      <c r="AR10" s="177" t="n">
        <v>0.9</v>
      </c>
      <c r="AS10" s="184" t="n">
        <v>2.1</v>
      </c>
      <c r="AT10" s="177" t="n">
        <v>326</v>
      </c>
      <c r="AU10" s="177" t="n">
        <v>0.43</v>
      </c>
      <c r="AV10" s="185" t="inlineStr">
        <is>
          <t>Unknown</t>
        </is>
      </c>
      <c r="AW10" s="185" t="inlineStr">
        <is>
          <t>Unknown</t>
        </is>
      </c>
      <c r="AX10" s="183" t="n">
        <v>0.2</v>
      </c>
      <c r="AY10" s="203" t="n">
        <v>1</v>
      </c>
      <c r="AZ10" s="203" t="n">
        <v>0.4</v>
      </c>
      <c r="BA10" s="177" t="n">
        <v>0</v>
      </c>
      <c r="BB10" s="184" t="n">
        <v>0.12</v>
      </c>
      <c r="BC10" s="184" t="n">
        <v>0.4</v>
      </c>
      <c r="BD10" s="177" t="n">
        <v>0</v>
      </c>
      <c r="BE10" s="177" t="n">
        <v>0</v>
      </c>
      <c r="BF10" s="177" t="n">
        <v>0.13</v>
      </c>
      <c r="BG10" s="203" t="n">
        <v>0.027</v>
      </c>
      <c r="BH10" s="177" t="n">
        <v>0.37</v>
      </c>
      <c r="BI10" s="177" t="n">
        <v>0.1</v>
      </c>
      <c r="BJ10" s="177" t="n">
        <v>51</v>
      </c>
      <c r="BK10" s="177" t="n">
        <v>0</v>
      </c>
      <c r="BL10" s="183" t="n">
        <v>5.7</v>
      </c>
      <c r="BM10" s="203" t="n">
        <v>0.08699999999999999</v>
      </c>
      <c r="BN10" s="177" t="n">
        <v>0</v>
      </c>
      <c r="BO10" s="177" t="n">
        <v>0</v>
      </c>
      <c r="BP10" s="177" t="n">
        <v>0</v>
      </c>
      <c r="BQ10" s="177" t="n">
        <v>0</v>
      </c>
      <c r="BR10" s="177" t="n">
        <v>0</v>
      </c>
      <c r="BS10" s="177" t="n">
        <v>0</v>
      </c>
      <c r="BT10" s="177" t="n">
        <v>0.34</v>
      </c>
      <c r="BU10" s="177" t="n">
        <v>0</v>
      </c>
      <c r="BV10" s="185" t="inlineStr">
        <is>
          <t>Unknown</t>
        </is>
      </c>
      <c r="BW10" s="185" t="inlineStr">
        <is>
          <t>Unknown</t>
        </is>
      </c>
      <c r="BX10" s="185" t="inlineStr">
        <is>
          <t>Unknown</t>
        </is>
      </c>
      <c r="BY10" s="185" t="inlineStr">
        <is>
          <t>Unknown</t>
        </is>
      </c>
      <c r="BZ10" s="177" t="n">
        <v>0</v>
      </c>
      <c r="CA10" s="177" t="n">
        <v>0</v>
      </c>
      <c r="CB10" s="177" t="n">
        <v>0</v>
      </c>
      <c r="CC10" s="183" t="n">
        <v>22.5</v>
      </c>
      <c r="CD10" s="183" t="n">
        <v>0</v>
      </c>
      <c r="CE10" s="183" t="n">
        <v>1.8</v>
      </c>
      <c r="CF10" s="198" t="n">
        <v>0.45</v>
      </c>
      <c r="CG10" s="177" t="n">
        <v>0</v>
      </c>
      <c r="CH10" s="183" t="n">
        <v>1.5</v>
      </c>
      <c r="CI10" s="177" t="n">
        <v>0</v>
      </c>
      <c r="CJ10" s="177" t="n">
        <v>0</v>
      </c>
      <c r="CK10" s="177" t="n">
        <v>0</v>
      </c>
      <c r="CL10" s="185" t="inlineStr">
        <is>
          <t>Unknown</t>
        </is>
      </c>
      <c r="CM10" s="177" t="n">
        <v>0</v>
      </c>
      <c r="CN10" s="177" t="n">
        <v>0</v>
      </c>
      <c r="CO10" s="177" t="n">
        <v>0</v>
      </c>
      <c r="CP10" s="177" t="n">
        <v>0</v>
      </c>
      <c r="CQ10" s="187" t="n">
        <v>1.06</v>
      </c>
      <c r="CR10" s="177" t="n">
        <v>0</v>
      </c>
      <c r="CS10" s="188" t="n">
        <v>0.6</v>
      </c>
      <c r="CT10" s="204" t="n">
        <v>0.07000000000000001</v>
      </c>
      <c r="CU10" s="204" t="n">
        <v>0.2</v>
      </c>
      <c r="CV10" s="188" t="n">
        <v>0</v>
      </c>
    </row>
    <row r="11" ht="15" customHeight="1" s="160">
      <c r="B11" s="189" t="n">
        <v>4</v>
      </c>
      <c r="C11" s="189" t="inlineStr">
        <is>
          <t>Frozen Avocado Chunks</t>
        </is>
      </c>
      <c r="D11" s="189" t="inlineStr">
        <is>
          <t>Whole Food</t>
        </is>
      </c>
      <c r="E11" s="189" t="n">
        <v>120</v>
      </c>
      <c r="F11" s="189" t="inlineStr">
        <is>
          <t>g (⅔ cup)</t>
        </is>
      </c>
      <c r="G11" s="189" t="inlineStr">
        <is>
          <t>Fresh whole avocados (conventional, cube + freeze weekly, ~150g flesh per avo)</t>
        </is>
      </c>
      <c r="H11" s="189" t="inlineStr">
        <is>
          <t>Walmart</t>
        </is>
      </c>
      <c r="I11" s="190" t="inlineStr">
        <is>
          <t>~$0.80/avocado</t>
        </is>
      </c>
      <c r="J11" s="191">
        <f>ROUND(L11/E11,0)</f>
        <v/>
      </c>
      <c r="K11" s="192">
        <f>ROUND((30/J11)*M11,2)</f>
        <v/>
      </c>
      <c r="L11" s="190" t="n">
        <v>150</v>
      </c>
      <c r="M11" s="190" t="n">
        <v>0.8</v>
      </c>
      <c r="N11" s="189" t="inlineStr">
        <is>
          <t>Custard body — healthy fats</t>
        </is>
      </c>
      <c r="O11" s="197" t="n">
        <v>192</v>
      </c>
      <c r="P11" s="198" t="n">
        <v>2.4</v>
      </c>
      <c r="Q11" s="177" t="n">
        <v>0</v>
      </c>
      <c r="R11" s="177" t="n">
        <v>0</v>
      </c>
      <c r="S11" s="177" t="n">
        <v>0</v>
      </c>
      <c r="T11" s="177" t="n">
        <v>0</v>
      </c>
      <c r="U11" s="198" t="n">
        <v>2.4</v>
      </c>
      <c r="V11" s="193">
        <f>IF(P11=0,"",ROUND((Q11*1.09+R11*1+S11*1.13+T11*0+U11*0.52)/P11,2))</f>
        <v/>
      </c>
      <c r="W11" s="198" t="n">
        <v>17.6</v>
      </c>
      <c r="X11" s="198" t="n">
        <v>2.55</v>
      </c>
      <c r="Y11" s="198" t="n">
        <v>11.76</v>
      </c>
      <c r="Z11" s="198" t="n">
        <v>2.18</v>
      </c>
      <c r="AA11" s="198" t="n">
        <v>0.13</v>
      </c>
      <c r="AB11" s="198" t="n">
        <v>2.01</v>
      </c>
      <c r="AC11" s="198" t="n">
        <v>0</v>
      </c>
      <c r="AD11" s="198" t="n">
        <v>10.2</v>
      </c>
      <c r="AE11" s="199" t="n">
        <v>0.79</v>
      </c>
      <c r="AF11" s="200" t="n">
        <v>0</v>
      </c>
      <c r="AG11" s="182">
        <f>AD11-AE11-AF11-AH11</f>
        <v/>
      </c>
      <c r="AH11" s="198" t="n">
        <v>8.039999999999999</v>
      </c>
      <c r="AI11" s="182">
        <f>AD11-AH11-AF11</f>
        <v/>
      </c>
      <c r="AJ11" s="198" t="n">
        <v>17</v>
      </c>
      <c r="AK11" s="198" t="n">
        <v>14</v>
      </c>
      <c r="AL11" s="198" t="n">
        <v>35</v>
      </c>
      <c r="AM11" s="198" t="n">
        <v>582</v>
      </c>
      <c r="AN11" s="198" t="n">
        <v>62</v>
      </c>
      <c r="AO11" s="199" t="n">
        <v>8</v>
      </c>
      <c r="AP11" s="202" t="inlineStr">
        <is>
          <t>Unknown</t>
        </is>
      </c>
      <c r="AQ11" s="177" t="n">
        <v>0.66</v>
      </c>
      <c r="AR11" s="177" t="n">
        <v>0.77</v>
      </c>
      <c r="AS11" s="203" t="n">
        <v>0.48</v>
      </c>
      <c r="AT11" s="177" t="n">
        <v>228</v>
      </c>
      <c r="AU11" s="177" t="n">
        <v>0.17</v>
      </c>
      <c r="AV11" s="185" t="inlineStr">
        <is>
          <t>Unknown</t>
        </is>
      </c>
      <c r="AW11" s="184" t="n">
        <v>0.72</v>
      </c>
      <c r="AX11" s="185" t="inlineStr">
        <is>
          <t>Unknown</t>
        </is>
      </c>
      <c r="AY11" s="203" t="n">
        <v>8</v>
      </c>
      <c r="AZ11" s="177" t="n">
        <v>12</v>
      </c>
      <c r="BA11" s="177" t="n">
        <v>0</v>
      </c>
      <c r="BB11" s="177" t="n">
        <v>2.48</v>
      </c>
      <c r="BC11" s="177" t="n">
        <v>25</v>
      </c>
      <c r="BD11" s="177" t="n">
        <v>0</v>
      </c>
      <c r="BE11" s="177" t="n">
        <v>0</v>
      </c>
      <c r="BF11" s="203" t="n">
        <v>0.08</v>
      </c>
      <c r="BG11" s="177" t="n">
        <v>0.156</v>
      </c>
      <c r="BH11" s="177" t="n">
        <v>2.09</v>
      </c>
      <c r="BI11" s="177" t="n">
        <v>0.308</v>
      </c>
      <c r="BJ11" s="177" t="n">
        <v>97</v>
      </c>
      <c r="BK11" s="177" t="n">
        <v>0</v>
      </c>
      <c r="BL11" s="183" t="n">
        <v>3.8</v>
      </c>
      <c r="BM11" s="177" t="n">
        <v>1.67</v>
      </c>
      <c r="BN11" s="177" t="n">
        <v>0</v>
      </c>
      <c r="BO11" s="177" t="n">
        <v>0</v>
      </c>
      <c r="BP11" s="203" t="n">
        <v>0.4</v>
      </c>
      <c r="BQ11" s="177" t="n">
        <v>0</v>
      </c>
      <c r="BR11" s="177" t="n">
        <v>0</v>
      </c>
      <c r="BS11" s="177" t="n">
        <v>0</v>
      </c>
      <c r="BT11" s="177" t="n">
        <v>7.4</v>
      </c>
      <c r="BU11" s="177" t="n">
        <v>0</v>
      </c>
      <c r="BV11" s="185" t="inlineStr">
        <is>
          <t>Unknown</t>
        </is>
      </c>
      <c r="BW11" s="185" t="inlineStr">
        <is>
          <t>Unknown</t>
        </is>
      </c>
      <c r="BX11" s="198" t="n">
        <v>260</v>
      </c>
      <c r="BY11" s="177" t="n">
        <v>65</v>
      </c>
      <c r="BZ11" s="177" t="n">
        <v>0</v>
      </c>
      <c r="CA11" s="177" t="n">
        <v>0</v>
      </c>
      <c r="CB11" s="177" t="n">
        <v>0</v>
      </c>
      <c r="CC11" s="198" t="n">
        <v>100</v>
      </c>
      <c r="CD11" s="183" t="n">
        <v>0</v>
      </c>
      <c r="CE11" s="183" t="n">
        <v>0.9</v>
      </c>
      <c r="CF11" s="198" t="n">
        <v>0.17</v>
      </c>
      <c r="CG11" s="177" t="n">
        <v>0</v>
      </c>
      <c r="CH11" s="183" t="n">
        <v>2.2</v>
      </c>
      <c r="CI11" s="177" t="n">
        <v>0</v>
      </c>
      <c r="CJ11" s="183" t="n">
        <v>1.14</v>
      </c>
      <c r="CK11" s="177" t="n">
        <v>0</v>
      </c>
      <c r="CL11" s="185" t="inlineStr">
        <is>
          <t>Unknown</t>
        </is>
      </c>
      <c r="CM11" s="177" t="n">
        <v>0</v>
      </c>
      <c r="CN11" s="177" t="n">
        <v>0</v>
      </c>
      <c r="CO11" s="177" t="n">
        <v>0</v>
      </c>
      <c r="CP11" s="177" t="n">
        <v>0</v>
      </c>
      <c r="CQ11" s="186" t="n">
        <v>0.4</v>
      </c>
      <c r="CR11" s="177" t="n">
        <v>0</v>
      </c>
      <c r="CS11" s="188" t="n">
        <v>0</v>
      </c>
      <c r="CT11" s="188" t="n">
        <v>0</v>
      </c>
      <c r="CU11" s="188" t="n">
        <v>0</v>
      </c>
      <c r="CV11" s="188" t="n">
        <v>0</v>
      </c>
    </row>
    <row r="12" ht="15" customHeight="1" s="160">
      <c r="B12" s="170" t="n">
        <v>5</v>
      </c>
      <c r="C12" s="170" t="inlineStr">
        <is>
          <t>Frozen Kale (whole leaf)</t>
        </is>
      </c>
      <c r="D12" s="170" t="inlineStr">
        <is>
          <t>Whole Food</t>
        </is>
      </c>
      <c r="E12" s="170" t="n">
        <v>60</v>
      </c>
      <c r="F12" s="170" t="inlineStr">
        <is>
          <t>g (1 cup)</t>
        </is>
      </c>
      <c r="G12" s="170" t="inlineStr">
        <is>
          <t>365 Organic Frozen</t>
        </is>
      </c>
      <c r="H12" s="170" t="inlineStr">
        <is>
          <t>WFM Delivery</t>
        </is>
      </c>
      <c r="I12" s="171" t="inlineStr">
        <is>
          <t>$2.99/16 oz</t>
        </is>
      </c>
      <c r="J12" s="172">
        <f>ROUND(L12/E12,0)</f>
        <v/>
      </c>
      <c r="K12" s="173">
        <f>ROUND((30/J12)*M12,2)</f>
        <v/>
      </c>
      <c r="L12" s="171" t="n">
        <v>454</v>
      </c>
      <c r="M12" s="171" t="n">
        <v>2.99</v>
      </c>
      <c r="N12" s="170" t="inlineStr">
        <is>
          <t>Lutein — masked by cacao</t>
        </is>
      </c>
      <c r="O12" s="205" t="n">
        <v>21</v>
      </c>
      <c r="P12" s="206" t="n">
        <v>1.75</v>
      </c>
      <c r="Q12" s="177" t="n">
        <v>0</v>
      </c>
      <c r="R12" s="177" t="n">
        <v>0</v>
      </c>
      <c r="S12" s="177" t="n">
        <v>0</v>
      </c>
      <c r="T12" s="177" t="n">
        <v>0</v>
      </c>
      <c r="U12" s="206" t="n">
        <v>1.75</v>
      </c>
      <c r="V12" s="178">
        <f>IF(P12=0,"",ROUND((Q12*1.09+R12*1+S12*1.13+T12*0+U12*0.52)/P12,2))</f>
        <v/>
      </c>
      <c r="W12" s="206" t="n">
        <v>0.89</v>
      </c>
      <c r="X12" s="207" t="n">
        <v>0.11</v>
      </c>
      <c r="Y12" s="207" t="n">
        <v>0.06</v>
      </c>
      <c r="Z12" s="206" t="n">
        <v>0.4</v>
      </c>
      <c r="AA12" s="206" t="n">
        <v>0.23</v>
      </c>
      <c r="AB12" s="206" t="n">
        <v>0.17</v>
      </c>
      <c r="AC12" s="198" t="n">
        <v>0</v>
      </c>
      <c r="AD12" s="206" t="n">
        <v>2.65</v>
      </c>
      <c r="AE12" s="207" t="n">
        <v>0.59</v>
      </c>
      <c r="AF12" s="200" t="n">
        <v>0</v>
      </c>
      <c r="AG12" s="182">
        <f>AD12-AE12-AF12-AH12</f>
        <v/>
      </c>
      <c r="AH12" s="206" t="n">
        <v>2.46</v>
      </c>
      <c r="AI12" s="182">
        <f>AD12-AH12-AF12</f>
        <v/>
      </c>
      <c r="AJ12" s="207" t="n">
        <v>0.3</v>
      </c>
      <c r="AK12" s="206" t="n">
        <v>152</v>
      </c>
      <c r="AL12" s="206" t="n">
        <v>20</v>
      </c>
      <c r="AM12" s="206" t="n">
        <v>209</v>
      </c>
      <c r="AN12" s="206" t="n">
        <v>33</v>
      </c>
      <c r="AO12" s="206" t="n">
        <v>32</v>
      </c>
      <c r="AP12" s="202" t="inlineStr">
        <is>
          <t>Unknown</t>
        </is>
      </c>
      <c r="AQ12" s="187" t="n">
        <v>0.96</v>
      </c>
      <c r="AR12" s="187" t="n">
        <v>0.23</v>
      </c>
      <c r="AS12" s="186" t="n">
        <v>0.54</v>
      </c>
      <c r="AT12" s="187" t="n">
        <v>32</v>
      </c>
      <c r="AU12" s="187" t="n">
        <v>0.55</v>
      </c>
      <c r="AV12" s="185" t="inlineStr">
        <is>
          <t>Unknown</t>
        </is>
      </c>
      <c r="AW12" s="185" t="inlineStr">
        <is>
          <t>Unknown</t>
        </is>
      </c>
      <c r="AX12" s="185" t="inlineStr">
        <is>
          <t>Unknown</t>
        </is>
      </c>
      <c r="AY12" s="187" t="n">
        <v>145</v>
      </c>
      <c r="AZ12" s="187" t="n">
        <v>56</v>
      </c>
      <c r="BA12" s="177" t="n">
        <v>0</v>
      </c>
      <c r="BB12" s="187" t="n">
        <v>0.4</v>
      </c>
      <c r="BC12" s="187" t="n">
        <v>234</v>
      </c>
      <c r="BD12" s="177" t="n">
        <v>0</v>
      </c>
      <c r="BE12" s="177" t="n">
        <v>0</v>
      </c>
      <c r="BF12" s="186" t="n">
        <v>0.068</v>
      </c>
      <c r="BG12" s="187" t="n">
        <v>0.208</v>
      </c>
      <c r="BH12" s="187" t="n">
        <v>0.71</v>
      </c>
      <c r="BI12" s="186" t="n">
        <v>0.08799999999999999</v>
      </c>
      <c r="BJ12" s="187" t="n">
        <v>37</v>
      </c>
      <c r="BK12" s="177" t="n">
        <v>0</v>
      </c>
      <c r="BL12" s="185" t="inlineStr">
        <is>
          <t>Unknown</t>
        </is>
      </c>
      <c r="BM12" s="187" t="n">
        <v>0.22</v>
      </c>
      <c r="BN12" s="177" t="n">
        <v>0</v>
      </c>
      <c r="BO12" s="177" t="n">
        <v>0</v>
      </c>
      <c r="BP12" s="187" t="n">
        <v>0</v>
      </c>
      <c r="BQ12" s="177" t="n">
        <v>0</v>
      </c>
      <c r="BR12" s="177" t="n">
        <v>0</v>
      </c>
      <c r="BS12" s="177" t="n">
        <v>0</v>
      </c>
      <c r="BT12" s="187" t="n">
        <v>0</v>
      </c>
      <c r="BU12" s="177" t="n">
        <v>0</v>
      </c>
      <c r="BV12" s="206" t="n">
        <v>13.5</v>
      </c>
      <c r="BW12" s="187" t="n">
        <v>1.4</v>
      </c>
      <c r="BX12" s="201" t="n">
        <v>3381</v>
      </c>
      <c r="BY12" s="183" t="n">
        <v>376</v>
      </c>
      <c r="BZ12" s="177" t="n">
        <v>0</v>
      </c>
      <c r="CA12" s="177" t="n">
        <v>0</v>
      </c>
      <c r="CB12" s="183" t="n">
        <v>5</v>
      </c>
      <c r="CC12" s="185" t="inlineStr">
        <is>
          <t>Unknown</t>
        </is>
      </c>
      <c r="CD12" s="183" t="n">
        <v>63.5</v>
      </c>
      <c r="CE12" s="183" t="n">
        <v>0.3</v>
      </c>
      <c r="CF12" s="201" t="n">
        <v>0.13</v>
      </c>
      <c r="CG12" s="177" t="n">
        <v>0</v>
      </c>
      <c r="CH12" s="183" t="n">
        <v>1</v>
      </c>
      <c r="CI12" s="177" t="n">
        <v>0</v>
      </c>
      <c r="CJ12" s="184" t="n">
        <v>0.3</v>
      </c>
      <c r="CK12" s="177" t="n">
        <v>0</v>
      </c>
      <c r="CL12" s="185" t="inlineStr">
        <is>
          <t>Unknown</t>
        </is>
      </c>
      <c r="CM12" s="177" t="n">
        <v>0</v>
      </c>
      <c r="CN12" s="177" t="n">
        <v>0</v>
      </c>
      <c r="CO12" s="177" t="n">
        <v>0</v>
      </c>
      <c r="CP12" s="177" t="n">
        <v>0</v>
      </c>
      <c r="CQ12" s="186" t="n">
        <v>0.08400000000000001</v>
      </c>
      <c r="CR12" s="177" t="n">
        <v>0</v>
      </c>
      <c r="CS12" s="188" t="n">
        <v>0</v>
      </c>
      <c r="CT12" s="188" t="n">
        <v>0</v>
      </c>
      <c r="CU12" s="188" t="n">
        <v>0</v>
      </c>
      <c r="CV12" s="188" t="n">
        <v>0</v>
      </c>
    </row>
    <row r="13" ht="15" customHeight="1" s="160">
      <c r="B13" s="189" t="n">
        <v>6</v>
      </c>
      <c r="C13" s="189" t="inlineStr">
        <is>
          <t>Broccoli Sprout Powder (organic)</t>
        </is>
      </c>
      <c r="D13" s="189" t="inlineStr">
        <is>
          <t>Whole Food</t>
        </is>
      </c>
      <c r="E13" s="189" t="n">
        <v>5</v>
      </c>
      <c r="F13" s="189" t="inlineStr">
        <is>
          <t>g (1 tsp)</t>
        </is>
      </c>
      <c r="G13" s="189" t="inlineStr">
        <is>
          <t>KOYAH Organic USA Broccoli Sprout Powder (122g, freeze-dried, tested for active myrosinase + glucoraphanin)</t>
        </is>
      </c>
      <c r="H13" s="189" t="inlineStr">
        <is>
          <t>Amazon</t>
        </is>
      </c>
      <c r="I13" s="190" t="inlineStr">
        <is>
          <t>$44.39/122g</t>
        </is>
      </c>
      <c r="J13" s="191">
        <f>ROUND(L13/E13,0)</f>
        <v/>
      </c>
      <c r="K13" s="192">
        <f>ROUND((30/J13)*M13,2)</f>
        <v/>
      </c>
      <c r="L13" s="190" t="n">
        <v>122</v>
      </c>
      <c r="M13" s="190" t="n">
        <v>44.39</v>
      </c>
      <c r="N13" s="189" t="inlineStr">
        <is>
          <t>Sulforaphane (w/ mustard seed)</t>
        </is>
      </c>
      <c r="O13" s="205" t="n">
        <v>17</v>
      </c>
      <c r="P13" s="206" t="n">
        <v>1.7</v>
      </c>
      <c r="Q13" s="177" t="n">
        <v>0</v>
      </c>
      <c r="R13" s="177" t="n">
        <v>0</v>
      </c>
      <c r="S13" s="177" t="n">
        <v>0</v>
      </c>
      <c r="T13" s="177" t="n">
        <v>0</v>
      </c>
      <c r="U13" s="206" t="n">
        <v>1.7</v>
      </c>
      <c r="V13" s="193">
        <f>IF(P13=0,"",ROUND((Q13*1.09+R13*1+S13*1.13+T13*0+U13*0.52)/P13,2))</f>
        <v/>
      </c>
      <c r="W13" s="206" t="n">
        <v>0.67</v>
      </c>
      <c r="X13" s="208" t="n">
        <v>0.02</v>
      </c>
      <c r="Y13" s="208" t="n">
        <v>0.017</v>
      </c>
      <c r="Z13" s="208" t="n">
        <v>0.021</v>
      </c>
      <c r="AA13" s="208" t="n">
        <v>0.035</v>
      </c>
      <c r="AB13" s="208" t="n">
        <v>0.028</v>
      </c>
      <c r="AC13" s="198" t="n">
        <v>0</v>
      </c>
      <c r="AD13" s="206" t="n">
        <v>2.3</v>
      </c>
      <c r="AE13" s="207" t="n">
        <v>0.3</v>
      </c>
      <c r="AF13" s="200" t="n">
        <v>0</v>
      </c>
      <c r="AG13" s="182">
        <f>AD13-AE13-AF13-AH13</f>
        <v/>
      </c>
      <c r="AH13" s="206" t="n">
        <v>1.3</v>
      </c>
      <c r="AI13" s="182">
        <f>AD13-AH13-AF13</f>
        <v/>
      </c>
      <c r="AJ13" s="201" t="n">
        <v>10</v>
      </c>
      <c r="AK13" s="206" t="n">
        <v>33</v>
      </c>
      <c r="AL13" s="201" t="n">
        <v>12</v>
      </c>
      <c r="AM13" s="201" t="n">
        <v>174</v>
      </c>
      <c r="AN13" s="201" t="n">
        <v>36</v>
      </c>
      <c r="AO13" s="207" t="n">
        <v>5</v>
      </c>
      <c r="AP13" s="202" t="inlineStr">
        <is>
          <t>Unknown</t>
        </is>
      </c>
      <c r="AQ13" s="183" t="n">
        <v>0.4</v>
      </c>
      <c r="AR13" s="183" t="n">
        <v>0.23</v>
      </c>
      <c r="AS13" s="184" t="n">
        <v>1.4</v>
      </c>
      <c r="AT13" s="183" t="n">
        <v>27</v>
      </c>
      <c r="AU13" s="184" t="n">
        <v>0.12</v>
      </c>
      <c r="AV13" s="185" t="inlineStr">
        <is>
          <t>Unknown</t>
        </is>
      </c>
      <c r="AW13" s="184" t="n">
        <v>0.22</v>
      </c>
      <c r="AX13" s="185" t="inlineStr">
        <is>
          <t>Unknown</t>
        </is>
      </c>
      <c r="AY13" s="183" t="n">
        <v>17</v>
      </c>
      <c r="AZ13" s="187" t="n">
        <v>15</v>
      </c>
      <c r="BA13" s="177" t="n">
        <v>0</v>
      </c>
      <c r="BB13" s="183" t="n">
        <v>0.43</v>
      </c>
      <c r="BC13" s="183" t="n">
        <v>56</v>
      </c>
      <c r="BD13" s="177" t="n">
        <v>0</v>
      </c>
      <c r="BE13" s="177" t="n">
        <v>0</v>
      </c>
      <c r="BF13" s="184" t="n">
        <v>0.039</v>
      </c>
      <c r="BG13" s="184" t="n">
        <v>0.064</v>
      </c>
      <c r="BH13" s="183" t="n">
        <v>0.35</v>
      </c>
      <c r="BI13" s="184" t="n">
        <v>0.097</v>
      </c>
      <c r="BJ13" s="183" t="n">
        <v>35</v>
      </c>
      <c r="BK13" s="177" t="n">
        <v>0</v>
      </c>
      <c r="BL13" s="185" t="inlineStr">
        <is>
          <t>Unknown</t>
        </is>
      </c>
      <c r="BM13" s="183" t="n">
        <v>0.32</v>
      </c>
      <c r="BN13" s="177" t="n">
        <v>0</v>
      </c>
      <c r="BO13" s="177" t="n">
        <v>0</v>
      </c>
      <c r="BP13" s="187" t="n">
        <v>0</v>
      </c>
      <c r="BQ13" s="187" t="n">
        <v>0</v>
      </c>
      <c r="BR13" s="177" t="n">
        <v>0</v>
      </c>
      <c r="BS13" s="177" t="n">
        <v>0</v>
      </c>
      <c r="BT13" s="187" t="n">
        <v>0</v>
      </c>
      <c r="BU13" s="177" t="n">
        <v>0</v>
      </c>
      <c r="BV13" s="183" t="n">
        <v>1.8</v>
      </c>
      <c r="BW13" s="183" t="n">
        <v>0.73</v>
      </c>
      <c r="BX13" s="202" t="inlineStr">
        <is>
          <t>Unknown</t>
        </is>
      </c>
      <c r="BY13" s="185" t="inlineStr">
        <is>
          <t>Unknown</t>
        </is>
      </c>
      <c r="BZ13" s="177" t="n">
        <v>0</v>
      </c>
      <c r="CA13" s="177" t="n">
        <v>0</v>
      </c>
      <c r="CB13" s="206" t="n">
        <v>25</v>
      </c>
      <c r="CC13" s="185" t="inlineStr">
        <is>
          <t>Unknown</t>
        </is>
      </c>
      <c r="CD13" s="185" t="inlineStr">
        <is>
          <t>Unknown</t>
        </is>
      </c>
      <c r="CE13" s="183" t="n">
        <v>1.3</v>
      </c>
      <c r="CF13" s="201" t="n">
        <v>0.07000000000000001</v>
      </c>
      <c r="CG13" s="177" t="n">
        <v>0</v>
      </c>
      <c r="CH13" s="183" t="n">
        <v>0.7</v>
      </c>
      <c r="CI13" s="177" t="n">
        <v>0</v>
      </c>
      <c r="CJ13" s="184" t="n">
        <v>0.32</v>
      </c>
      <c r="CK13" s="177" t="n">
        <v>0</v>
      </c>
      <c r="CL13" s="185" t="inlineStr">
        <is>
          <t>Unknown</t>
        </is>
      </c>
      <c r="CM13" s="177" t="n">
        <v>0</v>
      </c>
      <c r="CN13" s="177" t="n">
        <v>0</v>
      </c>
      <c r="CO13" s="177" t="n">
        <v>0</v>
      </c>
      <c r="CP13" s="177" t="n">
        <v>0</v>
      </c>
      <c r="CQ13" s="184" t="n">
        <v>0.094</v>
      </c>
      <c r="CR13" s="177" t="n">
        <v>0</v>
      </c>
      <c r="CS13" s="209" t="inlineStr">
        <is>
          <t>Unknown</t>
        </is>
      </c>
      <c r="CT13" s="209" t="inlineStr">
        <is>
          <t>Unknown</t>
        </is>
      </c>
      <c r="CU13" s="188" t="n">
        <v>0</v>
      </c>
      <c r="CV13" s="188" t="n">
        <v>0</v>
      </c>
    </row>
    <row r="14" ht="15" customHeight="1" s="160">
      <c r="B14" s="170" t="n">
        <v>7</v>
      </c>
      <c r="C14" s="170" t="inlineStr">
        <is>
          <t>Frozen Watermelon Chunks</t>
        </is>
      </c>
      <c r="D14" s="170" t="inlineStr">
        <is>
          <t>Whole Food</t>
        </is>
      </c>
      <c r="E14" s="170" t="n">
        <v>220</v>
      </c>
      <c r="F14" s="170" t="inlineStr">
        <is>
          <t>g (1½ cups)</t>
        </is>
      </c>
      <c r="G14" s="170" t="inlineStr">
        <is>
          <t>Whole seedless watermelon (seasonal, cube + freeze, ~2500g usable flesh)</t>
        </is>
      </c>
      <c r="H14" s="170" t="inlineStr">
        <is>
          <t>Walmart</t>
        </is>
      </c>
      <c r="I14" s="171" t="inlineStr">
        <is>
          <t>~$5.00/whole melon</t>
        </is>
      </c>
      <c r="J14" s="172">
        <f>ROUND(L14/E14,0)</f>
        <v/>
      </c>
      <c r="K14" s="173">
        <f>ROUND((30/J14)*M14,2)</f>
        <v/>
      </c>
      <c r="L14" s="171" t="n">
        <v>2500</v>
      </c>
      <c r="M14" s="171" t="n">
        <v>5</v>
      </c>
      <c r="N14" s="170" t="inlineStr">
        <is>
          <t>Lycopene + citrulline</t>
        </is>
      </c>
      <c r="O14" s="205" t="n">
        <v>66</v>
      </c>
      <c r="P14" s="206" t="n">
        <v>1.34</v>
      </c>
      <c r="Q14" s="177" t="n">
        <v>0</v>
      </c>
      <c r="R14" s="177" t="n">
        <v>0</v>
      </c>
      <c r="S14" s="177" t="n">
        <v>0</v>
      </c>
      <c r="T14" s="177" t="n">
        <v>0</v>
      </c>
      <c r="U14" s="206" t="n">
        <v>1.34</v>
      </c>
      <c r="V14" s="178">
        <f>IF(P14=0,"",ROUND((Q14*1.09+R14*1+S14*1.13+T14*0+U14*0.52)/P14,2))</f>
        <v/>
      </c>
      <c r="W14" s="206" t="n">
        <v>0.33</v>
      </c>
      <c r="X14" s="207" t="n">
        <v>0.035</v>
      </c>
      <c r="Y14" s="207" t="n">
        <v>0.081</v>
      </c>
      <c r="Z14" s="207" t="n">
        <v>0.11</v>
      </c>
      <c r="AA14" s="202" t="inlineStr">
        <is>
          <t>Unknown</t>
        </is>
      </c>
      <c r="AB14" s="202" t="inlineStr">
        <is>
          <t>Unknown</t>
        </is>
      </c>
      <c r="AC14" s="198" t="n">
        <v>0</v>
      </c>
      <c r="AD14" s="206" t="n">
        <v>16.6</v>
      </c>
      <c r="AE14" s="206" t="n">
        <v>13.6</v>
      </c>
      <c r="AF14" s="200" t="n">
        <v>0</v>
      </c>
      <c r="AG14" s="182">
        <f>AD14-AE14-AF14-AH14</f>
        <v/>
      </c>
      <c r="AH14" s="206" t="n">
        <v>0.88</v>
      </c>
      <c r="AI14" s="182">
        <f>AD14-AH14-AF14</f>
        <v/>
      </c>
      <c r="AJ14" s="206" t="n">
        <v>9</v>
      </c>
      <c r="AK14" s="206" t="n">
        <v>15</v>
      </c>
      <c r="AL14" s="206" t="n">
        <v>22</v>
      </c>
      <c r="AM14" s="206" t="n">
        <v>246</v>
      </c>
      <c r="AN14" s="206" t="n">
        <v>24</v>
      </c>
      <c r="AO14" s="207" t="n">
        <v>2</v>
      </c>
      <c r="AP14" s="202" t="inlineStr">
        <is>
          <t>Unknown</t>
        </is>
      </c>
      <c r="AQ14" s="187" t="n">
        <v>0.53</v>
      </c>
      <c r="AR14" s="187" t="n">
        <v>0.22</v>
      </c>
      <c r="AS14" s="186" t="n">
        <v>0.88</v>
      </c>
      <c r="AT14" s="187" t="n">
        <v>92</v>
      </c>
      <c r="AU14" s="187" t="n">
        <v>0.08400000000000001</v>
      </c>
      <c r="AV14" s="185" t="inlineStr">
        <is>
          <t>Unknown</t>
        </is>
      </c>
      <c r="AW14" s="184" t="n">
        <v>0.44</v>
      </c>
      <c r="AX14" s="185" t="inlineStr">
        <is>
          <t>Unknown</t>
        </is>
      </c>
      <c r="AY14" s="187" t="n">
        <v>62</v>
      </c>
      <c r="AZ14" s="187" t="n">
        <v>18</v>
      </c>
      <c r="BA14" s="177" t="n">
        <v>0</v>
      </c>
      <c r="BB14" s="186" t="n">
        <v>0.11</v>
      </c>
      <c r="BC14" s="186" t="n">
        <v>0.22</v>
      </c>
      <c r="BD14" s="177" t="n">
        <v>0</v>
      </c>
      <c r="BE14" s="177" t="n">
        <v>0</v>
      </c>
      <c r="BF14" s="186" t="n">
        <v>0.073</v>
      </c>
      <c r="BG14" s="186" t="n">
        <v>0.046</v>
      </c>
      <c r="BH14" s="187" t="n">
        <v>0.39</v>
      </c>
      <c r="BI14" s="186" t="n">
        <v>0.099</v>
      </c>
      <c r="BJ14" s="187" t="n">
        <v>7</v>
      </c>
      <c r="BK14" s="177" t="n">
        <v>0</v>
      </c>
      <c r="BL14" s="185" t="inlineStr">
        <is>
          <t>Unknown</t>
        </is>
      </c>
      <c r="BM14" s="187" t="n">
        <v>0.49</v>
      </c>
      <c r="BN14" s="177" t="n">
        <v>0</v>
      </c>
      <c r="BO14" s="177" t="n">
        <v>0</v>
      </c>
      <c r="BP14" s="187" t="n">
        <v>0</v>
      </c>
      <c r="BQ14" s="187" t="n">
        <v>0</v>
      </c>
      <c r="BR14" s="177" t="n">
        <v>0</v>
      </c>
      <c r="BS14" s="177" t="n">
        <v>0</v>
      </c>
      <c r="BT14" s="187" t="n">
        <v>0</v>
      </c>
      <c r="BU14" s="177" t="n">
        <v>0</v>
      </c>
      <c r="BV14" s="187" t="n">
        <v>0</v>
      </c>
      <c r="BW14" s="185" t="inlineStr">
        <is>
          <t>Unknown</t>
        </is>
      </c>
      <c r="BX14" s="208" t="n">
        <v>9</v>
      </c>
      <c r="BY14" s="184" t="n">
        <v>9</v>
      </c>
      <c r="BZ14" s="206" t="n">
        <v>9.970000000000001</v>
      </c>
      <c r="CA14" s="177" t="n">
        <v>0</v>
      </c>
      <c r="CB14" s="177" t="n">
        <v>0</v>
      </c>
      <c r="CC14" s="187" t="n">
        <v>4.4</v>
      </c>
      <c r="CD14" s="185" t="inlineStr">
        <is>
          <t>Unknown</t>
        </is>
      </c>
      <c r="CE14" s="183" t="n">
        <v>0.7</v>
      </c>
      <c r="CF14" s="207" t="n">
        <v>0.04</v>
      </c>
      <c r="CG14" s="177" t="n">
        <v>0</v>
      </c>
      <c r="CH14" s="184" t="n">
        <v>0.44</v>
      </c>
      <c r="CI14" s="177" t="n">
        <v>0</v>
      </c>
      <c r="CJ14" s="185" t="inlineStr">
        <is>
          <t>Unknown</t>
        </is>
      </c>
      <c r="CK14" s="177" t="n">
        <v>0</v>
      </c>
      <c r="CL14" s="185" t="inlineStr">
        <is>
          <t>Unknown</t>
        </is>
      </c>
      <c r="CM14" s="177" t="n">
        <v>0</v>
      </c>
      <c r="CN14" s="177" t="n">
        <v>0</v>
      </c>
      <c r="CO14" s="177" t="n">
        <v>0</v>
      </c>
      <c r="CP14" s="177" t="n">
        <v>0</v>
      </c>
      <c r="CQ14" s="185" t="inlineStr">
        <is>
          <t>Unknown</t>
        </is>
      </c>
      <c r="CR14" s="177" t="n">
        <v>0</v>
      </c>
      <c r="CS14" s="188" t="n">
        <v>0</v>
      </c>
      <c r="CT14" s="188" t="n">
        <v>0</v>
      </c>
      <c r="CU14" s="188" t="n">
        <v>0</v>
      </c>
      <c r="CV14" s="188" t="n">
        <v>0</v>
      </c>
    </row>
    <row r="15" ht="15" customHeight="1" s="160">
      <c r="B15" s="189" t="n">
        <v>8</v>
      </c>
      <c r="C15" s="189" t="inlineStr">
        <is>
          <t>Goji Berries (dried)</t>
        </is>
      </c>
      <c r="D15" s="189" t="inlineStr">
        <is>
          <t>Whole Food</t>
        </is>
      </c>
      <c r="E15" s="189" t="n">
        <v>15</v>
      </c>
      <c r="F15" s="189" t="inlineStr">
        <is>
          <t>g (3 tbsp)</t>
        </is>
      </c>
      <c r="G15" s="189" t="inlineStr">
        <is>
          <t>Terrasoul Superfoods Organic Goji Berries (2 lb, USDA Organic, large size, lab-tested)</t>
        </is>
      </c>
      <c r="H15" s="189" t="inlineStr">
        <is>
          <t>Amazon</t>
        </is>
      </c>
      <c r="I15" s="190" t="inlineStr">
        <is>
          <t>$31.99/2 lb</t>
        </is>
      </c>
      <c r="J15" s="191">
        <f>ROUND(L15/E15,0)</f>
        <v/>
      </c>
      <c r="K15" s="192">
        <f>ROUND((30/J15)*M15,2)</f>
        <v/>
      </c>
      <c r="L15" s="190" t="n">
        <v>907</v>
      </c>
      <c r="M15" s="190" t="n">
        <v>31.99</v>
      </c>
      <c r="N15" s="189" t="inlineStr">
        <is>
          <t>Zeaxanthin</t>
        </is>
      </c>
      <c r="O15" s="197" t="n">
        <v>55</v>
      </c>
      <c r="P15" s="198" t="n">
        <v>2</v>
      </c>
      <c r="Q15" s="177" t="n">
        <v>0</v>
      </c>
      <c r="R15" s="177" t="n">
        <v>0</v>
      </c>
      <c r="S15" s="177" t="n">
        <v>0</v>
      </c>
      <c r="T15" s="177" t="n">
        <v>0</v>
      </c>
      <c r="U15" s="198" t="n">
        <v>2</v>
      </c>
      <c r="V15" s="193">
        <f>IF(P15=0,"",ROUND((Q15*1.09+R15*1+S15*1.13+T15*0+U15*0.52)/P15,2))</f>
        <v/>
      </c>
      <c r="W15" s="198" t="n">
        <v>0</v>
      </c>
      <c r="X15" s="198" t="n">
        <v>0</v>
      </c>
      <c r="Y15" s="202" t="inlineStr">
        <is>
          <t>Unknown</t>
        </is>
      </c>
      <c r="Z15" s="202" t="inlineStr">
        <is>
          <t>Unknown</t>
        </is>
      </c>
      <c r="AA15" s="202" t="inlineStr">
        <is>
          <t>Unknown</t>
        </is>
      </c>
      <c r="AB15" s="202" t="inlineStr">
        <is>
          <t>Unknown</t>
        </is>
      </c>
      <c r="AC15" s="198" t="n">
        <v>0</v>
      </c>
      <c r="AD15" s="198" t="n">
        <v>11.5</v>
      </c>
      <c r="AE15" s="198" t="n">
        <v>6.5</v>
      </c>
      <c r="AF15" s="200" t="n">
        <v>0</v>
      </c>
      <c r="AG15" s="182">
        <f>AD15-AE15-AF15-AH15</f>
        <v/>
      </c>
      <c r="AH15" s="198" t="n">
        <v>2</v>
      </c>
      <c r="AI15" s="182">
        <f>AD15-AH15-AF15</f>
        <v/>
      </c>
      <c r="AJ15" s="202" t="inlineStr">
        <is>
          <t>Unknown</t>
        </is>
      </c>
      <c r="AK15" s="198" t="n">
        <v>11.5</v>
      </c>
      <c r="AL15" s="206" t="n">
        <v>14</v>
      </c>
      <c r="AM15" s="198" t="n">
        <v>208</v>
      </c>
      <c r="AN15" s="206" t="n">
        <v>28</v>
      </c>
      <c r="AO15" s="198" t="n">
        <v>80</v>
      </c>
      <c r="AP15" s="202" t="inlineStr">
        <is>
          <t>Unknown</t>
        </is>
      </c>
      <c r="AQ15" s="177" t="n">
        <v>1.5</v>
      </c>
      <c r="AR15" s="185" t="inlineStr">
        <is>
          <t>Unknown</t>
        </is>
      </c>
      <c r="AS15" s="185" t="inlineStr">
        <is>
          <t>Unknown</t>
        </is>
      </c>
      <c r="AT15" s="185" t="inlineStr">
        <is>
          <t>Unknown</t>
        </is>
      </c>
      <c r="AU15" s="185" t="inlineStr">
        <is>
          <t>Unknown</t>
        </is>
      </c>
      <c r="AV15" s="185" t="inlineStr">
        <is>
          <t>Unknown</t>
        </is>
      </c>
      <c r="AW15" s="185" t="inlineStr">
        <is>
          <t>Unknown</t>
        </is>
      </c>
      <c r="AX15" s="185" t="inlineStr">
        <is>
          <t>Unknown</t>
        </is>
      </c>
      <c r="AY15" s="177" t="n">
        <v>641</v>
      </c>
      <c r="AZ15" s="187" t="n">
        <v>7</v>
      </c>
      <c r="BA15" s="177" t="n">
        <v>0</v>
      </c>
      <c r="BB15" s="185" t="inlineStr">
        <is>
          <t>Unknown</t>
        </is>
      </c>
      <c r="BC15" s="185" t="inlineStr">
        <is>
          <t>Unknown</t>
        </is>
      </c>
      <c r="BD15" s="177" t="n">
        <v>0</v>
      </c>
      <c r="BE15" s="177" t="n">
        <v>0</v>
      </c>
      <c r="BF15" s="185" t="inlineStr">
        <is>
          <t>Unknown</t>
        </is>
      </c>
      <c r="BG15" s="185" t="inlineStr">
        <is>
          <t>Unknown</t>
        </is>
      </c>
      <c r="BH15" s="185" t="inlineStr">
        <is>
          <t>Unknown</t>
        </is>
      </c>
      <c r="BI15" s="185" t="inlineStr">
        <is>
          <t>Unknown</t>
        </is>
      </c>
      <c r="BJ15" s="185" t="inlineStr">
        <is>
          <t>Unknown</t>
        </is>
      </c>
      <c r="BK15" s="177" t="n">
        <v>0</v>
      </c>
      <c r="BL15" s="185" t="inlineStr">
        <is>
          <t>Unknown</t>
        </is>
      </c>
      <c r="BM15" s="185" t="inlineStr">
        <is>
          <t>Unknown</t>
        </is>
      </c>
      <c r="BN15" s="177" t="n">
        <v>0</v>
      </c>
      <c r="BO15" s="177" t="n">
        <v>0</v>
      </c>
      <c r="BP15" s="185" t="inlineStr">
        <is>
          <t>Unknown</t>
        </is>
      </c>
      <c r="BQ15" s="177" t="n">
        <v>0</v>
      </c>
      <c r="BR15" s="177" t="n">
        <v>0</v>
      </c>
      <c r="BS15" s="185" t="inlineStr">
        <is>
          <t>Unknown</t>
        </is>
      </c>
      <c r="BT15" s="185" t="inlineStr">
        <is>
          <t>Unknown</t>
        </is>
      </c>
      <c r="BU15" s="177" t="n">
        <v>0</v>
      </c>
      <c r="BV15" s="202" t="inlineStr">
        <is>
          <t>Unknown</t>
        </is>
      </c>
      <c r="BW15" s="185" t="inlineStr">
        <is>
          <t>Unknown</t>
        </is>
      </c>
      <c r="BX15" s="202" t="inlineStr">
        <is>
          <t>Unknown</t>
        </is>
      </c>
      <c r="BY15" s="206" t="n">
        <v>34500</v>
      </c>
      <c r="BZ15" s="185" t="inlineStr">
        <is>
          <t>Unknown</t>
        </is>
      </c>
      <c r="CA15" s="177" t="n">
        <v>0</v>
      </c>
      <c r="CB15" s="177" t="n">
        <v>0</v>
      </c>
      <c r="CC15" s="185" t="inlineStr">
        <is>
          <t>Unknown</t>
        </is>
      </c>
      <c r="CD15" s="185" t="inlineStr">
        <is>
          <t>Unknown</t>
        </is>
      </c>
      <c r="CE15" s="202" t="inlineStr">
        <is>
          <t>Unknown</t>
        </is>
      </c>
      <c r="CF15" s="207" t="n">
        <v>0.068</v>
      </c>
      <c r="CG15" s="177" t="n">
        <v>0</v>
      </c>
      <c r="CH15" s="183" t="n">
        <v>0.8</v>
      </c>
      <c r="CI15" s="177" t="n">
        <v>0</v>
      </c>
      <c r="CJ15" s="185" t="inlineStr">
        <is>
          <t>Unknown</t>
        </is>
      </c>
      <c r="CK15" s="177" t="n">
        <v>0</v>
      </c>
      <c r="CL15" s="185" t="inlineStr">
        <is>
          <t>Unknown</t>
        </is>
      </c>
      <c r="CM15" s="177" t="n">
        <v>0</v>
      </c>
      <c r="CN15" s="177" t="n">
        <v>0</v>
      </c>
      <c r="CO15" s="177" t="n">
        <v>0</v>
      </c>
      <c r="CP15" s="177" t="n">
        <v>0</v>
      </c>
      <c r="CQ15" s="185" t="inlineStr">
        <is>
          <t>Unknown</t>
        </is>
      </c>
      <c r="CR15" s="177" t="n">
        <v>0</v>
      </c>
      <c r="CS15" s="209" t="inlineStr">
        <is>
          <t>Unknown</t>
        </is>
      </c>
      <c r="CT15" s="209" t="inlineStr">
        <is>
          <t>Unknown</t>
        </is>
      </c>
      <c r="CU15" s="209" t="inlineStr">
        <is>
          <t>Unknown</t>
        </is>
      </c>
      <c r="CV15" s="209" t="inlineStr">
        <is>
          <t>Unknown</t>
        </is>
      </c>
    </row>
    <row r="16" ht="15" customHeight="1" s="160">
      <c r="B16" s="170" t="n">
        <v>9</v>
      </c>
      <c r="C16" s="170" t="inlineStr">
        <is>
          <t>Macadamia Nuts (raw)</t>
        </is>
      </c>
      <c r="D16" s="170" t="inlineStr">
        <is>
          <t>Whole Food</t>
        </is>
      </c>
      <c r="E16" s="170" t="n">
        <v>50</v>
      </c>
      <c r="F16" s="170" t="inlineStr">
        <is>
          <t>g</t>
        </is>
      </c>
      <c r="G16" s="170" t="inlineStr">
        <is>
          <t>Raw Macadamia Nut Halves &amp; Pieces (1.5 lb, unsalted, shelled, conventional)</t>
        </is>
      </c>
      <c r="H16" s="170" t="inlineStr">
        <is>
          <t>Amazon</t>
        </is>
      </c>
      <c r="I16" s="171" t="inlineStr">
        <is>
          <t>$36.00/1.5 lb</t>
        </is>
      </c>
      <c r="J16" s="172">
        <f>ROUND(L16/E16,0)</f>
        <v/>
      </c>
      <c r="K16" s="173">
        <f>ROUND((30/J16)*M16,2)</f>
        <v/>
      </c>
      <c r="L16" s="171" t="n">
        <v>680</v>
      </c>
      <c r="M16" s="171" t="n">
        <v>36</v>
      </c>
      <c r="N16" s="170" t="inlineStr">
        <is>
          <t>Richness — buttery fat</t>
        </is>
      </c>
      <c r="O16" s="205" t="n">
        <v>359.333</v>
      </c>
      <c r="P16" s="206" t="n">
        <v>3.953</v>
      </c>
      <c r="Q16" s="177" t="n">
        <v>0</v>
      </c>
      <c r="R16" s="177" t="n">
        <v>0</v>
      </c>
      <c r="S16" s="177" t="n">
        <v>0</v>
      </c>
      <c r="T16" s="177" t="n">
        <v>0</v>
      </c>
      <c r="U16" s="206" t="n">
        <v>3.953</v>
      </c>
      <c r="V16" s="178">
        <f>IF(P16=0,"",ROUND((Q16*1.09+R16*1+S16*1.13+T16*0+U16*0.52)/P16,2))</f>
        <v/>
      </c>
      <c r="W16" s="206" t="n">
        <v>37.867</v>
      </c>
      <c r="X16" s="206" t="n">
        <v>6.033</v>
      </c>
      <c r="Y16" s="206" t="n">
        <v>29.44</v>
      </c>
      <c r="Z16" s="206" t="n">
        <v>0.753</v>
      </c>
      <c r="AA16" s="206" t="n">
        <v>0.103</v>
      </c>
      <c r="AB16" s="206" t="n">
        <v>0.648</v>
      </c>
      <c r="AC16" s="198" t="n">
        <v>0</v>
      </c>
      <c r="AD16" s="206" t="n">
        <v>6.933</v>
      </c>
      <c r="AE16" s="206" t="n">
        <v>2.287</v>
      </c>
      <c r="AF16" s="200" t="n">
        <v>0</v>
      </c>
      <c r="AG16" s="182">
        <f>AD16-AE16-AF16-AH16</f>
        <v/>
      </c>
      <c r="AH16" s="206" t="n">
        <v>4.3</v>
      </c>
      <c r="AI16" s="182">
        <f>AD16-AH16-AF16</f>
        <v/>
      </c>
      <c r="AJ16" s="201" t="n">
        <v>22.667</v>
      </c>
      <c r="AK16" s="206" t="n">
        <v>42.667</v>
      </c>
      <c r="AL16" s="206" t="n">
        <v>65.333</v>
      </c>
      <c r="AM16" s="206" t="n">
        <v>184</v>
      </c>
      <c r="AN16" s="206" t="n">
        <v>94</v>
      </c>
      <c r="AO16" s="207" t="n">
        <v>2.667</v>
      </c>
      <c r="AP16" s="201" t="n">
        <v>19.333</v>
      </c>
      <c r="AQ16" s="187" t="n">
        <v>1.847</v>
      </c>
      <c r="AR16" s="187" t="n">
        <v>0.653</v>
      </c>
      <c r="AS16" s="187" t="n">
        <v>1.8</v>
      </c>
      <c r="AT16" s="187" t="n">
        <v>378</v>
      </c>
      <c r="AU16" s="187" t="n">
        <v>2.067</v>
      </c>
      <c r="AV16" s="185" t="inlineStr">
        <is>
          <t>Unknown</t>
        </is>
      </c>
      <c r="AW16" s="185" t="inlineStr">
        <is>
          <t>Unknown</t>
        </is>
      </c>
      <c r="AX16" s="185" t="inlineStr">
        <is>
          <t>Unknown</t>
        </is>
      </c>
      <c r="AY16" s="187" t="n">
        <v>0</v>
      </c>
      <c r="AZ16" s="186" t="n">
        <v>0.6</v>
      </c>
      <c r="BA16" s="177" t="n">
        <v>0</v>
      </c>
      <c r="BB16" s="187" t="n">
        <v>0.273</v>
      </c>
      <c r="BC16" s="185" t="inlineStr">
        <is>
          <t>Unknown</t>
        </is>
      </c>
      <c r="BD16" s="177" t="n">
        <v>0</v>
      </c>
      <c r="BE16" s="177" t="n">
        <v>0</v>
      </c>
      <c r="BF16" s="187" t="n">
        <v>0.597</v>
      </c>
      <c r="BG16" s="187" t="n">
        <v>0.081</v>
      </c>
      <c r="BH16" s="187" t="n">
        <v>1.233</v>
      </c>
      <c r="BI16" s="187" t="n">
        <v>0.137</v>
      </c>
      <c r="BJ16" s="186" t="n">
        <v>5.333</v>
      </c>
      <c r="BK16" s="177" t="n">
        <v>0</v>
      </c>
      <c r="BL16" s="185" t="inlineStr">
        <is>
          <t>Unknown</t>
        </is>
      </c>
      <c r="BM16" s="187" t="n">
        <v>0.379</v>
      </c>
      <c r="BN16" s="177" t="n">
        <v>0</v>
      </c>
      <c r="BO16" s="177" t="n">
        <v>0</v>
      </c>
      <c r="BP16" s="187" t="n">
        <v>0</v>
      </c>
      <c r="BQ16" s="187" t="n">
        <v>0</v>
      </c>
      <c r="BR16" s="177" t="n">
        <v>0</v>
      </c>
      <c r="BS16" s="177" t="n">
        <v>0</v>
      </c>
      <c r="BT16" s="187" t="n">
        <v>0</v>
      </c>
      <c r="BU16" s="177" t="n">
        <v>0</v>
      </c>
      <c r="BV16" s="202" t="inlineStr">
        <is>
          <t>Unknown</t>
        </is>
      </c>
      <c r="BW16" s="185" t="inlineStr">
        <is>
          <t>Unknown</t>
        </is>
      </c>
      <c r="BX16" s="185" t="inlineStr">
        <is>
          <t>Unknown</t>
        </is>
      </c>
      <c r="BY16" s="185" t="inlineStr">
        <is>
          <t>Unknown</t>
        </is>
      </c>
      <c r="BZ16" s="177" t="n">
        <v>0</v>
      </c>
      <c r="CA16" s="177" t="n">
        <v>0</v>
      </c>
      <c r="CB16" s="177" t="n">
        <v>0</v>
      </c>
      <c r="CC16" s="206" t="n">
        <v>58</v>
      </c>
      <c r="CD16" s="185" t="inlineStr">
        <is>
          <t>Unknown</t>
        </is>
      </c>
      <c r="CE16" s="185" t="inlineStr">
        <is>
          <t>Unknown</t>
        </is>
      </c>
      <c r="CF16" s="206" t="n">
        <v>0.301</v>
      </c>
      <c r="CG16" s="177" t="n">
        <v>0</v>
      </c>
      <c r="CH16" s="183" t="n">
        <v>1.267</v>
      </c>
      <c r="CI16" s="177" t="n">
        <v>0</v>
      </c>
      <c r="CJ16" s="183" t="n">
        <v>0.533</v>
      </c>
      <c r="CK16" s="177" t="n">
        <v>0</v>
      </c>
      <c r="CL16" s="185" t="inlineStr">
        <is>
          <t>Unknown</t>
        </is>
      </c>
      <c r="CM16" s="177" t="n">
        <v>0</v>
      </c>
      <c r="CN16" s="177" t="n">
        <v>0</v>
      </c>
      <c r="CO16" s="177" t="n">
        <v>0</v>
      </c>
      <c r="CP16" s="177" t="n">
        <v>0</v>
      </c>
      <c r="CQ16" s="183" t="n">
        <v>0</v>
      </c>
      <c r="CR16" s="177" t="n">
        <v>0</v>
      </c>
      <c r="CS16" s="188" t="n">
        <v>0</v>
      </c>
      <c r="CT16" s="188" t="n">
        <v>0</v>
      </c>
      <c r="CU16" s="188" t="n">
        <v>0</v>
      </c>
      <c r="CV16" s="188" t="n">
        <v>0</v>
      </c>
    </row>
    <row r="17" ht="15" customHeight="1" s="160">
      <c r="B17" s="189" t="n">
        <v>10</v>
      </c>
      <c r="C17" s="189" t="inlineStr">
        <is>
          <t>Egg White Protein Powder (dried, pasteurized)</t>
        </is>
      </c>
      <c r="D17" s="189" t="inlineStr">
        <is>
          <t>Supplement Powder</t>
        </is>
      </c>
      <c r="E17" s="189" t="n">
        <v>105</v>
      </c>
      <c r="F17" s="189" t="inlineStr">
        <is>
          <t>g (3½ scoops)</t>
        </is>
      </c>
      <c r="G17" s="189" t="inlineStr">
        <is>
          <t>Judee's Dried Egg White Protein Powder (5 lb, Non-GMO, Pasteurized)</t>
        </is>
      </c>
      <c r="H17" s="189" t="inlineStr">
        <is>
          <t>Amazon</t>
        </is>
      </c>
      <c r="I17" s="190" t="inlineStr">
        <is>
          <t>$130.99/5 lb</t>
        </is>
      </c>
      <c r="J17" s="191">
        <f>ROUND(L17/E17,0)</f>
        <v/>
      </c>
      <c r="K17" s="192">
        <f>ROUND((30/J17)*M17,2)</f>
        <v/>
      </c>
      <c r="L17" s="190" t="n">
        <v>2268</v>
      </c>
      <c r="M17" s="190" t="n">
        <v>130.99</v>
      </c>
      <c r="N17" s="189" t="inlineStr">
        <is>
          <t>Low-insulin protein. Replaces whey bulk.</t>
        </is>
      </c>
      <c r="O17" s="205" t="n">
        <v>395</v>
      </c>
      <c r="P17" s="206" t="n">
        <v>86.5</v>
      </c>
      <c r="Q17" s="177" t="n">
        <v>0</v>
      </c>
      <c r="R17" s="177" t="n">
        <v>0</v>
      </c>
      <c r="S17" s="206" t="n">
        <v>86.5</v>
      </c>
      <c r="T17" s="177" t="n">
        <v>0</v>
      </c>
      <c r="U17" s="177" t="n">
        <v>0</v>
      </c>
      <c r="V17" s="193">
        <f>IF(P17=0,"",ROUND((Q17*1.09+R17*1+S17*1.13+T17*0+U17*0.52)/P17,2))</f>
        <v/>
      </c>
      <c r="W17" s="207" t="n">
        <v>0.04</v>
      </c>
      <c r="X17" s="198" t="n">
        <v>0</v>
      </c>
      <c r="Y17" s="198" t="n">
        <v>0</v>
      </c>
      <c r="Z17" s="198" t="n">
        <v>0</v>
      </c>
      <c r="AA17" s="198" t="n">
        <v>0</v>
      </c>
      <c r="AB17" s="198" t="n">
        <v>0</v>
      </c>
      <c r="AC17" s="198" t="n">
        <v>0</v>
      </c>
      <c r="AD17" s="206" t="n">
        <v>4.69</v>
      </c>
      <c r="AE17" s="206" t="n">
        <v>0</v>
      </c>
      <c r="AF17" s="200" t="n">
        <v>0</v>
      </c>
      <c r="AG17" s="182">
        <f>AD17-AE17-AF17-AH17</f>
        <v/>
      </c>
      <c r="AH17" s="206" t="n">
        <v>0</v>
      </c>
      <c r="AI17" s="182">
        <f>AD17-AH17-AF17</f>
        <v/>
      </c>
      <c r="AJ17" s="206" t="n">
        <v>8.800000000000001</v>
      </c>
      <c r="AK17" s="206" t="n">
        <v>93</v>
      </c>
      <c r="AL17" s="206" t="n">
        <v>76</v>
      </c>
      <c r="AM17" s="206" t="n">
        <v>1172</v>
      </c>
      <c r="AN17" s="206" t="n">
        <v>93</v>
      </c>
      <c r="AO17" s="206" t="n">
        <v>1300</v>
      </c>
      <c r="AP17" s="201" t="n">
        <v>29</v>
      </c>
      <c r="AQ17" s="186" t="n">
        <v>0.25</v>
      </c>
      <c r="AR17" s="186" t="n">
        <v>0.17</v>
      </c>
      <c r="AS17" s="187" t="n">
        <v>131</v>
      </c>
      <c r="AT17" s="187" t="n">
        <v>179</v>
      </c>
      <c r="AU17" s="186" t="n">
        <v>0.053</v>
      </c>
      <c r="AV17" s="185" t="inlineStr">
        <is>
          <t>Unknown</t>
        </is>
      </c>
      <c r="AW17" s="187" t="n">
        <v>36</v>
      </c>
      <c r="AX17" s="185" t="inlineStr">
        <is>
          <t>Unknown</t>
        </is>
      </c>
      <c r="AY17" s="187" t="n">
        <v>0</v>
      </c>
      <c r="AZ17" s="187" t="n">
        <v>0</v>
      </c>
      <c r="BA17" s="187" t="n">
        <v>0</v>
      </c>
      <c r="BB17" s="187" t="n">
        <v>0</v>
      </c>
      <c r="BC17" s="187" t="n">
        <v>0</v>
      </c>
      <c r="BD17" s="177" t="n">
        <v>0</v>
      </c>
      <c r="BE17" s="177" t="n">
        <v>0</v>
      </c>
      <c r="BF17" s="186" t="n">
        <v>0.039</v>
      </c>
      <c r="BG17" s="187" t="n">
        <v>2.43</v>
      </c>
      <c r="BH17" s="187" t="n">
        <v>0.76</v>
      </c>
      <c r="BI17" s="186" t="n">
        <v>0.025</v>
      </c>
      <c r="BJ17" s="187" t="n">
        <v>101</v>
      </c>
      <c r="BK17" s="187" t="n">
        <v>0.5600000000000001</v>
      </c>
      <c r="BL17" s="185" t="inlineStr">
        <is>
          <t>Unknown</t>
        </is>
      </c>
      <c r="BM17" s="187" t="n">
        <v>2.06</v>
      </c>
      <c r="BN17" s="187" t="n">
        <v>0</v>
      </c>
      <c r="BO17" s="187" t="n">
        <v>0</v>
      </c>
      <c r="BP17" s="177" t="n">
        <v>0</v>
      </c>
      <c r="BQ17" s="177" t="n">
        <v>0</v>
      </c>
      <c r="BR17" s="177" t="n">
        <v>0</v>
      </c>
      <c r="BS17" s="177" t="n">
        <v>0</v>
      </c>
      <c r="BT17" s="177" t="n">
        <v>0</v>
      </c>
      <c r="BU17" s="177" t="n">
        <v>0</v>
      </c>
      <c r="BV17" s="177" t="n">
        <v>0</v>
      </c>
      <c r="BW17" s="177" t="n">
        <v>0</v>
      </c>
      <c r="BX17" s="177" t="n">
        <v>0</v>
      </c>
      <c r="BY17" s="177" t="n">
        <v>0</v>
      </c>
      <c r="BZ17" s="177" t="n">
        <v>0</v>
      </c>
      <c r="CA17" s="177" t="n">
        <v>0</v>
      </c>
      <c r="CB17" s="177" t="n">
        <v>0</v>
      </c>
      <c r="CC17" s="177" t="n">
        <v>0</v>
      </c>
      <c r="CD17" s="177" t="n">
        <v>0</v>
      </c>
      <c r="CE17" s="184" t="n">
        <v>0.03</v>
      </c>
      <c r="CF17" s="206" t="n">
        <v>7.53</v>
      </c>
      <c r="CG17" s="177" t="n">
        <v>0</v>
      </c>
      <c r="CH17" s="177" t="n">
        <v>0</v>
      </c>
      <c r="CI17" s="184" t="n">
        <v>0.3</v>
      </c>
      <c r="CJ17" s="185" t="inlineStr">
        <is>
          <t>Unknown</t>
        </is>
      </c>
      <c r="CK17" s="177" t="n">
        <v>0</v>
      </c>
      <c r="CL17" s="185" t="inlineStr">
        <is>
          <t>Unknown</t>
        </is>
      </c>
      <c r="CM17" s="177" t="n">
        <v>0</v>
      </c>
      <c r="CN17" s="177" t="n">
        <v>0</v>
      </c>
      <c r="CO17" s="177" t="n">
        <v>0</v>
      </c>
      <c r="CP17" s="177" t="n">
        <v>0</v>
      </c>
      <c r="CQ17" s="187" t="n">
        <v>0</v>
      </c>
      <c r="CR17" s="177" t="n">
        <v>0</v>
      </c>
      <c r="CS17" s="188" t="n">
        <v>0</v>
      </c>
      <c r="CT17" s="188" t="n">
        <v>0</v>
      </c>
      <c r="CU17" s="188" t="n">
        <v>0</v>
      </c>
      <c r="CV17" s="188" t="n">
        <v>0</v>
      </c>
    </row>
    <row r="18" ht="15" customHeight="1" s="160">
      <c r="B18" s="189" t="n">
        <v>11</v>
      </c>
      <c r="C18" s="189" t="inlineStr">
        <is>
          <t>Pre-Cooked Beet</t>
        </is>
      </c>
      <c r="D18" s="189" t="inlineStr">
        <is>
          <t>Whole Food</t>
        </is>
      </c>
      <c r="E18" s="189" t="n">
        <v>100</v>
      </c>
      <c r="F18" s="189" t="inlineStr">
        <is>
          <t>g (1 medium beet)</t>
        </is>
      </c>
      <c r="G18" s="189" t="inlineStr">
        <is>
          <t>Raw beets (conventional, roast weekly, ~1.50/lb)</t>
        </is>
      </c>
      <c r="H18" s="189" t="inlineStr">
        <is>
          <t>Walmart</t>
        </is>
      </c>
      <c r="I18" s="190" t="inlineStr">
        <is>
          <t>$1.50/1 lb</t>
        </is>
      </c>
      <c r="J18" s="191">
        <f>ROUND(L19/E19,0)</f>
        <v/>
      </c>
      <c r="K18" s="192">
        <f>ROUND((30/J19)*M19,2)</f>
        <v/>
      </c>
      <c r="L18" s="190" t="n">
        <v>454</v>
      </c>
      <c r="M18" s="190" t="n">
        <v>1.5</v>
      </c>
      <c r="N18" s="189" t="inlineStr">
        <is>
          <t>Nitrate — pairs w/ chocolate</t>
        </is>
      </c>
      <c r="O18" s="197" t="n">
        <v>30</v>
      </c>
      <c r="P18" s="198" t="n">
        <v>1</v>
      </c>
      <c r="Q18" s="177" t="n">
        <v>0</v>
      </c>
      <c r="R18" s="177" t="n">
        <v>0</v>
      </c>
      <c r="S18" s="177" t="n">
        <v>0</v>
      </c>
      <c r="T18" s="177" t="n">
        <v>0</v>
      </c>
      <c r="U18" s="198" t="n">
        <v>1</v>
      </c>
      <c r="V18" s="193">
        <f>IF(P19=0,"",ROUND((Q19*1.09+R19*1+S19*1.13+T19*0+U19*0.52)/P19,2))</f>
        <v/>
      </c>
      <c r="W18" s="198" t="n">
        <v>0</v>
      </c>
      <c r="X18" s="198" t="n">
        <v>0</v>
      </c>
      <c r="Y18" s="206" t="n">
        <v>0</v>
      </c>
      <c r="Z18" s="206" t="n">
        <v>0</v>
      </c>
      <c r="AA18" s="206" t="n">
        <v>0</v>
      </c>
      <c r="AB18" s="206" t="n">
        <v>0</v>
      </c>
      <c r="AC18" s="198" t="n">
        <v>0</v>
      </c>
      <c r="AD18" s="198" t="n">
        <v>10</v>
      </c>
      <c r="AE18" s="198" t="n">
        <v>6</v>
      </c>
      <c r="AF18" s="200" t="n">
        <v>0</v>
      </c>
      <c r="AG18" s="182">
        <f>AD19-AE19-AF19-AH19</f>
        <v/>
      </c>
      <c r="AH18" s="198" t="n">
        <v>2</v>
      </c>
      <c r="AI18" s="182">
        <f>AD19-AH19-AF19</f>
        <v/>
      </c>
      <c r="AJ18" s="206" t="n">
        <v>6</v>
      </c>
      <c r="AK18" s="206" t="n">
        <v>16</v>
      </c>
      <c r="AL18" s="206" t="n">
        <v>23</v>
      </c>
      <c r="AM18" s="206" t="n">
        <v>325</v>
      </c>
      <c r="AN18" s="206" t="n">
        <v>40</v>
      </c>
      <c r="AO18" s="198" t="n">
        <v>85</v>
      </c>
      <c r="AP18" s="202" t="inlineStr">
        <is>
          <t>Unknown</t>
        </is>
      </c>
      <c r="AQ18" s="187" t="n">
        <v>0.8</v>
      </c>
      <c r="AR18" s="187" t="n">
        <v>0.35</v>
      </c>
      <c r="AS18" s="186" t="n">
        <v>0.7</v>
      </c>
      <c r="AT18" s="187" t="n">
        <v>75</v>
      </c>
      <c r="AU18" s="187" t="n">
        <v>0.329</v>
      </c>
      <c r="AV18" s="185" t="inlineStr">
        <is>
          <t>Unknown</t>
        </is>
      </c>
      <c r="AW18" s="184" t="n">
        <v>0.4</v>
      </c>
      <c r="AX18" s="185" t="inlineStr">
        <is>
          <t>Unknown</t>
        </is>
      </c>
      <c r="AY18" s="186" t="n">
        <v>2</v>
      </c>
      <c r="AZ18" s="187" t="n">
        <v>4.9</v>
      </c>
      <c r="BA18" s="177" t="n">
        <v>0</v>
      </c>
      <c r="BB18" s="186" t="n">
        <v>0.04</v>
      </c>
      <c r="BC18" s="186" t="n">
        <v>0.2</v>
      </c>
      <c r="BD18" s="177" t="n">
        <v>0</v>
      </c>
      <c r="BE18" s="177" t="n">
        <v>0</v>
      </c>
      <c r="BF18" s="186" t="n">
        <v>0.031</v>
      </c>
      <c r="BG18" s="186" t="n">
        <v>0.04</v>
      </c>
      <c r="BH18" s="187" t="n">
        <v>0.334</v>
      </c>
      <c r="BI18" s="186" t="n">
        <v>0.067</v>
      </c>
      <c r="BJ18" s="187" t="n">
        <v>109</v>
      </c>
      <c r="BK18" s="177" t="n">
        <v>0</v>
      </c>
      <c r="BL18" s="185" t="inlineStr">
        <is>
          <t>Unknown</t>
        </is>
      </c>
      <c r="BM18" s="187" t="n">
        <v>0.155</v>
      </c>
      <c r="BN18" s="177" t="n">
        <v>0</v>
      </c>
      <c r="BO18" s="177" t="n">
        <v>0</v>
      </c>
      <c r="BP18" s="187" t="n">
        <v>0</v>
      </c>
      <c r="BQ18" s="177" t="n">
        <v>0</v>
      </c>
      <c r="BR18" s="177" t="n">
        <v>0</v>
      </c>
      <c r="BS18" s="177" t="n">
        <v>0</v>
      </c>
      <c r="BT18" s="177" t="n">
        <v>0</v>
      </c>
      <c r="BU18" s="177" t="n">
        <v>0</v>
      </c>
      <c r="BV18" s="177" t="n">
        <v>0</v>
      </c>
      <c r="BW18" s="187" t="n">
        <v>0</v>
      </c>
      <c r="BX18" s="187" t="n">
        <v>0</v>
      </c>
      <c r="BY18" s="187" t="n">
        <v>0</v>
      </c>
      <c r="BZ18" s="177" t="n">
        <v>0</v>
      </c>
      <c r="CA18" s="177" t="n">
        <v>0</v>
      </c>
      <c r="CB18" s="177" t="n">
        <v>0</v>
      </c>
      <c r="CC18" s="187" t="n">
        <v>25</v>
      </c>
      <c r="CD18" s="201" t="n">
        <v>300</v>
      </c>
      <c r="CE18" s="184" t="n">
        <v>0.2</v>
      </c>
      <c r="CF18" s="207" t="n">
        <v>0.068</v>
      </c>
      <c r="CG18" s="177" t="n">
        <v>0</v>
      </c>
      <c r="CH18" s="183" t="n">
        <v>0.7</v>
      </c>
      <c r="CI18" s="177" t="n">
        <v>0</v>
      </c>
      <c r="CJ18" s="185" t="inlineStr">
        <is>
          <t>Unknown</t>
        </is>
      </c>
      <c r="CK18" s="177" t="n">
        <v>0</v>
      </c>
      <c r="CL18" s="185" t="inlineStr">
        <is>
          <t>Unknown</t>
        </is>
      </c>
      <c r="CM18" s="177" t="n">
        <v>0</v>
      </c>
      <c r="CN18" s="177" t="n">
        <v>0</v>
      </c>
      <c r="CO18" s="177" t="n">
        <v>0</v>
      </c>
      <c r="CP18" s="177" t="n">
        <v>0</v>
      </c>
      <c r="CQ18" s="185" t="inlineStr">
        <is>
          <t>Unknown</t>
        </is>
      </c>
      <c r="CR18" s="177" t="n">
        <v>0</v>
      </c>
      <c r="CS18" s="188" t="n">
        <v>0</v>
      </c>
      <c r="CT18" s="188" t="n">
        <v>0</v>
      </c>
      <c r="CU18" s="188" t="n">
        <v>0</v>
      </c>
      <c r="CV18" s="188" t="n">
        <v>0</v>
      </c>
    </row>
    <row r="19" ht="15" customHeight="1" s="160">
      <c r="B19" s="189" t="n">
        <v>12</v>
      </c>
      <c r="C19" s="189" t="inlineStr">
        <is>
          <t>Cacao Powder (raw, ceremonial grade, low heavy metals)</t>
        </is>
      </c>
      <c r="D19" s="189" t="inlineStr">
        <is>
          <t>Culinary</t>
        </is>
      </c>
      <c r="E19" s="189" t="n">
        <v>50</v>
      </c>
      <c r="F19" s="189" t="inlineStr">
        <is>
          <t>g (2 tbsp + 2 tsp)</t>
        </is>
      </c>
      <c r="G19" s="189" t="inlineStr">
        <is>
          <t>Pacha Mana Organic Chuncho Cacao Powder (8 oz, full-fat non-defatted, low heavy metals, COA published, batch-tested)</t>
        </is>
      </c>
      <c r="H19" s="189" t="inlineStr">
        <is>
          <t>Amazon</t>
        </is>
      </c>
      <c r="I19" s="190" t="inlineStr">
        <is>
          <t>$35.00/8 oz</t>
        </is>
      </c>
      <c r="J19" s="191">
        <f>ROUND(L21/E21,0)</f>
        <v/>
      </c>
      <c r="K19" s="192">
        <f>ROUND((30/J21)*M21,2)</f>
        <v/>
      </c>
      <c r="L19" s="190" t="n">
        <v>227</v>
      </c>
      <c r="M19" s="190" t="n">
        <v>35</v>
      </c>
      <c r="N19" s="189" t="inlineStr">
        <is>
          <t>Blackout chocolate — primary flavor</t>
        </is>
      </c>
      <c r="O19" s="205" t="n">
        <v>57</v>
      </c>
      <c r="P19" s="206" t="n">
        <v>4.9</v>
      </c>
      <c r="Q19" s="177" t="n">
        <v>0</v>
      </c>
      <c r="R19" s="177" t="n">
        <v>0</v>
      </c>
      <c r="S19" s="177" t="n">
        <v>0</v>
      </c>
      <c r="T19" s="177" t="n">
        <v>0</v>
      </c>
      <c r="U19" s="206" t="n">
        <v>4.9</v>
      </c>
      <c r="V19" s="193">
        <f>IF(P21=0,"",ROUND((Q21*1.09+R21*1+S21*1.13+T21*0+U21*0.52)/P21,2))</f>
        <v/>
      </c>
      <c r="W19" s="206" t="n">
        <v>3.43</v>
      </c>
      <c r="X19" s="206" t="n">
        <v>2.02</v>
      </c>
      <c r="Y19" s="206" t="n">
        <v>1.14</v>
      </c>
      <c r="Z19" s="207" t="n">
        <v>0.11</v>
      </c>
      <c r="AA19" s="202" t="inlineStr">
        <is>
          <t>Unknown</t>
        </is>
      </c>
      <c r="AB19" s="202" t="inlineStr">
        <is>
          <t>Unknown</t>
        </is>
      </c>
      <c r="AC19" s="198" t="n">
        <v>0</v>
      </c>
      <c r="AD19" s="206" t="n">
        <v>14.5</v>
      </c>
      <c r="AE19" s="207" t="n">
        <v>0.44</v>
      </c>
      <c r="AF19" s="200" t="n">
        <v>0</v>
      </c>
      <c r="AG19" s="182">
        <f>AD21-AE21-AF21-AH21</f>
        <v/>
      </c>
      <c r="AH19" s="206" t="n">
        <v>9.25</v>
      </c>
      <c r="AI19" s="182">
        <f>AD21-AH21-AF21</f>
        <v/>
      </c>
      <c r="AJ19" s="206" t="n">
        <v>3</v>
      </c>
      <c r="AK19" s="206" t="n">
        <v>32</v>
      </c>
      <c r="AL19" s="206" t="n">
        <v>125</v>
      </c>
      <c r="AM19" s="206" t="n">
        <v>381</v>
      </c>
      <c r="AN19" s="206" t="n">
        <v>184</v>
      </c>
      <c r="AO19" s="207" t="n">
        <v>5</v>
      </c>
      <c r="AP19" s="202" t="inlineStr">
        <is>
          <t>Unknown</t>
        </is>
      </c>
      <c r="AQ19" s="187" t="n">
        <v>3.47</v>
      </c>
      <c r="AR19" s="187" t="n">
        <v>1.7</v>
      </c>
      <c r="AS19" s="187" t="n">
        <v>3.58</v>
      </c>
      <c r="AT19" s="187" t="n">
        <v>947</v>
      </c>
      <c r="AU19" s="187" t="n">
        <v>0.959</v>
      </c>
      <c r="AV19" s="185" t="inlineStr">
        <is>
          <t>Unknown</t>
        </is>
      </c>
      <c r="AW19" s="185" t="inlineStr">
        <is>
          <t>Unknown</t>
        </is>
      </c>
      <c r="AX19" s="185" t="inlineStr">
        <is>
          <t>Unknown</t>
        </is>
      </c>
      <c r="AY19" s="187" t="n">
        <v>0</v>
      </c>
      <c r="AZ19" s="187" t="n">
        <v>0</v>
      </c>
      <c r="BA19" s="177" t="n">
        <v>0</v>
      </c>
      <c r="BB19" s="186" t="n">
        <v>0.025</v>
      </c>
      <c r="BC19" s="186" t="n">
        <v>0.625</v>
      </c>
      <c r="BD19" s="177" t="n">
        <v>0</v>
      </c>
      <c r="BE19" s="177" t="n">
        <v>0</v>
      </c>
      <c r="BF19" s="186" t="n">
        <v>0.02</v>
      </c>
      <c r="BG19" s="186" t="n">
        <v>0.06</v>
      </c>
      <c r="BH19" s="187" t="n">
        <v>0.546</v>
      </c>
      <c r="BI19" s="186" t="n">
        <v>0.03</v>
      </c>
      <c r="BJ19" s="186" t="n">
        <v>8</v>
      </c>
      <c r="BK19" s="177" t="n">
        <v>0</v>
      </c>
      <c r="BL19" s="185" t="inlineStr">
        <is>
          <t>Unknown</t>
        </is>
      </c>
      <c r="BM19" s="186" t="n">
        <v>0.064</v>
      </c>
      <c r="BN19" s="177" t="n">
        <v>0</v>
      </c>
      <c r="BO19" s="177" t="n">
        <v>0</v>
      </c>
      <c r="BP19" s="187" t="n">
        <v>0</v>
      </c>
      <c r="BQ19" s="177" t="n">
        <v>0</v>
      </c>
      <c r="BR19" s="201" t="n">
        <v>125</v>
      </c>
      <c r="BS19" s="177" t="n">
        <v>0</v>
      </c>
      <c r="BT19" s="206" t="n">
        <v>1063</v>
      </c>
      <c r="BU19" s="177" t="n">
        <v>0</v>
      </c>
      <c r="BV19" s="206" t="n">
        <v>2.5</v>
      </c>
      <c r="BW19" s="186" t="n">
        <v>0.015</v>
      </c>
      <c r="BX19" s="185" t="inlineStr">
        <is>
          <t>Unknown</t>
        </is>
      </c>
      <c r="BY19" s="185" t="inlineStr">
        <is>
          <t>Unknown</t>
        </is>
      </c>
      <c r="BZ19" s="177" t="n">
        <v>0</v>
      </c>
      <c r="CA19" s="177" t="n">
        <v>0</v>
      </c>
      <c r="CB19" s="177" t="n">
        <v>0</v>
      </c>
      <c r="CC19" s="183" t="n">
        <v>38</v>
      </c>
      <c r="CD19" s="177" t="n">
        <v>0</v>
      </c>
      <c r="CE19" s="184" t="n">
        <v>0.2</v>
      </c>
      <c r="CF19" s="206" t="n">
        <v>0.297</v>
      </c>
      <c r="CG19" s="177" t="n">
        <v>0</v>
      </c>
      <c r="CH19" s="183" t="n">
        <v>3.2</v>
      </c>
      <c r="CI19" s="177" t="n">
        <v>0</v>
      </c>
      <c r="CJ19" s="185" t="inlineStr">
        <is>
          <t>Unknown</t>
        </is>
      </c>
      <c r="CK19" s="177" t="n">
        <v>0</v>
      </c>
      <c r="CL19" s="185" t="inlineStr">
        <is>
          <t>Unknown</t>
        </is>
      </c>
      <c r="CM19" s="177" t="n">
        <v>0</v>
      </c>
      <c r="CN19" s="187" t="n">
        <v>57.5</v>
      </c>
      <c r="CO19" s="177" t="n">
        <v>0</v>
      </c>
      <c r="CP19" s="177" t="n">
        <v>0</v>
      </c>
      <c r="CQ19" s="185" t="inlineStr">
        <is>
          <t>Unknown</t>
        </is>
      </c>
      <c r="CR19" s="177" t="n">
        <v>0</v>
      </c>
      <c r="CS19" s="210" t="n">
        <v>0.25</v>
      </c>
      <c r="CT19" s="210" t="n">
        <v>3.15</v>
      </c>
      <c r="CU19" s="209" t="inlineStr">
        <is>
          <t>Unknown</t>
        </is>
      </c>
      <c r="CV19" s="209" t="inlineStr">
        <is>
          <t>Unknown</t>
        </is>
      </c>
    </row>
    <row r="20" ht="15" customHeight="1" s="160">
      <c r="B20" s="170" t="n">
        <v>13</v>
      </c>
      <c r="C20" s="170" t="inlineStr">
        <is>
          <t>Matcha Powder (decaf, ceremonial grade)</t>
        </is>
      </c>
      <c r="D20" s="170" t="inlineStr">
        <is>
          <t>Culinary</t>
        </is>
      </c>
      <c r="E20" s="170" t="n">
        <v>5</v>
      </c>
      <c r="F20" s="170" t="inlineStr">
        <is>
          <t>g (2½ tsp)</t>
        </is>
      </c>
      <c r="G20" s="170" t="inlineStr">
        <is>
          <t>Jade Leaf Matcha Organic Culinary Grade (100g, Japanese, not decaf)</t>
        </is>
      </c>
      <c r="H20" s="170" t="inlineStr">
        <is>
          <t>Amazon</t>
        </is>
      </c>
      <c r="I20" s="171" t="inlineStr">
        <is>
          <t>$27.99/100g</t>
        </is>
      </c>
      <c r="J20" s="172">
        <f>ROUND(L22/E22,0)</f>
        <v/>
      </c>
      <c r="K20" s="173">
        <f>ROUND((30/J22)*M22,2)</f>
        <v/>
      </c>
      <c r="L20" s="171" t="n">
        <v>100</v>
      </c>
      <c r="M20" s="171" t="n">
        <v>27.99</v>
      </c>
      <c r="N20" s="170" t="inlineStr">
        <is>
          <t>EGCG</t>
        </is>
      </c>
      <c r="O20" s="211" t="n">
        <v>17</v>
      </c>
      <c r="P20" s="201" t="n">
        <v>1.6</v>
      </c>
      <c r="Q20" s="177" t="n">
        <v>0</v>
      </c>
      <c r="R20" s="177" t="n">
        <v>0</v>
      </c>
      <c r="S20" s="177" t="n">
        <v>0</v>
      </c>
      <c r="T20" s="177" t="n">
        <v>0</v>
      </c>
      <c r="U20" s="201" t="n">
        <v>1.6</v>
      </c>
      <c r="V20" s="178">
        <f>IF(P22=0,"",ROUND((Q22*1.09+R22*1+S22*1.13+T22*0+U22*0.52)/P22,2))</f>
        <v/>
      </c>
      <c r="W20" s="207" t="n">
        <v>0.36</v>
      </c>
      <c r="X20" s="207" t="n">
        <v>0.061</v>
      </c>
      <c r="Y20" s="207" t="n">
        <v>0.017</v>
      </c>
      <c r="Z20" s="206" t="n">
        <v>0.29</v>
      </c>
      <c r="AA20" s="206" t="n">
        <v>0.24</v>
      </c>
      <c r="AB20" s="207" t="n">
        <v>0.046</v>
      </c>
      <c r="AC20" s="198" t="n">
        <v>0</v>
      </c>
      <c r="AD20" s="201" t="n">
        <v>1.9</v>
      </c>
      <c r="AE20" s="201" t="n">
        <v>0</v>
      </c>
      <c r="AF20" s="200" t="n">
        <v>0</v>
      </c>
      <c r="AG20" s="182">
        <f>AD22-AE22-AF22-AH22</f>
        <v/>
      </c>
      <c r="AH20" s="201" t="n">
        <v>1.9</v>
      </c>
      <c r="AI20" s="182">
        <f>AD22-AH22-AF22</f>
        <v/>
      </c>
      <c r="AJ20" s="202" t="inlineStr">
        <is>
          <t>Unknown</t>
        </is>
      </c>
      <c r="AK20" s="201" t="n">
        <v>21</v>
      </c>
      <c r="AL20" s="201" t="n">
        <v>11.5</v>
      </c>
      <c r="AM20" s="201" t="n">
        <v>135</v>
      </c>
      <c r="AN20" s="201" t="n">
        <v>17.5</v>
      </c>
      <c r="AO20" s="201" t="n">
        <v>0</v>
      </c>
      <c r="AP20" s="202" t="inlineStr">
        <is>
          <t>Unknown</t>
        </is>
      </c>
      <c r="AQ20" s="183" t="n">
        <v>0.85</v>
      </c>
      <c r="AR20" s="183" t="n">
        <v>0.31</v>
      </c>
      <c r="AS20" s="185" t="inlineStr">
        <is>
          <t>Unknown</t>
        </is>
      </c>
      <c r="AT20" s="185" t="inlineStr">
        <is>
          <t>Unknown</t>
        </is>
      </c>
      <c r="AU20" s="185" t="inlineStr">
        <is>
          <t>Unknown</t>
        </is>
      </c>
      <c r="AV20" s="185" t="inlineStr">
        <is>
          <t>Unknown</t>
        </is>
      </c>
      <c r="AW20" s="185" t="inlineStr">
        <is>
          <t>Unknown</t>
        </is>
      </c>
      <c r="AX20" s="185" t="inlineStr">
        <is>
          <t>Unknown</t>
        </is>
      </c>
      <c r="AY20" s="185" t="inlineStr">
        <is>
          <t>Unknown</t>
        </is>
      </c>
      <c r="AZ20" s="183" t="n">
        <v>12.5</v>
      </c>
      <c r="BA20" s="177" t="n">
        <v>0</v>
      </c>
      <c r="BB20" s="185" t="inlineStr">
        <is>
          <t>Unknown</t>
        </is>
      </c>
      <c r="BC20" s="183" t="n">
        <v>145</v>
      </c>
      <c r="BD20" s="177" t="n">
        <v>0</v>
      </c>
      <c r="BE20" s="177" t="n">
        <v>0</v>
      </c>
      <c r="BF20" s="185" t="inlineStr">
        <is>
          <t>Unknown</t>
        </is>
      </c>
      <c r="BG20" s="185" t="inlineStr">
        <is>
          <t>Unknown</t>
        </is>
      </c>
      <c r="BH20" s="185" t="inlineStr">
        <is>
          <t>Unknown</t>
        </is>
      </c>
      <c r="BI20" s="185" t="inlineStr">
        <is>
          <t>Unknown</t>
        </is>
      </c>
      <c r="BJ20" s="185" t="inlineStr">
        <is>
          <t>Unknown</t>
        </is>
      </c>
      <c r="BK20" s="177" t="n">
        <v>0</v>
      </c>
      <c r="BL20" s="185" t="inlineStr">
        <is>
          <t>Unknown</t>
        </is>
      </c>
      <c r="BM20" s="185" t="inlineStr">
        <is>
          <t>Unknown</t>
        </is>
      </c>
      <c r="BN20" s="177" t="n">
        <v>0</v>
      </c>
      <c r="BO20" s="177" t="n">
        <v>0</v>
      </c>
      <c r="BP20" s="177" t="n">
        <v>0</v>
      </c>
      <c r="BQ20" s="206" t="n">
        <v>200</v>
      </c>
      <c r="BR20" s="177" t="n">
        <v>0</v>
      </c>
      <c r="BS20" s="177" t="n">
        <v>0</v>
      </c>
      <c r="BT20" s="177" t="n">
        <v>0</v>
      </c>
      <c r="BU20" s="177" t="n">
        <v>0</v>
      </c>
      <c r="BV20" s="202" t="inlineStr">
        <is>
          <t>Unknown</t>
        </is>
      </c>
      <c r="BW20" s="185" t="inlineStr">
        <is>
          <t>Unknown</t>
        </is>
      </c>
      <c r="BX20" s="202" t="inlineStr">
        <is>
          <t>Unknown</t>
        </is>
      </c>
      <c r="BY20" s="185" t="inlineStr">
        <is>
          <t>Unknown</t>
        </is>
      </c>
      <c r="BZ20" s="177" t="n">
        <v>0</v>
      </c>
      <c r="CA20" s="177" t="n">
        <v>0</v>
      </c>
      <c r="CB20" s="177" t="n">
        <v>0</v>
      </c>
      <c r="CC20" s="185" t="inlineStr">
        <is>
          <t>Unknown</t>
        </is>
      </c>
      <c r="CD20" s="177" t="n">
        <v>0</v>
      </c>
      <c r="CE20" s="185" t="inlineStr">
        <is>
          <t>Unknown</t>
        </is>
      </c>
      <c r="CF20" s="202" t="inlineStr">
        <is>
          <t>Unknown</t>
        </is>
      </c>
      <c r="CG20" s="177" t="n">
        <v>0</v>
      </c>
      <c r="CH20" s="183" t="n">
        <v>0.7</v>
      </c>
      <c r="CI20" s="177" t="n">
        <v>0</v>
      </c>
      <c r="CJ20" s="185" t="inlineStr">
        <is>
          <t>Unknown</t>
        </is>
      </c>
      <c r="CK20" s="177" t="n">
        <v>0</v>
      </c>
      <c r="CL20" s="185" t="inlineStr">
        <is>
          <t>Unknown</t>
        </is>
      </c>
      <c r="CM20" s="177" t="n">
        <v>0</v>
      </c>
      <c r="CN20" s="187" t="n">
        <v>160</v>
      </c>
      <c r="CO20" s="177" t="n">
        <v>0</v>
      </c>
      <c r="CP20" s="187" t="n">
        <v>350</v>
      </c>
      <c r="CQ20" s="185" t="inlineStr">
        <is>
          <t>Unknown</t>
        </is>
      </c>
      <c r="CR20" s="177" t="n">
        <v>0</v>
      </c>
      <c r="CS20" s="188" t="n">
        <v>0</v>
      </c>
      <c r="CT20" s="188" t="n">
        <v>0</v>
      </c>
      <c r="CU20" s="188" t="n">
        <v>0</v>
      </c>
      <c r="CV20" s="188" t="n">
        <v>0</v>
      </c>
    </row>
    <row r="21" ht="15" customHeight="1" s="160">
      <c r="B21" s="363" t="n">
        <v>14</v>
      </c>
      <c r="C21" s="363" t="inlineStr">
        <is>
          <t>Medjool Date</t>
        </is>
      </c>
      <c r="D21" s="363" t="inlineStr">
        <is>
          <t>Culinary</t>
        </is>
      </c>
      <c r="E21" s="363" t="n">
        <v>24</v>
      </c>
      <c r="F21" s="363" t="inlineStr">
        <is>
          <t>g</t>
        </is>
      </c>
      <c r="G21" s="363" t="inlineStr">
        <is>
          <t>Medjool Dates, pitted (2 lb bag, Natural Delights or similar)</t>
        </is>
      </c>
      <c r="H21" s="363" t="inlineStr">
        <is>
          <t>Walmart</t>
        </is>
      </c>
      <c r="I21" s="364" t="inlineStr">
        <is>
          <t>$13.00/2 lb</t>
        </is>
      </c>
      <c r="J21" s="365">
        <f>ROUND(L23/E23,0)</f>
        <v/>
      </c>
      <c r="K21" s="366">
        <f>ROUND((30/J23)*M23,2)</f>
        <v/>
      </c>
      <c r="L21" s="364" t="n">
        <v>907</v>
      </c>
      <c r="M21" s="364" t="n">
        <v>13</v>
      </c>
      <c r="N21" s="363" t="inlineStr">
        <is>
          <t>Caramel sweetness + fiber + potassium (1 date/day)</t>
        </is>
      </c>
      <c r="O21" s="350" t="n">
        <v>66.5</v>
      </c>
      <c r="P21" s="351" t="n">
        <v>0.43</v>
      </c>
      <c r="Q21" s="352" t="n">
        <v>0</v>
      </c>
      <c r="R21" s="352" t="n">
        <v>0</v>
      </c>
      <c r="S21" s="352" t="n">
        <v>0</v>
      </c>
      <c r="T21" s="352" t="n">
        <v>0</v>
      </c>
      <c r="U21" s="351" t="n">
        <v>0.43</v>
      </c>
      <c r="V21" s="353" t="n">
        <v>0</v>
      </c>
      <c r="W21" s="351" t="n">
        <v>0.036</v>
      </c>
      <c r="X21" s="354" t="n">
        <v>0</v>
      </c>
      <c r="Y21" s="354" t="n">
        <v>0</v>
      </c>
      <c r="Z21" s="354" t="n">
        <v>0</v>
      </c>
      <c r="AA21" s="354" t="n">
        <v>0</v>
      </c>
      <c r="AB21" s="354" t="n">
        <v>0</v>
      </c>
      <c r="AC21" s="354" t="n">
        <v>0</v>
      </c>
      <c r="AD21" s="354" t="n">
        <v>18</v>
      </c>
      <c r="AE21" s="354" t="n">
        <v>16</v>
      </c>
      <c r="AF21" s="355" t="n">
        <v>0</v>
      </c>
      <c r="AG21" s="356" t="n">
        <v>0</v>
      </c>
      <c r="AH21" s="351" t="n">
        <v>1.61</v>
      </c>
      <c r="AI21" s="356" t="n">
        <v>0</v>
      </c>
      <c r="AJ21" s="351" t="n">
        <v>2.38</v>
      </c>
      <c r="AK21" s="351" t="n">
        <v>15.4</v>
      </c>
      <c r="AL21" s="351" t="n">
        <v>13</v>
      </c>
      <c r="AM21" s="351" t="n">
        <v>167</v>
      </c>
      <c r="AN21" s="351" t="n">
        <v>14.9</v>
      </c>
      <c r="AO21" s="351" t="n">
        <v>0.24</v>
      </c>
      <c r="AP21" s="357" t="inlineStr">
        <is>
          <t>Unknown</t>
        </is>
      </c>
      <c r="AQ21" s="358" t="n">
        <v>0.216</v>
      </c>
      <c r="AR21" s="358" t="n">
        <v>0.106</v>
      </c>
      <c r="AS21" s="358" t="inlineStr">
        <is>
          <t>Unknown</t>
        </is>
      </c>
      <c r="AT21" s="358" t="n">
        <v>86.90000000000001</v>
      </c>
      <c r="AU21" s="358" t="n">
        <v>0.07099999999999999</v>
      </c>
      <c r="AV21" s="359" t="inlineStr">
        <is>
          <t>Unknown</t>
        </is>
      </c>
      <c r="AW21" s="359" t="inlineStr">
        <is>
          <t>Unknown</t>
        </is>
      </c>
      <c r="AX21" s="359" t="inlineStr">
        <is>
          <t>Unknown</t>
        </is>
      </c>
      <c r="AY21" s="358" t="n">
        <v>1.68</v>
      </c>
      <c r="AZ21" s="358" t="n">
        <v>0</v>
      </c>
      <c r="BA21" s="352" t="n">
        <v>0</v>
      </c>
      <c r="BB21" s="358" t="n">
        <v>0</v>
      </c>
      <c r="BC21" s="358" t="n">
        <v>0.65</v>
      </c>
      <c r="BD21" s="352" t="n">
        <v>0</v>
      </c>
      <c r="BE21" s="352" t="n">
        <v>0</v>
      </c>
      <c r="BF21" s="358" t="n">
        <v>0.012</v>
      </c>
      <c r="BG21" s="358" t="n">
        <v>0.0144</v>
      </c>
      <c r="BH21" s="358" t="n">
        <v>0.386</v>
      </c>
      <c r="BI21" s="358" t="n">
        <v>0.0598</v>
      </c>
      <c r="BJ21" s="358" t="n">
        <v>3.6</v>
      </c>
      <c r="BK21" s="352" t="n">
        <v>0</v>
      </c>
      <c r="BL21" s="359" t="inlineStr">
        <is>
          <t>Unknown</t>
        </is>
      </c>
      <c r="BM21" s="358" t="n">
        <v>0.193</v>
      </c>
      <c r="BN21" s="352" t="n">
        <v>0</v>
      </c>
      <c r="BO21" s="352" t="n">
        <v>0</v>
      </c>
      <c r="BP21" s="351" t="n">
        <v>0</v>
      </c>
      <c r="BQ21" s="352" t="n">
        <v>0</v>
      </c>
      <c r="BR21" s="352" t="n">
        <v>0</v>
      </c>
      <c r="BS21" s="357" t="n">
        <v>0</v>
      </c>
      <c r="BT21" s="358" t="n">
        <v>0</v>
      </c>
      <c r="BU21" s="352" t="n">
        <v>0</v>
      </c>
      <c r="BV21" s="351" t="n">
        <v>0</v>
      </c>
      <c r="BW21" s="359" t="n">
        <v>0</v>
      </c>
      <c r="BX21" s="359" t="n">
        <v>5.5</v>
      </c>
      <c r="BY21" s="359" t="n">
        <v>0</v>
      </c>
      <c r="BZ21" s="352" t="n">
        <v>0</v>
      </c>
      <c r="CA21" s="352" t="n">
        <v>0</v>
      </c>
      <c r="CB21" s="352" t="n">
        <v>0</v>
      </c>
      <c r="CC21" s="359" t="n">
        <v>0</v>
      </c>
      <c r="CD21" s="352" t="n">
        <v>0</v>
      </c>
      <c r="CE21" s="359" t="n">
        <v>0</v>
      </c>
      <c r="CF21" s="359" t="n">
        <v>0.0197</v>
      </c>
      <c r="CG21" s="352" t="n">
        <v>0</v>
      </c>
      <c r="CH21" s="352" t="n">
        <v>0.38</v>
      </c>
      <c r="CI21" s="352" t="n">
        <v>0</v>
      </c>
      <c r="CJ21" s="359" t="n">
        <v>0</v>
      </c>
      <c r="CK21" s="352" t="n">
        <v>0</v>
      </c>
      <c r="CL21" s="359" t="inlineStr">
        <is>
          <t>Unknown</t>
        </is>
      </c>
      <c r="CM21" s="352" t="n">
        <v>0</v>
      </c>
      <c r="CN21" s="358" t="n">
        <v>0</v>
      </c>
      <c r="CO21" s="352" t="n">
        <v>0</v>
      </c>
      <c r="CP21" s="352" t="n">
        <v>0</v>
      </c>
      <c r="CQ21" s="359" t="n">
        <v>0</v>
      </c>
      <c r="CR21" s="352" t="n">
        <v>0</v>
      </c>
      <c r="CS21" s="360" t="inlineStr">
        <is>
          <t>Unknown</t>
        </is>
      </c>
      <c r="CT21" s="360" t="inlineStr">
        <is>
          <t>Unknown</t>
        </is>
      </c>
      <c r="CU21" s="360" t="inlineStr">
        <is>
          <t>Unknown</t>
        </is>
      </c>
      <c r="CV21" s="360" t="inlineStr">
        <is>
          <t>Unknown</t>
        </is>
      </c>
    </row>
    <row r="22" ht="15" customHeight="1" s="160">
      <c r="B22" s="170" t="n">
        <v>15</v>
      </c>
      <c r="C22" s="170" t="inlineStr">
        <is>
          <t>Extra Virgin Olive Oil (cold-pressed, polyphenol-rich)</t>
        </is>
      </c>
      <c r="D22" s="170" t="inlineStr">
        <is>
          <t>Culinary</t>
        </is>
      </c>
      <c r="E22" s="170" t="n">
        <v>45</v>
      </c>
      <c r="F22" s="170" t="inlineStr">
        <is>
          <t>ml (3 tbsp)</t>
        </is>
      </c>
      <c r="G22" s="170" t="inlineStr">
        <is>
          <t>PJ KABOS Family Reserve Organic - Robust (2-pack, 2x500ml, 699 mg/kg polyphenols HPLC-verified, USDA Organic, Greek, cold extracted)</t>
        </is>
      </c>
      <c r="H22" s="170" t="inlineStr">
        <is>
          <t>Amazon / pjkabos.com</t>
        </is>
      </c>
      <c r="I22" s="171" t="inlineStr">
        <is>
          <t>$74.90/2x500ml</t>
        </is>
      </c>
      <c r="J22" s="172">
        <f>ROUND(L24/E24,0)</f>
        <v/>
      </c>
      <c r="K22" s="173">
        <f>ROUND((30/J24)*M24,2)</f>
        <v/>
      </c>
      <c r="L22" s="171" t="n">
        <v>1000</v>
      </c>
      <c r="M22" s="171" t="n">
        <v>74.90000000000001</v>
      </c>
      <c r="N22" s="170" t="inlineStr">
        <is>
          <t>Hydroxytyrosol + MUFA</t>
        </is>
      </c>
      <c r="O22" s="205" t="n">
        <v>362</v>
      </c>
      <c r="P22" s="206" t="n">
        <v>0</v>
      </c>
      <c r="Q22" s="177" t="n">
        <v>0</v>
      </c>
      <c r="R22" s="177" t="n">
        <v>0</v>
      </c>
      <c r="S22" s="177" t="n">
        <v>0</v>
      </c>
      <c r="T22" s="177" t="n">
        <v>0</v>
      </c>
      <c r="U22" s="177" t="n">
        <v>0</v>
      </c>
      <c r="V22" s="178">
        <f>IF(P24=0,"",ROUND((Q24*1.09+R24*1+S24*1.13+T24*0+U24*0.52)/P24,2))</f>
        <v/>
      </c>
      <c r="W22" s="206" t="n">
        <v>41</v>
      </c>
      <c r="X22" s="206" t="n">
        <v>5.66</v>
      </c>
      <c r="Y22" s="206" t="n">
        <v>29.2</v>
      </c>
      <c r="Z22" s="206" t="n">
        <v>4.31</v>
      </c>
      <c r="AA22" s="206" t="n">
        <v>0.31</v>
      </c>
      <c r="AB22" s="206" t="n">
        <v>4</v>
      </c>
      <c r="AC22" s="198" t="n">
        <v>0</v>
      </c>
      <c r="AD22" s="206" t="n">
        <v>0</v>
      </c>
      <c r="AE22" s="198" t="n">
        <v>0</v>
      </c>
      <c r="AF22" s="200" t="n">
        <v>0</v>
      </c>
      <c r="AG22" s="182">
        <f>AD24-AE24-AF24-AH24</f>
        <v/>
      </c>
      <c r="AH22" s="206" t="n">
        <v>0</v>
      </c>
      <c r="AI22" s="182">
        <f>AD24-AH24-AF24</f>
        <v/>
      </c>
      <c r="AJ22" s="207" t="n">
        <v>0.12</v>
      </c>
      <c r="AK22" s="207" t="n">
        <v>0.4</v>
      </c>
      <c r="AL22" s="206" t="n">
        <v>0</v>
      </c>
      <c r="AM22" s="207" t="n">
        <v>0.4</v>
      </c>
      <c r="AN22" s="206" t="n">
        <v>0</v>
      </c>
      <c r="AO22" s="207" t="n">
        <v>0.8</v>
      </c>
      <c r="AP22" s="202" t="inlineStr">
        <is>
          <t>Unknown</t>
        </is>
      </c>
      <c r="AQ22" s="186" t="n">
        <v>0.23</v>
      </c>
      <c r="AR22" s="187" t="n">
        <v>0</v>
      </c>
      <c r="AS22" s="187" t="n">
        <v>0</v>
      </c>
      <c r="AT22" s="187" t="n">
        <v>0</v>
      </c>
      <c r="AU22" s="187" t="n">
        <v>0</v>
      </c>
      <c r="AV22" s="185" t="inlineStr">
        <is>
          <t>Unknown</t>
        </is>
      </c>
      <c r="AW22" s="186" t="n">
        <v>0.12</v>
      </c>
      <c r="AX22" s="185" t="inlineStr">
        <is>
          <t>Unknown</t>
        </is>
      </c>
      <c r="AY22" s="187" t="n">
        <v>0</v>
      </c>
      <c r="AZ22" s="187" t="n">
        <v>0</v>
      </c>
      <c r="BA22" s="177" t="n">
        <v>0</v>
      </c>
      <c r="BB22" s="187" t="n">
        <v>5.88</v>
      </c>
      <c r="BC22" s="187" t="n">
        <v>24.7</v>
      </c>
      <c r="BD22" s="177" t="n">
        <v>0</v>
      </c>
      <c r="BE22" s="177" t="n">
        <v>0</v>
      </c>
      <c r="BF22" s="187" t="n">
        <v>0</v>
      </c>
      <c r="BG22" s="187" t="n">
        <v>0</v>
      </c>
      <c r="BH22" s="187" t="n">
        <v>0</v>
      </c>
      <c r="BI22" s="187" t="n">
        <v>0</v>
      </c>
      <c r="BJ22" s="187" t="n">
        <v>0</v>
      </c>
      <c r="BK22" s="177" t="n">
        <v>0</v>
      </c>
      <c r="BL22" s="185" t="inlineStr">
        <is>
          <t>Unknown</t>
        </is>
      </c>
      <c r="BM22" s="187" t="n">
        <v>0</v>
      </c>
      <c r="BN22" s="177" t="n">
        <v>0</v>
      </c>
      <c r="BO22" s="177" t="n">
        <v>0</v>
      </c>
      <c r="BP22" s="177" t="n">
        <v>0</v>
      </c>
      <c r="BQ22" s="177" t="n">
        <v>0</v>
      </c>
      <c r="BR22" s="177" t="n">
        <v>0</v>
      </c>
      <c r="BS22" s="177" t="n">
        <v>0</v>
      </c>
      <c r="BT22" s="177" t="n">
        <v>0</v>
      </c>
      <c r="BU22" s="201" t="n">
        <v>9.5</v>
      </c>
      <c r="BV22" s="185" t="inlineStr">
        <is>
          <t>Unknown</t>
        </is>
      </c>
      <c r="BW22" s="183" t="n">
        <v>1.7</v>
      </c>
      <c r="BX22" s="185" t="inlineStr">
        <is>
          <t>Unknown</t>
        </is>
      </c>
      <c r="BY22" s="185" t="inlineStr">
        <is>
          <t>Unknown</t>
        </is>
      </c>
      <c r="BZ22" s="177" t="n">
        <v>0</v>
      </c>
      <c r="CA22" s="177" t="n">
        <v>0</v>
      </c>
      <c r="CB22" s="177" t="n">
        <v>0</v>
      </c>
      <c r="CC22" s="206" t="n">
        <v>91</v>
      </c>
      <c r="CD22" s="177" t="n">
        <v>0</v>
      </c>
      <c r="CE22" s="185" t="inlineStr">
        <is>
          <t>Unknown</t>
        </is>
      </c>
      <c r="CF22" s="177" t="n">
        <v>0</v>
      </c>
      <c r="CG22" s="177" t="n">
        <v>0</v>
      </c>
      <c r="CH22" s="177" t="n">
        <v>0</v>
      </c>
      <c r="CI22" s="177" t="n">
        <v>0</v>
      </c>
      <c r="CJ22" s="183" t="n">
        <v>1.2</v>
      </c>
      <c r="CK22" s="177" t="n">
        <v>0</v>
      </c>
      <c r="CL22" s="185" t="inlineStr">
        <is>
          <t>Unknown</t>
        </is>
      </c>
      <c r="CM22" s="177" t="n">
        <v>0</v>
      </c>
      <c r="CN22" s="177" t="n">
        <v>0</v>
      </c>
      <c r="CO22" s="177" t="n">
        <v>0</v>
      </c>
      <c r="CP22" s="177" t="n">
        <v>0</v>
      </c>
      <c r="CQ22" s="186" t="n">
        <v>0.34</v>
      </c>
      <c r="CR22" s="177" t="n">
        <v>0</v>
      </c>
      <c r="CS22" s="188" t="n">
        <v>0</v>
      </c>
      <c r="CT22" s="188" t="n">
        <v>0</v>
      </c>
      <c r="CU22" s="188" t="n">
        <v>0</v>
      </c>
      <c r="CV22" s="188" t="n">
        <v>0</v>
      </c>
    </row>
    <row r="23" ht="15" customHeight="1" s="160">
      <c r="B23" s="189" t="n">
        <v>16</v>
      </c>
      <c r="C23" s="189" t="inlineStr">
        <is>
          <t>Sunflower Lecithin (deoiled powder)</t>
        </is>
      </c>
      <c r="D23" s="189" t="inlineStr">
        <is>
          <t>Culinary</t>
        </is>
      </c>
      <c r="E23" s="189" t="n">
        <v>20</v>
      </c>
      <c r="F23" s="189" t="inlineStr">
        <is>
          <t>g (¼ cup)</t>
        </is>
      </c>
      <c r="G23" s="189" t="inlineStr">
        <is>
          <t>NOW Foods Sunflower Lecithin Pure Powder (1 lb, naturally occurring phosphatidyl choline)</t>
        </is>
      </c>
      <c r="H23" s="189" t="inlineStr">
        <is>
          <t>Amazon</t>
        </is>
      </c>
      <c r="I23" s="190" t="inlineStr">
        <is>
          <t>$18.99/1 lb</t>
        </is>
      </c>
      <c r="J23" s="191">
        <f>ROUND(L25/E25,0)</f>
        <v/>
      </c>
      <c r="K23" s="192">
        <f>ROUND((30/J25)*M25,2)</f>
        <v/>
      </c>
      <c r="L23" s="190" t="n">
        <v>454</v>
      </c>
      <c r="M23" s="190" t="n">
        <v>18.99</v>
      </c>
      <c r="N23" s="189" t="inlineStr">
        <is>
          <t>Emulsifier + choline (~230mg)</t>
        </is>
      </c>
      <c r="O23" s="211" t="n">
        <v>75</v>
      </c>
      <c r="P23" s="198" t="n">
        <v>0</v>
      </c>
      <c r="Q23" s="177" t="n">
        <v>0</v>
      </c>
      <c r="R23" s="177" t="n">
        <v>0</v>
      </c>
      <c r="S23" s="177" t="n">
        <v>0</v>
      </c>
      <c r="T23" s="177" t="n">
        <v>0</v>
      </c>
      <c r="U23" s="198" t="n">
        <v>0</v>
      </c>
      <c r="V23" s="193">
        <f>IF(P25=0,"",ROUND((Q25*1.09+R25*1+S25*1.13+T25*0+U25*0.52)/P25,2))</f>
        <v/>
      </c>
      <c r="W23" s="201" t="n">
        <v>3</v>
      </c>
      <c r="X23" s="208" t="n">
        <v>0.33</v>
      </c>
      <c r="Y23" s="201" t="n">
        <v>0.6</v>
      </c>
      <c r="Z23" s="201" t="n">
        <v>1.95</v>
      </c>
      <c r="AA23" s="208" t="n">
        <v>0.03</v>
      </c>
      <c r="AB23" s="201" t="n">
        <v>1.95</v>
      </c>
      <c r="AC23" s="198" t="n">
        <v>0</v>
      </c>
      <c r="AD23" s="201" t="n">
        <v>2</v>
      </c>
      <c r="AE23" s="198" t="n">
        <v>0</v>
      </c>
      <c r="AF23" s="200" t="n">
        <v>0</v>
      </c>
      <c r="AG23" s="182">
        <f>AD25-AE25-AF25-AH25</f>
        <v/>
      </c>
      <c r="AH23" s="198" t="n">
        <v>0</v>
      </c>
      <c r="AI23" s="182">
        <f>AD25-AH25-AF25</f>
        <v/>
      </c>
      <c r="AJ23" s="198" t="n">
        <v>657</v>
      </c>
      <c r="AK23" s="198" t="n">
        <v>0</v>
      </c>
      <c r="AL23" s="198" t="n">
        <v>0</v>
      </c>
      <c r="AM23" s="198" t="n">
        <v>0</v>
      </c>
      <c r="AN23" s="198" t="n">
        <v>0</v>
      </c>
      <c r="AO23" s="198" t="n">
        <v>0</v>
      </c>
      <c r="AP23" s="198" t="n">
        <v>0</v>
      </c>
      <c r="AQ23" s="177" t="n">
        <v>0</v>
      </c>
      <c r="AR23" s="177" t="n">
        <v>0</v>
      </c>
      <c r="AS23" s="177" t="n">
        <v>0</v>
      </c>
      <c r="AT23" s="177" t="n">
        <v>0</v>
      </c>
      <c r="AU23" s="177" t="n">
        <v>0</v>
      </c>
      <c r="AV23" s="177" t="n">
        <v>0</v>
      </c>
      <c r="AW23" s="177" t="n">
        <v>0</v>
      </c>
      <c r="AX23" s="177" t="n">
        <v>0</v>
      </c>
      <c r="AY23" s="177" t="n">
        <v>0</v>
      </c>
      <c r="AZ23" s="177" t="n">
        <v>0</v>
      </c>
      <c r="BA23" s="177" t="n">
        <v>0</v>
      </c>
      <c r="BB23" s="177" t="n">
        <v>0</v>
      </c>
      <c r="BC23" s="177" t="n">
        <v>0</v>
      </c>
      <c r="BD23" s="177" t="n">
        <v>0</v>
      </c>
      <c r="BE23" s="177" t="n">
        <v>0</v>
      </c>
      <c r="BF23" s="177" t="n">
        <v>0</v>
      </c>
      <c r="BG23" s="177" t="n">
        <v>0</v>
      </c>
      <c r="BH23" s="177" t="n">
        <v>0</v>
      </c>
      <c r="BI23" s="177" t="n">
        <v>0</v>
      </c>
      <c r="BJ23" s="177" t="n">
        <v>0</v>
      </c>
      <c r="BK23" s="177" t="n">
        <v>0</v>
      </c>
      <c r="BL23" s="177" t="n">
        <v>0</v>
      </c>
      <c r="BM23" s="177" t="n">
        <v>0</v>
      </c>
      <c r="BN23" s="177" t="n">
        <v>0</v>
      </c>
      <c r="BO23" s="177" t="n">
        <v>0</v>
      </c>
      <c r="BP23" s="177" t="n">
        <v>0</v>
      </c>
      <c r="BQ23" s="177" t="n">
        <v>0</v>
      </c>
      <c r="BR23" s="177" t="n">
        <v>0</v>
      </c>
      <c r="BS23" s="177" t="n">
        <v>0</v>
      </c>
      <c r="BT23" s="177" t="n">
        <v>0</v>
      </c>
      <c r="BU23" s="177" t="n">
        <v>0</v>
      </c>
      <c r="BV23" s="177" t="n">
        <v>0</v>
      </c>
      <c r="BW23" s="177" t="n">
        <v>0</v>
      </c>
      <c r="BX23" s="177" t="n">
        <v>0</v>
      </c>
      <c r="BY23" s="177" t="n">
        <v>0</v>
      </c>
      <c r="BZ23" s="177" t="n">
        <v>0</v>
      </c>
      <c r="CA23" s="177" t="n">
        <v>0</v>
      </c>
      <c r="CB23" s="177" t="n">
        <v>0</v>
      </c>
      <c r="CC23" s="177" t="n">
        <v>0</v>
      </c>
      <c r="CD23" s="177" t="n">
        <v>0</v>
      </c>
      <c r="CE23" s="177" t="n">
        <v>0</v>
      </c>
      <c r="CF23" s="177" t="n">
        <v>0</v>
      </c>
      <c r="CG23" s="177" t="n">
        <v>0</v>
      </c>
      <c r="CH23" s="177" t="n">
        <v>0</v>
      </c>
      <c r="CI23" s="177" t="n">
        <v>0</v>
      </c>
      <c r="CJ23" s="177" t="n">
        <v>0</v>
      </c>
      <c r="CK23" s="177" t="n">
        <v>0</v>
      </c>
      <c r="CL23" s="177" t="n">
        <v>0</v>
      </c>
      <c r="CM23" s="177" t="n">
        <v>0</v>
      </c>
      <c r="CN23" s="177" t="n">
        <v>0</v>
      </c>
      <c r="CO23" s="177" t="n">
        <v>0</v>
      </c>
      <c r="CP23" s="177" t="n">
        <v>0</v>
      </c>
      <c r="CQ23" s="177" t="n">
        <v>0</v>
      </c>
      <c r="CR23" s="177" t="n">
        <v>0</v>
      </c>
      <c r="CS23" s="188" t="n">
        <v>0</v>
      </c>
      <c r="CT23" s="188" t="n">
        <v>0</v>
      </c>
      <c r="CU23" s="188" t="n">
        <v>0</v>
      </c>
      <c r="CV23" s="188" t="n">
        <v>0</v>
      </c>
    </row>
    <row r="24" ht="15" customHeight="1" s="160">
      <c r="B24" s="170" t="n">
        <v>17</v>
      </c>
      <c r="C24" s="170" t="inlineStr">
        <is>
          <t>Iodized Salt</t>
        </is>
      </c>
      <c r="D24" s="170" t="inlineStr">
        <is>
          <t>Culinary</t>
        </is>
      </c>
      <c r="E24" s="170" t="n">
        <v>1</v>
      </c>
      <c r="F24" s="170" t="inlineStr">
        <is>
          <t>g</t>
        </is>
      </c>
      <c r="G24" s="170" t="inlineStr">
        <is>
          <t>Morton Iodized Himalayan Pink Salt (22 oz)</t>
        </is>
      </c>
      <c r="H24" s="170" t="inlineStr">
        <is>
          <t>Walmart / Amazon</t>
        </is>
      </c>
      <c r="I24" s="171" t="inlineStr">
        <is>
          <t>$6.78/22 oz</t>
        </is>
      </c>
      <c r="J24" s="172">
        <f>ROUND(L26/E26,0)</f>
        <v/>
      </c>
      <c r="K24" s="173">
        <f>ROUND((30/J26)*M26,2)</f>
        <v/>
      </c>
      <c r="L24" s="171" t="n">
        <v>623</v>
      </c>
      <c r="M24" s="171" t="n">
        <v>6.78</v>
      </c>
      <c r="N24" s="170" t="inlineStr">
        <is>
          <t>Flavor — suppresses bitterness</t>
        </is>
      </c>
      <c r="O24" s="197" t="n">
        <v>0</v>
      </c>
      <c r="P24" s="198" t="n">
        <v>0</v>
      </c>
      <c r="Q24" s="177" t="n">
        <v>0</v>
      </c>
      <c r="R24" s="177" t="n">
        <v>0</v>
      </c>
      <c r="S24" s="177" t="n">
        <v>0</v>
      </c>
      <c r="T24" s="177" t="n">
        <v>0</v>
      </c>
      <c r="U24" s="177" t="n">
        <v>0</v>
      </c>
      <c r="V24" s="178">
        <f>IF(P26=0,"",ROUND((Q26*1.09+R26*1+S26*1.13+T26*0+U26*0.52)/P26,2))</f>
        <v/>
      </c>
      <c r="W24" s="198" t="n">
        <v>0</v>
      </c>
      <c r="X24" s="198" t="n">
        <v>0</v>
      </c>
      <c r="Y24" s="198" t="n">
        <v>0</v>
      </c>
      <c r="Z24" s="198" t="n">
        <v>0</v>
      </c>
      <c r="AA24" s="198" t="n">
        <v>0</v>
      </c>
      <c r="AB24" s="198" t="n">
        <v>0</v>
      </c>
      <c r="AC24" s="198" t="n">
        <v>0</v>
      </c>
      <c r="AD24" s="198" t="n">
        <v>0</v>
      </c>
      <c r="AE24" s="198" t="n">
        <v>0</v>
      </c>
      <c r="AF24" s="200" t="n">
        <v>0</v>
      </c>
      <c r="AG24" s="182">
        <f>AD26-AE26-AF26-AH26</f>
        <v/>
      </c>
      <c r="AH24" s="198" t="n">
        <v>0</v>
      </c>
      <c r="AI24" s="182">
        <f>AD26-AH26-AF26</f>
        <v/>
      </c>
      <c r="AJ24" s="198" t="n">
        <v>0</v>
      </c>
      <c r="AK24" s="198" t="n">
        <v>0</v>
      </c>
      <c r="AL24" s="198" t="n">
        <v>0</v>
      </c>
      <c r="AM24" s="198" t="n">
        <v>0</v>
      </c>
      <c r="AN24" s="198" t="n">
        <v>0</v>
      </c>
      <c r="AO24" s="198" t="n">
        <v>400</v>
      </c>
      <c r="AP24" s="198" t="n">
        <v>0</v>
      </c>
      <c r="AQ24" s="177" t="n">
        <v>0</v>
      </c>
      <c r="AR24" s="177" t="n">
        <v>0</v>
      </c>
      <c r="AS24" s="177" t="n">
        <v>0</v>
      </c>
      <c r="AT24" s="177" t="n">
        <v>0</v>
      </c>
      <c r="AU24" s="177" t="n">
        <v>0</v>
      </c>
      <c r="AV24" s="177" t="n">
        <v>0</v>
      </c>
      <c r="AW24" s="177" t="n">
        <v>30</v>
      </c>
      <c r="AX24" s="177" t="n">
        <v>0</v>
      </c>
      <c r="AY24" s="177" t="n">
        <v>0</v>
      </c>
      <c r="AZ24" s="177" t="n">
        <v>0</v>
      </c>
      <c r="BA24" s="177" t="n">
        <v>0</v>
      </c>
      <c r="BB24" s="177" t="n">
        <v>0</v>
      </c>
      <c r="BC24" s="177" t="n">
        <v>0</v>
      </c>
      <c r="BD24" s="177" t="n">
        <v>0</v>
      </c>
      <c r="BE24" s="177" t="n">
        <v>0</v>
      </c>
      <c r="BF24" s="177" t="n">
        <v>0</v>
      </c>
      <c r="BG24" s="177" t="n">
        <v>0</v>
      </c>
      <c r="BH24" s="177" t="n">
        <v>0</v>
      </c>
      <c r="BI24" s="177" t="n">
        <v>0</v>
      </c>
      <c r="BJ24" s="177" t="n">
        <v>0</v>
      </c>
      <c r="BK24" s="177" t="n">
        <v>0</v>
      </c>
      <c r="BL24" s="177" t="n">
        <v>0</v>
      </c>
      <c r="BM24" s="177" t="n">
        <v>0</v>
      </c>
      <c r="BN24" s="177" t="n">
        <v>0</v>
      </c>
      <c r="BO24" s="177" t="n">
        <v>0</v>
      </c>
      <c r="BP24" s="177" t="n">
        <v>0</v>
      </c>
      <c r="BQ24" s="177" t="n">
        <v>0</v>
      </c>
      <c r="BR24" s="177" t="n">
        <v>0</v>
      </c>
      <c r="BS24" s="177" t="n">
        <v>0</v>
      </c>
      <c r="BT24" s="177" t="n">
        <v>0</v>
      </c>
      <c r="BU24" s="177" t="n">
        <v>0</v>
      </c>
      <c r="BV24" s="177" t="n">
        <v>0</v>
      </c>
      <c r="BW24" s="177" t="n">
        <v>0</v>
      </c>
      <c r="BX24" s="177" t="n">
        <v>0</v>
      </c>
      <c r="BY24" s="177" t="n">
        <v>0</v>
      </c>
      <c r="BZ24" s="177" t="n">
        <v>0</v>
      </c>
      <c r="CA24" s="177" t="n">
        <v>0</v>
      </c>
      <c r="CB24" s="177" t="n">
        <v>0</v>
      </c>
      <c r="CC24" s="177" t="n">
        <v>0</v>
      </c>
      <c r="CD24" s="177" t="n">
        <v>0</v>
      </c>
      <c r="CE24" s="177" t="n">
        <v>0</v>
      </c>
      <c r="CF24" s="177" t="n">
        <v>0</v>
      </c>
      <c r="CG24" s="177" t="n">
        <v>0</v>
      </c>
      <c r="CH24" s="177" t="n">
        <v>0</v>
      </c>
      <c r="CI24" s="177" t="n">
        <v>0</v>
      </c>
      <c r="CJ24" s="177" t="n">
        <v>0</v>
      </c>
      <c r="CK24" s="177" t="n">
        <v>0</v>
      </c>
      <c r="CL24" s="177" t="n">
        <v>0</v>
      </c>
      <c r="CM24" s="177" t="n">
        <v>0</v>
      </c>
      <c r="CN24" s="177" t="n">
        <v>0</v>
      </c>
      <c r="CO24" s="177" t="n">
        <v>0</v>
      </c>
      <c r="CP24" s="177" t="n">
        <v>0</v>
      </c>
      <c r="CQ24" s="177" t="n">
        <v>0</v>
      </c>
      <c r="CR24" s="177" t="n">
        <v>0</v>
      </c>
      <c r="CS24" s="188" t="n">
        <v>0</v>
      </c>
      <c r="CT24" s="188" t="n">
        <v>0</v>
      </c>
      <c r="CU24" s="188" t="n">
        <v>0</v>
      </c>
      <c r="CV24" s="188" t="n">
        <v>0</v>
      </c>
    </row>
    <row r="25" ht="15" customHeight="1" s="160">
      <c r="B25" s="189" t="n">
        <v>18</v>
      </c>
      <c r="C25" s="189" t="inlineStr">
        <is>
          <t>Vanilla Extract (pure, Madagascar)</t>
        </is>
      </c>
      <c r="D25" s="189" t="inlineStr">
        <is>
          <t>Culinary</t>
        </is>
      </c>
      <c r="E25" s="189" t="n">
        <v>5</v>
      </c>
      <c r="F25" s="189" t="inlineStr">
        <is>
          <t>ml (1 tsp)</t>
        </is>
      </c>
      <c r="G25" s="189" t="inlineStr">
        <is>
          <t>Vanilla Extract, Pure (4 fl oz)</t>
        </is>
      </c>
      <c r="H25" s="189" t="inlineStr">
        <is>
          <t>Walmart</t>
        </is>
      </c>
      <c r="I25" s="190" t="inlineStr">
        <is>
          <t>$11.00/4 fl oz</t>
        </is>
      </c>
      <c r="J25" s="191">
        <f>ROUND(L27/E27,0)</f>
        <v/>
      </c>
      <c r="K25" s="192">
        <f>ROUND((30/J27)*M27,2)</f>
        <v/>
      </c>
      <c r="L25" s="190" t="n">
        <v>118</v>
      </c>
      <c r="M25" s="190" t="n">
        <v>11</v>
      </c>
      <c r="N25" s="189" t="inlineStr">
        <is>
          <t>Custard note</t>
        </is>
      </c>
      <c r="O25" s="211" t="n">
        <v>15</v>
      </c>
      <c r="P25" s="198" t="n">
        <v>0</v>
      </c>
      <c r="Q25" s="177" t="n">
        <v>0</v>
      </c>
      <c r="R25" s="177" t="n">
        <v>0</v>
      </c>
      <c r="S25" s="177" t="n">
        <v>0</v>
      </c>
      <c r="T25" s="177" t="n">
        <v>0</v>
      </c>
      <c r="U25" s="177" t="n">
        <v>0</v>
      </c>
      <c r="V25" s="193">
        <f>IF(P27=0,"",ROUND((Q27*1.09+R27*1+S27*1.13+T27*0+U27*0.52)/P27,2))</f>
        <v/>
      </c>
      <c r="W25" s="198" t="n">
        <v>0</v>
      </c>
      <c r="X25" s="198" t="n">
        <v>0</v>
      </c>
      <c r="Y25" s="198" t="n">
        <v>0</v>
      </c>
      <c r="Z25" s="198" t="n">
        <v>0</v>
      </c>
      <c r="AA25" s="198" t="n">
        <v>0</v>
      </c>
      <c r="AB25" s="198" t="n">
        <v>0</v>
      </c>
      <c r="AC25" s="198" t="n">
        <v>0</v>
      </c>
      <c r="AD25" s="208" t="n">
        <v>0.66</v>
      </c>
      <c r="AE25" s="208" t="n">
        <v>0.66</v>
      </c>
      <c r="AF25" s="200" t="n">
        <v>0</v>
      </c>
      <c r="AG25" s="182">
        <f>AD27-AE27-AF27-AH27</f>
        <v/>
      </c>
      <c r="AH25" s="198" t="n">
        <v>0</v>
      </c>
      <c r="AI25" s="182">
        <f>AD27-AH27-AF27</f>
        <v/>
      </c>
      <c r="AJ25" s="198" t="n">
        <v>0</v>
      </c>
      <c r="AK25" s="198" t="n">
        <v>0</v>
      </c>
      <c r="AL25" s="198" t="n">
        <v>0</v>
      </c>
      <c r="AM25" s="198" t="n">
        <v>0</v>
      </c>
      <c r="AN25" s="198" t="n">
        <v>0</v>
      </c>
      <c r="AO25" s="198" t="n">
        <v>0</v>
      </c>
      <c r="AP25" s="198" t="n">
        <v>0</v>
      </c>
      <c r="AQ25" s="177" t="n">
        <v>0</v>
      </c>
      <c r="AR25" s="177" t="n">
        <v>0</v>
      </c>
      <c r="AS25" s="177" t="n">
        <v>0</v>
      </c>
      <c r="AT25" s="177" t="n">
        <v>0</v>
      </c>
      <c r="AU25" s="177" t="n">
        <v>0</v>
      </c>
      <c r="AV25" s="177" t="n">
        <v>0</v>
      </c>
      <c r="AW25" s="177" t="n">
        <v>0</v>
      </c>
      <c r="AX25" s="177" t="n">
        <v>0</v>
      </c>
      <c r="AY25" s="177" t="n">
        <v>0</v>
      </c>
      <c r="AZ25" s="177" t="n">
        <v>0</v>
      </c>
      <c r="BA25" s="177" t="n">
        <v>0</v>
      </c>
      <c r="BB25" s="177" t="n">
        <v>0</v>
      </c>
      <c r="BC25" s="177" t="n">
        <v>0</v>
      </c>
      <c r="BD25" s="177" t="n">
        <v>0</v>
      </c>
      <c r="BE25" s="177" t="n">
        <v>0</v>
      </c>
      <c r="BF25" s="177" t="n">
        <v>0</v>
      </c>
      <c r="BG25" s="177" t="n">
        <v>0</v>
      </c>
      <c r="BH25" s="177" t="n">
        <v>0</v>
      </c>
      <c r="BI25" s="177" t="n">
        <v>0</v>
      </c>
      <c r="BJ25" s="177" t="n">
        <v>0</v>
      </c>
      <c r="BK25" s="177" t="n">
        <v>0</v>
      </c>
      <c r="BL25" s="177" t="n">
        <v>0</v>
      </c>
      <c r="BM25" s="177" t="n">
        <v>0</v>
      </c>
      <c r="BN25" s="177" t="n">
        <v>0</v>
      </c>
      <c r="BO25" s="177" t="n">
        <v>0</v>
      </c>
      <c r="BP25" s="177" t="n">
        <v>0</v>
      </c>
      <c r="BQ25" s="177" t="n">
        <v>0</v>
      </c>
      <c r="BR25" s="177" t="n">
        <v>0</v>
      </c>
      <c r="BS25" s="177" t="n">
        <v>0</v>
      </c>
      <c r="BT25" s="177" t="n">
        <v>0</v>
      </c>
      <c r="BU25" s="177" t="n">
        <v>0</v>
      </c>
      <c r="BV25" s="177" t="n">
        <v>0</v>
      </c>
      <c r="BW25" s="177" t="n">
        <v>0</v>
      </c>
      <c r="BX25" s="177" t="n">
        <v>0</v>
      </c>
      <c r="BY25" s="177" t="n">
        <v>0</v>
      </c>
      <c r="BZ25" s="177" t="n">
        <v>0</v>
      </c>
      <c r="CA25" s="177" t="n">
        <v>0</v>
      </c>
      <c r="CB25" s="177" t="n">
        <v>0</v>
      </c>
      <c r="CC25" s="177" t="n">
        <v>0</v>
      </c>
      <c r="CD25" s="177" t="n">
        <v>0</v>
      </c>
      <c r="CE25" s="177" t="n">
        <v>0</v>
      </c>
      <c r="CF25" s="177" t="n">
        <v>0</v>
      </c>
      <c r="CG25" s="177" t="n">
        <v>0</v>
      </c>
      <c r="CH25" s="177" t="n">
        <v>0</v>
      </c>
      <c r="CI25" s="177" t="n">
        <v>0</v>
      </c>
      <c r="CJ25" s="177" t="n">
        <v>0</v>
      </c>
      <c r="CK25" s="177" t="n">
        <v>0</v>
      </c>
      <c r="CL25" s="177" t="n">
        <v>0</v>
      </c>
      <c r="CM25" s="177" t="n">
        <v>0</v>
      </c>
      <c r="CN25" s="177" t="n">
        <v>0</v>
      </c>
      <c r="CO25" s="177" t="n">
        <v>0</v>
      </c>
      <c r="CP25" s="177" t="n">
        <v>0</v>
      </c>
      <c r="CQ25" s="177" t="n">
        <v>0</v>
      </c>
      <c r="CR25" s="177" t="n">
        <v>0</v>
      </c>
      <c r="CS25" s="210" t="n">
        <v>0</v>
      </c>
      <c r="CT25" s="210" t="n">
        <v>0</v>
      </c>
      <c r="CU25" s="210" t="n">
        <v>0</v>
      </c>
      <c r="CV25" s="210" t="n">
        <v>0</v>
      </c>
    </row>
    <row r="26" ht="15" customHeight="1" s="160">
      <c r="B26" s="170" t="n">
        <v>19</v>
      </c>
      <c r="C26" s="170" t="inlineStr">
        <is>
          <t>Ceylon Cinnamon</t>
        </is>
      </c>
      <c r="D26" s="170" t="inlineStr">
        <is>
          <t>Culinary</t>
        </is>
      </c>
      <c r="E26" s="170" t="n">
        <v>2</v>
      </c>
      <c r="F26" s="170" t="inlineStr">
        <is>
          <t>g (½ tsp)</t>
        </is>
      </c>
      <c r="G26" s="170" t="inlineStr">
        <is>
          <t>Simply Organic Ground Ceylon Cinnamon (2.08 oz, USDA Organic, Cinnamomum verum)</t>
        </is>
      </c>
      <c r="H26" s="170" t="inlineStr">
        <is>
          <t>Amazon</t>
        </is>
      </c>
      <c r="I26" s="171" t="inlineStr">
        <is>
          <t>$7.29/2.08 oz</t>
        </is>
      </c>
      <c r="J26" s="172">
        <f>ROUND(L28/E28,0)</f>
        <v/>
      </c>
      <c r="K26" s="173">
        <f>ROUND((30/J28)*M28,2)</f>
        <v/>
      </c>
      <c r="L26" s="171" t="n">
        <v>59</v>
      </c>
      <c r="M26" s="171" t="n">
        <v>7.29</v>
      </c>
      <c r="N26" s="170" t="inlineStr">
        <is>
          <t>Warm depth — insulin sensitizer</t>
        </is>
      </c>
      <c r="O26" s="212" t="n">
        <v>5</v>
      </c>
      <c r="P26" s="207" t="n">
        <v>0.08</v>
      </c>
      <c r="Q26" s="177" t="n">
        <v>0</v>
      </c>
      <c r="R26" s="177" t="n">
        <v>0</v>
      </c>
      <c r="S26" s="177" t="n">
        <v>0</v>
      </c>
      <c r="T26" s="177" t="n">
        <v>0</v>
      </c>
      <c r="U26" s="207" t="n">
        <v>0.08</v>
      </c>
      <c r="V26" s="178">
        <f>IF(P28=0,"",ROUND((Q28*1.09+R28*1+S28*1.13+T28*0+U28*0.52)/P28,2))</f>
        <v/>
      </c>
      <c r="W26" s="207" t="n">
        <v>0.02</v>
      </c>
      <c r="X26" s="198" t="n">
        <v>0</v>
      </c>
      <c r="Y26" s="198" t="n">
        <v>0</v>
      </c>
      <c r="Z26" s="198" t="n">
        <v>0</v>
      </c>
      <c r="AA26" s="198" t="n">
        <v>0</v>
      </c>
      <c r="AB26" s="198" t="n">
        <v>0</v>
      </c>
      <c r="AC26" s="198" t="n">
        <v>0</v>
      </c>
      <c r="AD26" s="206" t="n">
        <v>1.61</v>
      </c>
      <c r="AE26" s="207" t="n">
        <v>0.04</v>
      </c>
      <c r="AF26" s="200" t="n">
        <v>0</v>
      </c>
      <c r="AG26" s="182">
        <f>AD28-AE28-AF28-AH28</f>
        <v/>
      </c>
      <c r="AH26" s="206" t="n">
        <v>1.06</v>
      </c>
      <c r="AI26" s="182">
        <f>AD28-AH28-AF28</f>
        <v/>
      </c>
      <c r="AJ26" s="207" t="n">
        <v>0.22</v>
      </c>
      <c r="AK26" s="206" t="n">
        <v>20</v>
      </c>
      <c r="AL26" s="207" t="n">
        <v>1.2</v>
      </c>
      <c r="AM26" s="206" t="n">
        <v>8.6</v>
      </c>
      <c r="AN26" s="207" t="n">
        <v>1.3</v>
      </c>
      <c r="AO26" s="207" t="n">
        <v>0.2</v>
      </c>
      <c r="AP26" s="202" t="inlineStr">
        <is>
          <t>Unknown</t>
        </is>
      </c>
      <c r="AQ26" s="186" t="n">
        <v>0.17</v>
      </c>
      <c r="AR26" s="186" t="n">
        <v>0.04</v>
      </c>
      <c r="AS26" s="186" t="n">
        <v>0.06</v>
      </c>
      <c r="AT26" s="186" t="n">
        <v>7</v>
      </c>
      <c r="AU26" s="187" t="n">
        <v>0.35</v>
      </c>
      <c r="AV26" s="185" t="inlineStr">
        <is>
          <t>Unknown</t>
        </is>
      </c>
      <c r="AW26" s="185" t="inlineStr">
        <is>
          <t>Unknown</t>
        </is>
      </c>
      <c r="AX26" s="185" t="inlineStr">
        <is>
          <t>Unknown</t>
        </is>
      </c>
      <c r="AY26" s="177" t="n">
        <v>0</v>
      </c>
      <c r="AZ26" s="177" t="n">
        <v>0</v>
      </c>
      <c r="BA26" s="177" t="n">
        <v>0</v>
      </c>
      <c r="BB26" s="177" t="n">
        <v>0</v>
      </c>
      <c r="BC26" s="177" t="n">
        <v>0</v>
      </c>
      <c r="BD26" s="177" t="n">
        <v>0</v>
      </c>
      <c r="BE26" s="177" t="n">
        <v>0</v>
      </c>
      <c r="BF26" s="177" t="n">
        <v>0</v>
      </c>
      <c r="BG26" s="177" t="n">
        <v>0</v>
      </c>
      <c r="BH26" s="177" t="n">
        <v>0</v>
      </c>
      <c r="BI26" s="177" t="n">
        <v>0</v>
      </c>
      <c r="BJ26" s="177" t="n">
        <v>0</v>
      </c>
      <c r="BK26" s="177" t="n">
        <v>0</v>
      </c>
      <c r="BL26" s="177" t="n">
        <v>0</v>
      </c>
      <c r="BM26" s="177" t="n">
        <v>0</v>
      </c>
      <c r="BN26" s="177" t="n">
        <v>0</v>
      </c>
      <c r="BO26" s="177" t="n">
        <v>0</v>
      </c>
      <c r="BP26" s="177" t="n">
        <v>0</v>
      </c>
      <c r="BQ26" s="177" t="n">
        <v>0</v>
      </c>
      <c r="BR26" s="177" t="n">
        <v>0</v>
      </c>
      <c r="BS26" s="177" t="n">
        <v>0</v>
      </c>
      <c r="BT26" s="198" t="n">
        <v>0</v>
      </c>
      <c r="BU26" s="177" t="n">
        <v>0</v>
      </c>
      <c r="BV26" s="177" t="n">
        <v>0</v>
      </c>
      <c r="BW26" s="177" t="n">
        <v>0</v>
      </c>
      <c r="BX26" s="177" t="n">
        <v>0</v>
      </c>
      <c r="BY26" s="177" t="n">
        <v>0</v>
      </c>
      <c r="BZ26" s="177" t="n">
        <v>0</v>
      </c>
      <c r="CA26" s="177" t="n">
        <v>0</v>
      </c>
      <c r="CB26" s="177" t="n">
        <v>0</v>
      </c>
      <c r="CC26" s="177" t="n">
        <v>0</v>
      </c>
      <c r="CD26" s="177" t="n">
        <v>0</v>
      </c>
      <c r="CE26" s="177" t="n">
        <v>0</v>
      </c>
      <c r="CF26" s="177" t="n">
        <v>0</v>
      </c>
      <c r="CG26" s="177" t="n">
        <v>0</v>
      </c>
      <c r="CH26" s="177" t="n">
        <v>0</v>
      </c>
      <c r="CI26" s="177" t="n">
        <v>0</v>
      </c>
      <c r="CJ26" s="177" t="n">
        <v>0</v>
      </c>
      <c r="CK26" s="177" t="n">
        <v>0</v>
      </c>
      <c r="CL26" s="177" t="n">
        <v>0</v>
      </c>
      <c r="CM26" s="177" t="n">
        <v>0</v>
      </c>
      <c r="CN26" s="177" t="n">
        <v>0</v>
      </c>
      <c r="CO26" s="177" t="n">
        <v>0</v>
      </c>
      <c r="CP26" s="177" t="n">
        <v>0</v>
      </c>
      <c r="CQ26" s="177" t="n">
        <v>0</v>
      </c>
      <c r="CR26" s="177" t="n">
        <v>0</v>
      </c>
      <c r="CS26" s="188" t="n">
        <v>0</v>
      </c>
      <c r="CT26" s="188" t="n">
        <v>0</v>
      </c>
      <c r="CU26" s="188" t="n">
        <v>0</v>
      </c>
      <c r="CV26" s="188" t="n">
        <v>0</v>
      </c>
    </row>
    <row r="27" ht="15" customHeight="1" s="160">
      <c r="B27" s="189" t="n">
        <v>20</v>
      </c>
      <c r="C27" s="189" t="inlineStr">
        <is>
          <t>Allulose</t>
        </is>
      </c>
      <c r="D27" s="189" t="inlineStr">
        <is>
          <t>Culinary</t>
        </is>
      </c>
      <c r="E27" s="189" t="n">
        <v>20</v>
      </c>
      <c r="F27" s="189" t="inlineStr">
        <is>
          <t>g</t>
        </is>
      </c>
      <c r="G27" s="189" t="inlineStr">
        <is>
          <t>NOW Foods Slender Zero Organic Allulose Powder (12 oz, USDA Organic, from organic non-GMO corn)</t>
        </is>
      </c>
      <c r="H27" s="189" t="inlineStr">
        <is>
          <t>Amazon</t>
        </is>
      </c>
      <c r="I27" s="190" t="inlineStr">
        <is>
          <t>$13.00/12 oz</t>
        </is>
      </c>
      <c r="J27" s="191">
        <f>ROUND(L29/E29,0)</f>
        <v/>
      </c>
      <c r="K27" s="192">
        <f>ROUND((30/J29)*M29,2)</f>
        <v/>
      </c>
      <c r="L27" s="190" t="n">
        <v>340</v>
      </c>
      <c r="M27" s="190" t="n">
        <v>13</v>
      </c>
      <c r="N27" s="189" t="inlineStr">
        <is>
          <t>Sweetener — rare sugar, 0.2 cal/g, no insulin response</t>
        </is>
      </c>
      <c r="O27" s="197" t="n">
        <v>4</v>
      </c>
      <c r="P27" s="198" t="n">
        <v>0</v>
      </c>
      <c r="Q27" s="177" t="n">
        <v>0</v>
      </c>
      <c r="R27" s="177" t="n">
        <v>0</v>
      </c>
      <c r="S27" s="177" t="n">
        <v>0</v>
      </c>
      <c r="T27" s="177" t="n">
        <v>0</v>
      </c>
      <c r="U27" s="177" t="n">
        <v>0</v>
      </c>
      <c r="V27" s="193">
        <f>IF(P29=0,"",ROUND((Q29*1.09+R29*1+S29*1.13+T29*0+U29*0.52)/P29,2))</f>
        <v/>
      </c>
      <c r="W27" s="198" t="n">
        <v>0</v>
      </c>
      <c r="X27" s="198" t="n">
        <v>0</v>
      </c>
      <c r="Y27" s="198" t="n">
        <v>0</v>
      </c>
      <c r="Z27" s="198" t="n">
        <v>0</v>
      </c>
      <c r="AA27" s="198" t="n">
        <v>0</v>
      </c>
      <c r="AB27" s="198" t="n">
        <v>0</v>
      </c>
      <c r="AC27" s="198" t="n">
        <v>0</v>
      </c>
      <c r="AD27" s="198" t="n">
        <v>20</v>
      </c>
      <c r="AE27" s="198" t="n">
        <v>20</v>
      </c>
      <c r="AF27" s="200" t="n">
        <v>0</v>
      </c>
      <c r="AG27" s="182">
        <f>AD29-AE29-AF29-AH29</f>
        <v/>
      </c>
      <c r="AH27" s="198" t="n">
        <v>0</v>
      </c>
      <c r="AI27" s="182">
        <f>AD29-AH29-AF29</f>
        <v/>
      </c>
      <c r="AJ27" s="198" t="n">
        <v>0</v>
      </c>
      <c r="AK27" s="198" t="n">
        <v>0</v>
      </c>
      <c r="AL27" s="198" t="n">
        <v>0</v>
      </c>
      <c r="AM27" s="198" t="n">
        <v>0</v>
      </c>
      <c r="AN27" s="198" t="n">
        <v>0</v>
      </c>
      <c r="AO27" s="198" t="n">
        <v>0</v>
      </c>
      <c r="AP27" s="198" t="n">
        <v>0</v>
      </c>
      <c r="AQ27" s="177" t="n">
        <v>0</v>
      </c>
      <c r="AR27" s="177" t="n">
        <v>0</v>
      </c>
      <c r="AS27" s="177" t="n">
        <v>0</v>
      </c>
      <c r="AT27" s="177" t="n">
        <v>0</v>
      </c>
      <c r="AU27" s="177" t="n">
        <v>0</v>
      </c>
      <c r="AV27" s="177" t="n">
        <v>0</v>
      </c>
      <c r="AW27" s="177" t="n">
        <v>0</v>
      </c>
      <c r="AX27" s="177" t="n">
        <v>0</v>
      </c>
      <c r="AY27" s="177" t="n">
        <v>0</v>
      </c>
      <c r="AZ27" s="177" t="n">
        <v>0</v>
      </c>
      <c r="BA27" s="177" t="n">
        <v>0</v>
      </c>
      <c r="BB27" s="177" t="n">
        <v>0</v>
      </c>
      <c r="BC27" s="177" t="n">
        <v>0</v>
      </c>
      <c r="BD27" s="177" t="n">
        <v>0</v>
      </c>
      <c r="BE27" s="177" t="n">
        <v>0</v>
      </c>
      <c r="BF27" s="177" t="n">
        <v>0</v>
      </c>
      <c r="BG27" s="177" t="n">
        <v>0</v>
      </c>
      <c r="BH27" s="177" t="n">
        <v>0</v>
      </c>
      <c r="BI27" s="177" t="n">
        <v>0</v>
      </c>
      <c r="BJ27" s="177" t="n">
        <v>0</v>
      </c>
      <c r="BK27" s="177" t="n">
        <v>0</v>
      </c>
      <c r="BL27" s="177" t="n">
        <v>0</v>
      </c>
      <c r="BM27" s="177" t="n">
        <v>0</v>
      </c>
      <c r="BN27" s="177" t="n">
        <v>0</v>
      </c>
      <c r="BO27" s="177" t="n">
        <v>0</v>
      </c>
      <c r="BP27" s="177" t="n">
        <v>0</v>
      </c>
      <c r="BQ27" s="177" t="n">
        <v>0</v>
      </c>
      <c r="BR27" s="177" t="n">
        <v>0</v>
      </c>
      <c r="BS27" s="177" t="n">
        <v>0</v>
      </c>
      <c r="BT27" s="177" t="n">
        <v>0</v>
      </c>
      <c r="BU27" s="177" t="n">
        <v>0</v>
      </c>
      <c r="BV27" s="177" t="n">
        <v>0</v>
      </c>
      <c r="BW27" s="177" t="n">
        <v>0</v>
      </c>
      <c r="BX27" s="177" t="n">
        <v>0</v>
      </c>
      <c r="BY27" s="177" t="n">
        <v>0</v>
      </c>
      <c r="BZ27" s="177" t="n">
        <v>0</v>
      </c>
      <c r="CA27" s="177" t="n">
        <v>0</v>
      </c>
      <c r="CB27" s="177" t="n">
        <v>0</v>
      </c>
      <c r="CC27" s="177" t="n">
        <v>0</v>
      </c>
      <c r="CD27" s="177" t="n">
        <v>0</v>
      </c>
      <c r="CE27" s="177" t="n">
        <v>0</v>
      </c>
      <c r="CF27" s="177" t="n">
        <v>0</v>
      </c>
      <c r="CG27" s="177" t="n">
        <v>0</v>
      </c>
      <c r="CH27" s="177" t="n">
        <v>0</v>
      </c>
      <c r="CI27" s="177" t="n">
        <v>0</v>
      </c>
      <c r="CJ27" s="177" t="n">
        <v>0</v>
      </c>
      <c r="CK27" s="177" t="n">
        <v>0</v>
      </c>
      <c r="CL27" s="177" t="n">
        <v>0</v>
      </c>
      <c r="CM27" s="177" t="n">
        <v>0</v>
      </c>
      <c r="CN27" s="177" t="n">
        <v>0</v>
      </c>
      <c r="CO27" s="177" t="n">
        <v>0</v>
      </c>
      <c r="CP27" s="177" t="n">
        <v>0</v>
      </c>
      <c r="CQ27" s="177" t="n">
        <v>0</v>
      </c>
      <c r="CR27" s="177" t="n">
        <v>0</v>
      </c>
      <c r="CS27" s="210" t="n">
        <v>0</v>
      </c>
      <c r="CT27" s="210" t="n">
        <v>0</v>
      </c>
      <c r="CU27" s="210" t="n">
        <v>0</v>
      </c>
      <c r="CV27" s="210" t="n">
        <v>0</v>
      </c>
    </row>
    <row r="28" ht="15" customHeight="1" s="160">
      <c r="B28" s="170" t="n">
        <v>21</v>
      </c>
      <c r="C28" s="170" t="inlineStr">
        <is>
          <t>Mustard Seed Powder</t>
        </is>
      </c>
      <c r="D28" s="170" t="inlineStr">
        <is>
          <t>Culinary</t>
        </is>
      </c>
      <c r="E28" s="170" t="n">
        <v>0.5</v>
      </c>
      <c r="F28" s="170" t="inlineStr">
        <is>
          <t>g (⅛ tsp)</t>
        </is>
      </c>
      <c r="G28" s="170" t="inlineStr">
        <is>
          <t>365 by Whole Foods Market Organic Ground Mustard Seed (1.69 oz, USDA Organic, single ingredient, Non-GMO)</t>
        </is>
      </c>
      <c r="H28" s="170" t="inlineStr">
        <is>
          <t>Amazon (WFM)</t>
        </is>
      </c>
      <c r="I28" s="171" t="inlineStr">
        <is>
          <t>$4.29/1.69 oz</t>
        </is>
      </c>
      <c r="J28" s="172">
        <f>ROUND(L30/E30,0)</f>
        <v/>
      </c>
      <c r="K28" s="173">
        <f>ROUND((30/J30)*M30,2)</f>
        <v/>
      </c>
      <c r="L28" s="171" t="n">
        <v>48</v>
      </c>
      <c r="M28" s="171" t="n">
        <v>4.29</v>
      </c>
      <c r="N28" s="170" t="inlineStr">
        <is>
          <t>Myrosinase — 4× sulforaphane</t>
        </is>
      </c>
      <c r="O28" s="197" t="n">
        <v>0</v>
      </c>
      <c r="P28" s="198" t="n">
        <v>0</v>
      </c>
      <c r="Q28" s="177" t="n">
        <v>0</v>
      </c>
      <c r="R28" s="177" t="n">
        <v>0</v>
      </c>
      <c r="S28" s="177" t="n">
        <v>0</v>
      </c>
      <c r="T28" s="177" t="n">
        <v>0</v>
      </c>
      <c r="U28" s="198" t="n">
        <v>0</v>
      </c>
      <c r="V28" s="178">
        <f>IF(P30=0,"",ROUND((Q30*1.09+R30*1+S30*1.13+T30*0+U30*0.52)/P30,2))</f>
        <v/>
      </c>
      <c r="W28" s="198" t="n">
        <v>0</v>
      </c>
      <c r="X28" s="198" t="n">
        <v>0</v>
      </c>
      <c r="Y28" s="198" t="n">
        <v>0</v>
      </c>
      <c r="Z28" s="198" t="n">
        <v>0</v>
      </c>
      <c r="AA28" s="198" t="n">
        <v>0</v>
      </c>
      <c r="AB28" s="198" t="n">
        <v>0</v>
      </c>
      <c r="AC28" s="198" t="n">
        <v>0</v>
      </c>
      <c r="AD28" s="198" t="n">
        <v>0</v>
      </c>
      <c r="AE28" s="198" t="n">
        <v>0</v>
      </c>
      <c r="AF28" s="200" t="n">
        <v>0</v>
      </c>
      <c r="AG28" s="182">
        <f>AD30-AE30-AF30-AH30</f>
        <v/>
      </c>
      <c r="AH28" s="198" t="n">
        <v>0</v>
      </c>
      <c r="AI28" s="182">
        <f>AD30-AH30-AF30</f>
        <v/>
      </c>
      <c r="AJ28" s="198" t="n">
        <v>0</v>
      </c>
      <c r="AK28" s="198" t="n">
        <v>0</v>
      </c>
      <c r="AL28" s="198" t="n">
        <v>0</v>
      </c>
      <c r="AM28" s="198" t="n">
        <v>0</v>
      </c>
      <c r="AN28" s="198" t="n">
        <v>0</v>
      </c>
      <c r="AO28" s="198" t="n">
        <v>0</v>
      </c>
      <c r="AP28" s="198" t="n">
        <v>0</v>
      </c>
      <c r="AQ28" s="177" t="n">
        <v>0</v>
      </c>
      <c r="AR28" s="177" t="n">
        <v>0</v>
      </c>
      <c r="AS28" s="177" t="n">
        <v>0</v>
      </c>
      <c r="AT28" s="177" t="n">
        <v>0</v>
      </c>
      <c r="AU28" s="177" t="n">
        <v>0</v>
      </c>
      <c r="AV28" s="177" t="n">
        <v>0</v>
      </c>
      <c r="AW28" s="177" t="n">
        <v>0</v>
      </c>
      <c r="AX28" s="177" t="n">
        <v>0</v>
      </c>
      <c r="AY28" s="177" t="n">
        <v>0</v>
      </c>
      <c r="AZ28" s="177" t="n">
        <v>0</v>
      </c>
      <c r="BA28" s="177" t="n">
        <v>0</v>
      </c>
      <c r="BB28" s="177" t="n">
        <v>0</v>
      </c>
      <c r="BC28" s="177" t="n">
        <v>0</v>
      </c>
      <c r="BD28" s="177" t="n">
        <v>0</v>
      </c>
      <c r="BE28" s="177" t="n">
        <v>0</v>
      </c>
      <c r="BF28" s="177" t="n">
        <v>0</v>
      </c>
      <c r="BG28" s="177" t="n">
        <v>0</v>
      </c>
      <c r="BH28" s="177" t="n">
        <v>0</v>
      </c>
      <c r="BI28" s="177" t="n">
        <v>0</v>
      </c>
      <c r="BJ28" s="177" t="n">
        <v>0</v>
      </c>
      <c r="BK28" s="177" t="n">
        <v>0</v>
      </c>
      <c r="BL28" s="177" t="n">
        <v>0</v>
      </c>
      <c r="BM28" s="177" t="n">
        <v>0</v>
      </c>
      <c r="BN28" s="177" t="n">
        <v>0</v>
      </c>
      <c r="BO28" s="177" t="n">
        <v>0</v>
      </c>
      <c r="BP28" s="177" t="n">
        <v>0</v>
      </c>
      <c r="BQ28" s="177" t="n">
        <v>0</v>
      </c>
      <c r="BR28" s="177" t="n">
        <v>0</v>
      </c>
      <c r="BS28" s="177" t="n">
        <v>0</v>
      </c>
      <c r="BT28" s="177" t="n">
        <v>0</v>
      </c>
      <c r="BU28" s="177" t="n">
        <v>0</v>
      </c>
      <c r="BV28" s="177" t="n">
        <v>0</v>
      </c>
      <c r="BW28" s="177" t="n">
        <v>0</v>
      </c>
      <c r="BX28" s="177" t="n">
        <v>0</v>
      </c>
      <c r="BY28" s="177" t="n">
        <v>0</v>
      </c>
      <c r="BZ28" s="177" t="n">
        <v>0</v>
      </c>
      <c r="CA28" s="177" t="n">
        <v>0</v>
      </c>
      <c r="CB28" s="177" t="n">
        <v>0</v>
      </c>
      <c r="CC28" s="177" t="n">
        <v>0</v>
      </c>
      <c r="CD28" s="177" t="n">
        <v>0</v>
      </c>
      <c r="CE28" s="177" t="n">
        <v>0</v>
      </c>
      <c r="CF28" s="177" t="n">
        <v>0</v>
      </c>
      <c r="CG28" s="177" t="n">
        <v>0</v>
      </c>
      <c r="CH28" s="177" t="n">
        <v>0</v>
      </c>
      <c r="CI28" s="177" t="n">
        <v>0</v>
      </c>
      <c r="CJ28" s="177" t="n">
        <v>0</v>
      </c>
      <c r="CK28" s="177" t="n">
        <v>0</v>
      </c>
      <c r="CL28" s="177" t="n">
        <v>0</v>
      </c>
      <c r="CM28" s="177" t="n">
        <v>0</v>
      </c>
      <c r="CN28" s="177" t="n">
        <v>0</v>
      </c>
      <c r="CO28" s="177" t="n">
        <v>0</v>
      </c>
      <c r="CP28" s="177" t="n">
        <v>0</v>
      </c>
      <c r="CQ28" s="177" t="n">
        <v>0</v>
      </c>
      <c r="CR28" s="177" t="n">
        <v>0</v>
      </c>
      <c r="CS28" s="210" t="n">
        <v>0</v>
      </c>
      <c r="CT28" s="210" t="n">
        <v>0</v>
      </c>
      <c r="CU28" s="210" t="n">
        <v>0</v>
      </c>
      <c r="CV28" s="210" t="n">
        <v>0</v>
      </c>
    </row>
    <row r="29" ht="15" customHeight="1" s="160">
      <c r="B29" s="363" t="n">
        <v>22</v>
      </c>
      <c r="C29" s="363" t="inlineStr">
        <is>
          <t>Monk Fruit Liquid</t>
        </is>
      </c>
      <c r="D29" s="363" t="inlineStr">
        <is>
          <t>Supplement Powder</t>
        </is>
      </c>
      <c r="E29" s="363" t="n">
        <v>2.5</v>
      </c>
      <c r="F29" s="363" t="inlineStr">
        <is>
          <t>g</t>
        </is>
      </c>
      <c r="G29" s="363" t="inlineStr">
        <is>
          <t>NOW Real Food Organic Monk Fruit Liquid Sweetener (2 fl oz, USDA Organic)</t>
        </is>
      </c>
      <c r="H29" s="363" t="inlineStr">
        <is>
          <t>Amazon</t>
        </is>
      </c>
      <c r="I29" s="364" t="inlineStr">
        <is>
          <t>5.42/2 oz</t>
        </is>
      </c>
      <c r="J29" s="365">
        <f>ROUND(L31/E31,0)</f>
        <v/>
      </c>
      <c r="K29" s="366">
        <f>ROUND((30/J31)*M31,2)</f>
        <v/>
      </c>
      <c r="L29" s="364" t="n">
        <v>59</v>
      </c>
      <c r="M29" s="364" t="n">
        <v>15.42</v>
      </c>
      <c r="N29" s="363" t="inlineStr">
        <is>
          <t>Extra sweetener on top of allulose — zero cal mogroside extract</t>
        </is>
      </c>
      <c r="O29" s="350" t="n">
        <v>0</v>
      </c>
      <c r="P29" s="354" t="n">
        <v>0</v>
      </c>
      <c r="Q29" s="352" t="n">
        <v>0</v>
      </c>
      <c r="R29" s="352" t="n">
        <v>0</v>
      </c>
      <c r="S29" s="352" t="n">
        <v>0</v>
      </c>
      <c r="T29" s="352" t="n">
        <v>0</v>
      </c>
      <c r="U29" s="352" t="n">
        <v>0</v>
      </c>
      <c r="V29" s="353" t="n">
        <v>0</v>
      </c>
      <c r="W29" s="354" t="n">
        <v>0</v>
      </c>
      <c r="X29" s="354" t="n">
        <v>0</v>
      </c>
      <c r="Y29" s="354" t="n">
        <v>0</v>
      </c>
      <c r="Z29" s="354" t="n">
        <v>0</v>
      </c>
      <c r="AA29" s="354" t="n">
        <v>0</v>
      </c>
      <c r="AB29" s="354" t="n">
        <v>0</v>
      </c>
      <c r="AC29" s="354" t="n">
        <v>0</v>
      </c>
      <c r="AD29" s="354" t="n">
        <v>0</v>
      </c>
      <c r="AE29" s="354" t="n">
        <v>0</v>
      </c>
      <c r="AF29" s="355" t="n">
        <v>0</v>
      </c>
      <c r="AG29" s="356" t="n">
        <v>0</v>
      </c>
      <c r="AH29" s="354" t="n">
        <v>0</v>
      </c>
      <c r="AI29" s="356" t="n">
        <v>0</v>
      </c>
      <c r="AJ29" s="354" t="n">
        <v>0</v>
      </c>
      <c r="AK29" s="354" t="n">
        <v>0</v>
      </c>
      <c r="AL29" s="354" t="n">
        <v>0</v>
      </c>
      <c r="AM29" s="354" t="n">
        <v>0</v>
      </c>
      <c r="AN29" s="354" t="n">
        <v>0</v>
      </c>
      <c r="AO29" s="354" t="n">
        <v>0</v>
      </c>
      <c r="AP29" s="354" t="n">
        <v>0</v>
      </c>
      <c r="AQ29" s="352" t="n">
        <v>0</v>
      </c>
      <c r="AR29" s="352" t="n">
        <v>0</v>
      </c>
      <c r="AS29" s="352" t="n">
        <v>0</v>
      </c>
      <c r="AT29" s="352" t="n">
        <v>0</v>
      </c>
      <c r="AU29" s="352" t="n">
        <v>0</v>
      </c>
      <c r="AV29" s="352" t="n">
        <v>0</v>
      </c>
      <c r="AW29" s="352" t="n">
        <v>0</v>
      </c>
      <c r="AX29" s="352" t="n">
        <v>0</v>
      </c>
      <c r="AY29" s="352" t="n">
        <v>0</v>
      </c>
      <c r="AZ29" s="352" t="n">
        <v>0</v>
      </c>
      <c r="BA29" s="352" t="n">
        <v>0</v>
      </c>
      <c r="BB29" s="352" t="n">
        <v>0</v>
      </c>
      <c r="BC29" s="352" t="n">
        <v>0</v>
      </c>
      <c r="BD29" s="352" t="n">
        <v>0</v>
      </c>
      <c r="BE29" s="352" t="n">
        <v>0</v>
      </c>
      <c r="BF29" s="352" t="n">
        <v>0</v>
      </c>
      <c r="BG29" s="352" t="n">
        <v>0</v>
      </c>
      <c r="BH29" s="352" t="n">
        <v>0</v>
      </c>
      <c r="BI29" s="352" t="n">
        <v>0</v>
      </c>
      <c r="BJ29" s="352" t="n">
        <v>0</v>
      </c>
      <c r="BK29" s="352" t="n">
        <v>0</v>
      </c>
      <c r="BL29" s="352" t="n">
        <v>0</v>
      </c>
      <c r="BM29" s="352" t="n">
        <v>0</v>
      </c>
      <c r="BN29" s="352" t="n">
        <v>0</v>
      </c>
      <c r="BO29" s="352" t="n">
        <v>0</v>
      </c>
      <c r="BP29" s="352" t="n">
        <v>0</v>
      </c>
      <c r="BQ29" s="352" t="n">
        <v>0</v>
      </c>
      <c r="BR29" s="352" t="n">
        <v>0</v>
      </c>
      <c r="BS29" s="352" t="n">
        <v>0</v>
      </c>
      <c r="BT29" s="352" t="n">
        <v>0</v>
      </c>
      <c r="BU29" s="352" t="n">
        <v>0</v>
      </c>
      <c r="BV29" s="352" t="n">
        <v>0</v>
      </c>
      <c r="BW29" s="352" t="n">
        <v>0</v>
      </c>
      <c r="BX29" s="352" t="n">
        <v>0</v>
      </c>
      <c r="BY29" s="352" t="n">
        <v>0</v>
      </c>
      <c r="BZ29" s="352" t="n">
        <v>0</v>
      </c>
      <c r="CA29" s="352" t="n">
        <v>0</v>
      </c>
      <c r="CB29" s="352" t="n">
        <v>0</v>
      </c>
      <c r="CC29" s="352" t="n">
        <v>0</v>
      </c>
      <c r="CD29" s="352" t="n">
        <v>0</v>
      </c>
      <c r="CE29" s="352" t="n">
        <v>0</v>
      </c>
      <c r="CF29" s="352" t="n">
        <v>0</v>
      </c>
      <c r="CG29" s="352" t="n">
        <v>0</v>
      </c>
      <c r="CH29" s="352" t="n">
        <v>0</v>
      </c>
      <c r="CI29" s="352" t="n">
        <v>0</v>
      </c>
      <c r="CJ29" s="352" t="n">
        <v>0</v>
      </c>
      <c r="CK29" s="352" t="n">
        <v>0</v>
      </c>
      <c r="CL29" s="352" t="n">
        <v>0</v>
      </c>
      <c r="CM29" s="352" t="n">
        <v>0</v>
      </c>
      <c r="CN29" s="352" t="n">
        <v>0</v>
      </c>
      <c r="CO29" s="352" t="n">
        <v>0</v>
      </c>
      <c r="CP29" s="352" t="n">
        <v>0</v>
      </c>
      <c r="CQ29" s="352" t="n">
        <v>0</v>
      </c>
      <c r="CR29" s="352" t="n">
        <v>0</v>
      </c>
      <c r="CS29" s="361" t="n">
        <v>0</v>
      </c>
      <c r="CT29" s="361" t="n">
        <v>0</v>
      </c>
      <c r="CU29" s="361" t="n">
        <v>0</v>
      </c>
      <c r="CV29" s="361" t="n">
        <v>0</v>
      </c>
    </row>
    <row r="30" ht="15" customHeight="1" s="160">
      <c r="B30" s="170" t="n">
        <v>23</v>
      </c>
      <c r="C30" s="170" t="inlineStr">
        <is>
          <t>Whey Protein Isolate (grass-fed)</t>
        </is>
      </c>
      <c r="D30" s="170" t="inlineStr">
        <is>
          <t>Supplement Powder</t>
        </is>
      </c>
      <c r="E30" s="170" t="n">
        <v>30</v>
      </c>
      <c r="F30" s="170" t="inlineStr">
        <is>
          <t>g (1 scoop)</t>
        </is>
      </c>
      <c r="G30" s="170" t="inlineStr">
        <is>
          <t>Nutricost Grass-Fed Whey Protein Isolate (5 lb, unflavored, rBGH free, Non-GMO)</t>
        </is>
      </c>
      <c r="H30" s="170" t="inlineStr">
        <is>
          <t>Amazon</t>
        </is>
      </c>
      <c r="I30" s="171" t="inlineStr">
        <is>
          <t>$106.95/5 lb</t>
        </is>
      </c>
      <c r="J30" s="172">
        <f>ROUND(L32/E32,0)</f>
        <v/>
      </c>
      <c r="K30" s="173">
        <f>ROUND((30/J32)*M32,2)</f>
        <v/>
      </c>
      <c r="L30" s="171" t="n">
        <v>2268</v>
      </c>
      <c r="M30" s="171" t="n">
        <v>106.95</v>
      </c>
      <c r="N30" s="170" t="inlineStr">
        <is>
          <t>30g only — minimizes insulin/IGF-1</t>
        </is>
      </c>
      <c r="O30" s="197" t="n">
        <v>120</v>
      </c>
      <c r="P30" s="198" t="n">
        <v>27</v>
      </c>
      <c r="Q30" s="198" t="n">
        <v>27</v>
      </c>
      <c r="R30" s="177" t="n">
        <v>0</v>
      </c>
      <c r="S30" s="177" t="n">
        <v>0</v>
      </c>
      <c r="T30" s="177" t="n">
        <v>0</v>
      </c>
      <c r="U30" s="177" t="n">
        <v>0</v>
      </c>
      <c r="V30" s="178">
        <f>IF(P32=0,"",ROUND((Q32*1.09+R32*1+S32*1.13+T32*0+U32*0.52)/P32,2))</f>
        <v/>
      </c>
      <c r="W30" s="199" t="n">
        <v>0.5</v>
      </c>
      <c r="X30" s="198" t="n">
        <v>0</v>
      </c>
      <c r="Y30" s="198" t="n">
        <v>0</v>
      </c>
      <c r="Z30" s="198" t="n">
        <v>0</v>
      </c>
      <c r="AA30" s="198" t="n">
        <v>0</v>
      </c>
      <c r="AB30" s="198" t="n">
        <v>0</v>
      </c>
      <c r="AC30" s="198" t="n">
        <v>0</v>
      </c>
      <c r="AD30" s="199" t="n">
        <v>1</v>
      </c>
      <c r="AE30" s="198" t="n">
        <v>0</v>
      </c>
      <c r="AF30" s="200" t="n">
        <v>0</v>
      </c>
      <c r="AG30" s="182">
        <f>AD32-AE32-AF32-AH32</f>
        <v/>
      </c>
      <c r="AH30" s="198" t="n">
        <v>0</v>
      </c>
      <c r="AI30" s="182">
        <f>AD32-AH32-AF32</f>
        <v/>
      </c>
      <c r="AJ30" s="198" t="n">
        <v>0</v>
      </c>
      <c r="AK30" s="201" t="n">
        <v>40</v>
      </c>
      <c r="AL30" s="198" t="n">
        <v>0</v>
      </c>
      <c r="AM30" s="198" t="n">
        <v>0</v>
      </c>
      <c r="AN30" s="198" t="n">
        <v>0</v>
      </c>
      <c r="AO30" s="201" t="n">
        <v>50</v>
      </c>
      <c r="AP30" s="198" t="n">
        <v>0</v>
      </c>
      <c r="AQ30" s="177" t="n">
        <v>0</v>
      </c>
      <c r="AR30" s="177" t="n">
        <v>0</v>
      </c>
      <c r="AS30" s="177" t="n">
        <v>0</v>
      </c>
      <c r="AT30" s="177" t="n">
        <v>0</v>
      </c>
      <c r="AU30" s="177" t="n">
        <v>0</v>
      </c>
      <c r="AV30" s="177" t="n">
        <v>0</v>
      </c>
      <c r="AW30" s="177" t="n">
        <v>0</v>
      </c>
      <c r="AX30" s="177" t="n">
        <v>0</v>
      </c>
      <c r="AY30" s="177" t="n">
        <v>0</v>
      </c>
      <c r="AZ30" s="177" t="n">
        <v>0</v>
      </c>
      <c r="BA30" s="177" t="n">
        <v>0</v>
      </c>
      <c r="BB30" s="177" t="n">
        <v>0</v>
      </c>
      <c r="BC30" s="177" t="n">
        <v>0</v>
      </c>
      <c r="BD30" s="177" t="n">
        <v>0</v>
      </c>
      <c r="BE30" s="177" t="n">
        <v>0</v>
      </c>
      <c r="BF30" s="177" t="n">
        <v>0</v>
      </c>
      <c r="BG30" s="177" t="n">
        <v>0</v>
      </c>
      <c r="BH30" s="177" t="n">
        <v>0</v>
      </c>
      <c r="BI30" s="177" t="n">
        <v>0</v>
      </c>
      <c r="BJ30" s="177" t="n">
        <v>0</v>
      </c>
      <c r="BK30" s="177" t="n">
        <v>0</v>
      </c>
      <c r="BL30" s="177" t="n">
        <v>0</v>
      </c>
      <c r="BM30" s="177" t="n">
        <v>0</v>
      </c>
      <c r="BN30" s="177" t="n">
        <v>0</v>
      </c>
      <c r="BO30" s="177" t="n">
        <v>0</v>
      </c>
      <c r="BP30" s="177" t="n">
        <v>0</v>
      </c>
      <c r="BQ30" s="177" t="n">
        <v>0</v>
      </c>
      <c r="BR30" s="177" t="n">
        <v>0</v>
      </c>
      <c r="BS30" s="177" t="n">
        <v>0</v>
      </c>
      <c r="BT30" s="177" t="n">
        <v>0</v>
      </c>
      <c r="BU30" s="177" t="n">
        <v>0</v>
      </c>
      <c r="BV30" s="177" t="n">
        <v>0</v>
      </c>
      <c r="BW30" s="177" t="n">
        <v>0</v>
      </c>
      <c r="BX30" s="177" t="n">
        <v>0</v>
      </c>
      <c r="BY30" s="177" t="n">
        <v>0</v>
      </c>
      <c r="BZ30" s="177" t="n">
        <v>0</v>
      </c>
      <c r="CA30" s="177" t="n">
        <v>0</v>
      </c>
      <c r="CB30" s="177" t="n">
        <v>0</v>
      </c>
      <c r="CC30" s="177" t="n">
        <v>0</v>
      </c>
      <c r="CD30" s="177" t="n">
        <v>0</v>
      </c>
      <c r="CE30" s="177" t="n">
        <v>0</v>
      </c>
      <c r="CF30" s="198" t="n">
        <v>3</v>
      </c>
      <c r="CG30" s="177" t="n">
        <v>0</v>
      </c>
      <c r="CH30" s="177" t="n">
        <v>0</v>
      </c>
      <c r="CI30" s="177" t="n">
        <v>0</v>
      </c>
      <c r="CJ30" s="177" t="n">
        <v>0</v>
      </c>
      <c r="CK30" s="177" t="n">
        <v>0</v>
      </c>
      <c r="CL30" s="177" t="n">
        <v>0</v>
      </c>
      <c r="CM30" s="177" t="n">
        <v>0</v>
      </c>
      <c r="CN30" s="177" t="n">
        <v>0</v>
      </c>
      <c r="CO30" s="177" t="n">
        <v>0</v>
      </c>
      <c r="CP30" s="177" t="n">
        <v>0</v>
      </c>
      <c r="CQ30" s="177" t="n">
        <v>0</v>
      </c>
      <c r="CR30" s="177" t="n">
        <v>0</v>
      </c>
      <c r="CS30" s="210" t="n">
        <v>0</v>
      </c>
      <c r="CT30" s="210" t="n">
        <v>0</v>
      </c>
      <c r="CU30" s="210" t="n">
        <v>0</v>
      </c>
      <c r="CV30" s="210" t="n">
        <v>0</v>
      </c>
    </row>
    <row r="31" ht="15" customHeight="1" s="160">
      <c r="B31" s="189" t="n">
        <v>24</v>
      </c>
      <c r="C31" s="189" t="inlineStr">
        <is>
          <t>Collagen Peptides (grass-fed, bovine)</t>
        </is>
      </c>
      <c r="D31" s="189" t="inlineStr">
        <is>
          <t>Supplement Powder</t>
        </is>
      </c>
      <c r="E31" s="189" t="n">
        <v>15</v>
      </c>
      <c r="F31" s="189" t="inlineStr">
        <is>
          <t>g (1½ scoops)</t>
        </is>
      </c>
      <c r="G31" s="189" t="inlineStr">
        <is>
          <t>Great Lakes Wellness Grass-Fed Collagen Peptides Powder (16 oz, grass-fed bovine, non-GMO)</t>
        </is>
      </c>
      <c r="H31" s="189" t="inlineStr">
        <is>
          <t>Amazon</t>
        </is>
      </c>
      <c r="I31" s="190" t="inlineStr">
        <is>
          <t>$29.99/16 oz</t>
        </is>
      </c>
      <c r="J31" s="191">
        <f>ROUND(L33/E33,0)</f>
        <v/>
      </c>
      <c r="K31" s="192">
        <f>ROUND((30/J33)*M33,2)</f>
        <v/>
      </c>
      <c r="L31" s="190" t="n">
        <v>454</v>
      </c>
      <c r="M31" s="190" t="n">
        <v>29.99</v>
      </c>
      <c r="N31" s="189" t="inlineStr">
        <is>
          <t>Connective tissue + glycine</t>
        </is>
      </c>
      <c r="O31" s="197" t="n">
        <v>55</v>
      </c>
      <c r="P31" s="198" t="n">
        <v>13</v>
      </c>
      <c r="Q31" s="177" t="n">
        <v>0</v>
      </c>
      <c r="R31" s="177" t="n">
        <v>0</v>
      </c>
      <c r="S31" s="177" t="n">
        <v>0</v>
      </c>
      <c r="T31" s="198" t="n">
        <v>13</v>
      </c>
      <c r="U31" s="177" t="n">
        <v>0</v>
      </c>
      <c r="V31" s="193">
        <f>IF(P33=0,"",ROUND((Q33*1.09+R33*1+S33*1.13+T33*0+U33*0.52)/P33,2))</f>
        <v/>
      </c>
      <c r="W31" s="198" t="n">
        <v>0</v>
      </c>
      <c r="X31" s="198" t="n">
        <v>0</v>
      </c>
      <c r="Y31" s="198" t="n">
        <v>0</v>
      </c>
      <c r="Z31" s="198" t="n">
        <v>0</v>
      </c>
      <c r="AA31" s="198" t="n">
        <v>0</v>
      </c>
      <c r="AB31" s="198" t="n">
        <v>0</v>
      </c>
      <c r="AC31" s="198" t="n">
        <v>0</v>
      </c>
      <c r="AD31" s="198" t="n">
        <v>0</v>
      </c>
      <c r="AE31" s="198" t="n">
        <v>0</v>
      </c>
      <c r="AF31" s="200" t="n">
        <v>0</v>
      </c>
      <c r="AG31" s="182">
        <f>AD33-AE33-AF33-AH33</f>
        <v/>
      </c>
      <c r="AH31" s="198" t="n">
        <v>0</v>
      </c>
      <c r="AI31" s="182">
        <f>AD33-AH33-AF33</f>
        <v/>
      </c>
      <c r="AJ31" s="198" t="n">
        <v>0</v>
      </c>
      <c r="AK31" s="198" t="n">
        <v>0</v>
      </c>
      <c r="AL31" s="198" t="n">
        <v>0</v>
      </c>
      <c r="AM31" s="198" t="n">
        <v>0</v>
      </c>
      <c r="AN31" s="198" t="n">
        <v>0</v>
      </c>
      <c r="AO31" s="198" t="n">
        <v>0</v>
      </c>
      <c r="AP31" s="198" t="n">
        <v>0</v>
      </c>
      <c r="AQ31" s="177" t="n">
        <v>0</v>
      </c>
      <c r="AR31" s="177" t="n">
        <v>0</v>
      </c>
      <c r="AS31" s="177" t="n">
        <v>0</v>
      </c>
      <c r="AT31" s="177" t="n">
        <v>0</v>
      </c>
      <c r="AU31" s="177" t="n">
        <v>0</v>
      </c>
      <c r="AV31" s="177" t="n">
        <v>0</v>
      </c>
      <c r="AW31" s="177" t="n">
        <v>0</v>
      </c>
      <c r="AX31" s="177" t="n">
        <v>0</v>
      </c>
      <c r="AY31" s="177" t="n">
        <v>0</v>
      </c>
      <c r="AZ31" s="177" t="n">
        <v>50</v>
      </c>
      <c r="BA31" s="177" t="n">
        <v>0</v>
      </c>
      <c r="BB31" s="177" t="n">
        <v>0</v>
      </c>
      <c r="BC31" s="177" t="n">
        <v>0</v>
      </c>
      <c r="BD31" s="177" t="n">
        <v>0</v>
      </c>
      <c r="BE31" s="177" t="n">
        <v>0</v>
      </c>
      <c r="BF31" s="177" t="n">
        <v>0</v>
      </c>
      <c r="BG31" s="177" t="n">
        <v>0</v>
      </c>
      <c r="BH31" s="177" t="n">
        <v>0</v>
      </c>
      <c r="BI31" s="177" t="n">
        <v>0</v>
      </c>
      <c r="BJ31" s="177" t="n">
        <v>0</v>
      </c>
      <c r="BK31" s="177" t="n">
        <v>0</v>
      </c>
      <c r="BL31" s="177" t="n">
        <v>0</v>
      </c>
      <c r="BM31" s="177" t="n">
        <v>0</v>
      </c>
      <c r="BN31" s="177" t="n">
        <v>0</v>
      </c>
      <c r="BO31" s="177" t="n">
        <v>0</v>
      </c>
      <c r="BP31" s="177" t="n">
        <v>0</v>
      </c>
      <c r="BQ31" s="177" t="n">
        <v>0</v>
      </c>
      <c r="BR31" s="177" t="n">
        <v>0</v>
      </c>
      <c r="BS31" s="177" t="n">
        <v>0</v>
      </c>
      <c r="BT31" s="177" t="n">
        <v>0</v>
      </c>
      <c r="BU31" s="177" t="n">
        <v>0</v>
      </c>
      <c r="BV31" s="177" t="n">
        <v>0</v>
      </c>
      <c r="BW31" s="177" t="n">
        <v>0</v>
      </c>
      <c r="BX31" s="177" t="n">
        <v>0</v>
      </c>
      <c r="BY31" s="177" t="n">
        <v>0</v>
      </c>
      <c r="BZ31" s="177" t="n">
        <v>0</v>
      </c>
      <c r="CA31" s="177" t="n">
        <v>0</v>
      </c>
      <c r="CB31" s="177" t="n">
        <v>0</v>
      </c>
      <c r="CC31" s="177" t="n">
        <v>0</v>
      </c>
      <c r="CD31" s="177" t="n">
        <v>0</v>
      </c>
      <c r="CE31" s="177" t="n">
        <v>0</v>
      </c>
      <c r="CF31" s="201" t="n">
        <v>0.39</v>
      </c>
      <c r="CG31" s="198" t="n">
        <v>13</v>
      </c>
      <c r="CH31" s="177" t="n">
        <v>0</v>
      </c>
      <c r="CI31" s="177" t="n">
        <v>0</v>
      </c>
      <c r="CJ31" s="177" t="n">
        <v>0</v>
      </c>
      <c r="CK31" s="177" t="n">
        <v>0</v>
      </c>
      <c r="CL31" s="177" t="n">
        <v>0</v>
      </c>
      <c r="CM31" s="177" t="n">
        <v>0</v>
      </c>
      <c r="CN31" s="177" t="n">
        <v>0</v>
      </c>
      <c r="CO31" s="177" t="n">
        <v>0</v>
      </c>
      <c r="CP31" s="177" t="n">
        <v>0</v>
      </c>
      <c r="CQ31" s="177" t="n">
        <v>0</v>
      </c>
      <c r="CR31" s="177" t="n">
        <v>0</v>
      </c>
      <c r="CS31" s="210" t="n">
        <v>0</v>
      </c>
      <c r="CT31" s="210" t="n">
        <v>0</v>
      </c>
      <c r="CU31" s="210" t="n">
        <v>0</v>
      </c>
      <c r="CV31" s="210" t="n">
        <v>0</v>
      </c>
    </row>
    <row r="32" ht="15" customHeight="1" s="160">
      <c r="B32" s="170" t="n">
        <v>25</v>
      </c>
      <c r="C32" s="170" t="inlineStr">
        <is>
          <t>Creatine Monohydrate</t>
        </is>
      </c>
      <c r="D32" s="170" t="inlineStr">
        <is>
          <t>Supplement Powder</t>
        </is>
      </c>
      <c r="E32" s="170" t="n">
        <v>10</v>
      </c>
      <c r="F32" s="170" t="inlineStr">
        <is>
          <t>g (1 scoop)</t>
        </is>
      </c>
      <c r="G32" s="170" t="inlineStr">
        <is>
          <t>Thorne Creatine Monohydrate (90 servings, 5g per scoop, NSF Certified for Sport, single ingredient, micronized)</t>
        </is>
      </c>
      <c r="H32" s="170" t="inlineStr">
        <is>
          <t>Amazon (WFM) / thorne.com</t>
        </is>
      </c>
      <c r="I32" s="171" t="inlineStr">
        <is>
          <t>$42.00/90 srv</t>
        </is>
      </c>
      <c r="J32" s="172">
        <f>ROUND(L34/E34,0)</f>
        <v/>
      </c>
      <c r="K32" s="173">
        <f>ROUND((30/J34)*M34,2)</f>
        <v/>
      </c>
      <c r="L32" s="171" t="n">
        <v>450</v>
      </c>
      <c r="M32" s="171" t="n">
        <v>44</v>
      </c>
      <c r="N32" s="170" t="inlineStr">
        <is>
          <t>Power output</t>
        </is>
      </c>
      <c r="O32" s="197" t="n">
        <v>0</v>
      </c>
      <c r="P32" s="198" t="n">
        <v>0</v>
      </c>
      <c r="Q32" s="177" t="n">
        <v>0</v>
      </c>
      <c r="R32" s="177" t="n">
        <v>0</v>
      </c>
      <c r="S32" s="177" t="n">
        <v>0</v>
      </c>
      <c r="T32" s="177" t="n">
        <v>0</v>
      </c>
      <c r="U32" s="177" t="n">
        <v>0</v>
      </c>
      <c r="V32" s="178">
        <f>IF(P34=0,"",ROUND((Q34*1.09+R34*1+S34*1.13+T34*0+U34*0.52)/P34,2))</f>
        <v/>
      </c>
      <c r="W32" s="198" t="n">
        <v>0</v>
      </c>
      <c r="X32" s="198" t="n">
        <v>0</v>
      </c>
      <c r="Y32" s="198" t="n">
        <v>0</v>
      </c>
      <c r="Z32" s="198" t="n">
        <v>0</v>
      </c>
      <c r="AA32" s="198" t="n">
        <v>0</v>
      </c>
      <c r="AB32" s="198" t="n">
        <v>0</v>
      </c>
      <c r="AC32" s="198" t="n">
        <v>0</v>
      </c>
      <c r="AD32" s="198" t="n">
        <v>0</v>
      </c>
      <c r="AE32" s="198" t="n">
        <v>0</v>
      </c>
      <c r="AF32" s="200" t="n">
        <v>0</v>
      </c>
      <c r="AG32" s="182">
        <f>AD34-AE34-AF34-AH34</f>
        <v/>
      </c>
      <c r="AH32" s="198" t="n">
        <v>0</v>
      </c>
      <c r="AI32" s="182">
        <f>AD34-AH34-AF34</f>
        <v/>
      </c>
      <c r="AJ32" s="198" t="n">
        <v>0</v>
      </c>
      <c r="AK32" s="198" t="n">
        <v>0</v>
      </c>
      <c r="AL32" s="198" t="n">
        <v>0</v>
      </c>
      <c r="AM32" s="198" t="n">
        <v>0</v>
      </c>
      <c r="AN32" s="198" t="n">
        <v>0</v>
      </c>
      <c r="AO32" s="198" t="n">
        <v>0</v>
      </c>
      <c r="AP32" s="198" t="n">
        <v>0</v>
      </c>
      <c r="AQ32" s="177" t="n">
        <v>0</v>
      </c>
      <c r="AR32" s="177" t="n">
        <v>0</v>
      </c>
      <c r="AS32" s="177" t="n">
        <v>0</v>
      </c>
      <c r="AT32" s="177" t="n">
        <v>0</v>
      </c>
      <c r="AU32" s="177" t="n">
        <v>0</v>
      </c>
      <c r="AV32" s="177" t="n">
        <v>0</v>
      </c>
      <c r="AW32" s="177" t="n">
        <v>0</v>
      </c>
      <c r="AX32" s="177" t="n">
        <v>0</v>
      </c>
      <c r="AY32" s="177" t="n">
        <v>0</v>
      </c>
      <c r="AZ32" s="177" t="n">
        <v>0</v>
      </c>
      <c r="BA32" s="177" t="n">
        <v>0</v>
      </c>
      <c r="BB32" s="177" t="n">
        <v>0</v>
      </c>
      <c r="BC32" s="177" t="n">
        <v>0</v>
      </c>
      <c r="BD32" s="177" t="n">
        <v>0</v>
      </c>
      <c r="BE32" s="177" t="n">
        <v>0</v>
      </c>
      <c r="BF32" s="177" t="n">
        <v>0</v>
      </c>
      <c r="BG32" s="177" t="n">
        <v>0</v>
      </c>
      <c r="BH32" s="177" t="n">
        <v>0</v>
      </c>
      <c r="BI32" s="177" t="n">
        <v>0</v>
      </c>
      <c r="BJ32" s="177" t="n">
        <v>0</v>
      </c>
      <c r="BK32" s="177" t="n">
        <v>0</v>
      </c>
      <c r="BL32" s="177" t="n">
        <v>0</v>
      </c>
      <c r="BM32" s="177" t="n">
        <v>0</v>
      </c>
      <c r="BN32" s="177" t="n">
        <v>0</v>
      </c>
      <c r="BO32" s="177" t="n">
        <v>0</v>
      </c>
      <c r="BP32" s="177" t="n">
        <v>0</v>
      </c>
      <c r="BQ32" s="177" t="n">
        <v>0</v>
      </c>
      <c r="BR32" s="177" t="n">
        <v>0</v>
      </c>
      <c r="BS32" s="177" t="n">
        <v>0</v>
      </c>
      <c r="BT32" s="177" t="n">
        <v>0</v>
      </c>
      <c r="BU32" s="177" t="n">
        <v>0</v>
      </c>
      <c r="BV32" s="177" t="n">
        <v>0</v>
      </c>
      <c r="BW32" s="177" t="n">
        <v>0</v>
      </c>
      <c r="BX32" s="177" t="n">
        <v>0</v>
      </c>
      <c r="BY32" s="177" t="n">
        <v>0</v>
      </c>
      <c r="BZ32" s="177" t="n">
        <v>0</v>
      </c>
      <c r="CA32" s="177" t="n">
        <v>0</v>
      </c>
      <c r="CB32" s="177" t="n">
        <v>0</v>
      </c>
      <c r="CC32" s="177" t="n">
        <v>0</v>
      </c>
      <c r="CD32" s="177" t="n">
        <v>0</v>
      </c>
      <c r="CE32" s="177" t="n">
        <v>0</v>
      </c>
      <c r="CF32" s="177" t="n">
        <v>0</v>
      </c>
      <c r="CG32" s="177" t="n">
        <v>0</v>
      </c>
      <c r="CH32" s="177" t="n">
        <v>0</v>
      </c>
      <c r="CI32" s="177" t="n">
        <v>0</v>
      </c>
      <c r="CJ32" s="177" t="n">
        <v>0</v>
      </c>
      <c r="CK32" s="198" t="n">
        <v>5</v>
      </c>
      <c r="CL32" s="177" t="n">
        <v>0</v>
      </c>
      <c r="CM32" s="177" t="n">
        <v>0</v>
      </c>
      <c r="CN32" s="177" t="n">
        <v>0</v>
      </c>
      <c r="CO32" s="177" t="n">
        <v>0</v>
      </c>
      <c r="CP32" s="177" t="n">
        <v>0</v>
      </c>
      <c r="CQ32" s="177" t="n">
        <v>0</v>
      </c>
      <c r="CR32" s="177" t="n">
        <v>0</v>
      </c>
      <c r="CS32" s="210" t="n">
        <v>0</v>
      </c>
      <c r="CT32" s="210" t="n">
        <v>0</v>
      </c>
      <c r="CU32" s="210" t="n">
        <v>0</v>
      </c>
      <c r="CV32" s="210" t="n">
        <v>0</v>
      </c>
    </row>
    <row r="33" ht="15" customHeight="1" s="160">
      <c r="B33" s="189" t="n">
        <v>26</v>
      </c>
      <c r="C33" s="189" t="inlineStr">
        <is>
          <t>Taurine Powder</t>
        </is>
      </c>
      <c r="D33" s="189" t="inlineStr">
        <is>
          <t>Supplement Powder</t>
        </is>
      </c>
      <c r="E33" s="189" t="n">
        <v>1.5</v>
      </c>
      <c r="F33" s="189" t="inlineStr">
        <is>
          <t>g (½ tsp ≈ 1.78g | use scale for exact)</t>
        </is>
      </c>
      <c r="G33" s="189" t="inlineStr">
        <is>
          <t>NOW Foods Taurine Pure Powder (8 oz, free-form L-Taurine)</t>
        </is>
      </c>
      <c r="H33" s="189" t="inlineStr">
        <is>
          <t>Amazon</t>
        </is>
      </c>
      <c r="I33" s="190" t="inlineStr">
        <is>
          <t>$10.40/8 oz</t>
        </is>
      </c>
      <c r="J33" s="191">
        <f>ROUND(L35/E35,0)</f>
        <v/>
      </c>
      <c r="K33" s="192">
        <f>ROUND((30/J35)*M35,2)</f>
        <v/>
      </c>
      <c r="L33" s="190" t="n">
        <v>227</v>
      </c>
      <c r="M33" s="190" t="n">
        <v>10.4</v>
      </c>
      <c r="N33" s="189" t="inlineStr">
        <is>
          <t>GABA/BDNF + BP (vs stimulant medication)</t>
        </is>
      </c>
      <c r="O33" s="197" t="n">
        <v>0</v>
      </c>
      <c r="P33" s="198" t="n">
        <v>0</v>
      </c>
      <c r="Q33" s="177" t="n">
        <v>0</v>
      </c>
      <c r="R33" s="177" t="n">
        <v>0</v>
      </c>
      <c r="S33" s="177" t="n">
        <v>0</v>
      </c>
      <c r="T33" s="177" t="n">
        <v>0</v>
      </c>
      <c r="U33" s="177" t="n">
        <v>0</v>
      </c>
      <c r="V33" s="193">
        <f>IF(P35=0,"",ROUND((Q35*1.09+R35*1+S35*1.13+T35*0+U35*0.52)/P35,2))</f>
        <v/>
      </c>
      <c r="W33" s="198" t="n">
        <v>0</v>
      </c>
      <c r="X33" s="198" t="n">
        <v>0</v>
      </c>
      <c r="Y33" s="198" t="n">
        <v>0</v>
      </c>
      <c r="Z33" s="198" t="n">
        <v>0</v>
      </c>
      <c r="AA33" s="198" t="n">
        <v>0</v>
      </c>
      <c r="AB33" s="198" t="n">
        <v>0</v>
      </c>
      <c r="AC33" s="198" t="n">
        <v>0</v>
      </c>
      <c r="AD33" s="198" t="n">
        <v>0</v>
      </c>
      <c r="AE33" s="198" t="n">
        <v>0</v>
      </c>
      <c r="AF33" s="200" t="n">
        <v>0</v>
      </c>
      <c r="AG33" s="182">
        <f>AD35-AE35-AF35-AH35</f>
        <v/>
      </c>
      <c r="AH33" s="198" t="n">
        <v>0</v>
      </c>
      <c r="AI33" s="182">
        <f>AD35-AH35-AF35</f>
        <v/>
      </c>
      <c r="AJ33" s="198" t="n">
        <v>0</v>
      </c>
      <c r="AK33" s="198" t="n">
        <v>0</v>
      </c>
      <c r="AL33" s="198" t="n">
        <v>0</v>
      </c>
      <c r="AM33" s="198" t="n">
        <v>0</v>
      </c>
      <c r="AN33" s="198" t="n">
        <v>0</v>
      </c>
      <c r="AO33" s="198" t="n">
        <v>0</v>
      </c>
      <c r="AP33" s="198" t="n">
        <v>0</v>
      </c>
      <c r="AQ33" s="177" t="n">
        <v>0</v>
      </c>
      <c r="AR33" s="177" t="n">
        <v>0</v>
      </c>
      <c r="AS33" s="177" t="n">
        <v>0</v>
      </c>
      <c r="AT33" s="177" t="n">
        <v>0</v>
      </c>
      <c r="AU33" s="177" t="n">
        <v>0</v>
      </c>
      <c r="AV33" s="177" t="n">
        <v>0</v>
      </c>
      <c r="AW33" s="177" t="n">
        <v>0</v>
      </c>
      <c r="AX33" s="177" t="n">
        <v>0</v>
      </c>
      <c r="AY33" s="177" t="n">
        <v>0</v>
      </c>
      <c r="AZ33" s="177" t="n">
        <v>0</v>
      </c>
      <c r="BA33" s="177" t="n">
        <v>0</v>
      </c>
      <c r="BB33" s="177" t="n">
        <v>0</v>
      </c>
      <c r="BC33" s="177" t="n">
        <v>0</v>
      </c>
      <c r="BD33" s="177" t="n">
        <v>0</v>
      </c>
      <c r="BE33" s="177" t="n">
        <v>0</v>
      </c>
      <c r="BF33" s="177" t="n">
        <v>0</v>
      </c>
      <c r="BG33" s="177" t="n">
        <v>0</v>
      </c>
      <c r="BH33" s="177" t="n">
        <v>0</v>
      </c>
      <c r="BI33" s="177" t="n">
        <v>0</v>
      </c>
      <c r="BJ33" s="177" t="n">
        <v>0</v>
      </c>
      <c r="BK33" s="177" t="n">
        <v>0</v>
      </c>
      <c r="BL33" s="177" t="n">
        <v>0</v>
      </c>
      <c r="BM33" s="177" t="n">
        <v>0</v>
      </c>
      <c r="BN33" s="177" t="n">
        <v>0</v>
      </c>
      <c r="BO33" s="177" t="n">
        <v>0</v>
      </c>
      <c r="BP33" s="177" t="n">
        <v>0</v>
      </c>
      <c r="BQ33" s="177" t="n">
        <v>0</v>
      </c>
      <c r="BR33" s="177" t="n">
        <v>0</v>
      </c>
      <c r="BS33" s="177" t="n">
        <v>0</v>
      </c>
      <c r="BT33" s="177" t="n">
        <v>0</v>
      </c>
      <c r="BU33" s="177" t="n">
        <v>0</v>
      </c>
      <c r="BV33" s="177" t="n">
        <v>0</v>
      </c>
      <c r="BW33" s="177" t="n">
        <v>0</v>
      </c>
      <c r="BX33" s="177" t="n">
        <v>0</v>
      </c>
      <c r="BY33" s="177" t="n">
        <v>0</v>
      </c>
      <c r="BZ33" s="177" t="n">
        <v>0</v>
      </c>
      <c r="CA33" s="177" t="n">
        <v>0</v>
      </c>
      <c r="CB33" s="177" t="n">
        <v>0</v>
      </c>
      <c r="CC33" s="177" t="n">
        <v>0</v>
      </c>
      <c r="CD33" s="177" t="n">
        <v>0</v>
      </c>
      <c r="CE33" s="177" t="n">
        <v>0</v>
      </c>
      <c r="CF33" s="177" t="n">
        <v>0</v>
      </c>
      <c r="CG33" s="177" t="n">
        <v>0</v>
      </c>
      <c r="CH33" s="177" t="n">
        <v>0</v>
      </c>
      <c r="CI33" s="198" t="n">
        <v>1500</v>
      </c>
      <c r="CJ33" s="177" t="n">
        <v>0</v>
      </c>
      <c r="CK33" s="177" t="n">
        <v>0</v>
      </c>
      <c r="CL33" s="177" t="n">
        <v>0</v>
      </c>
      <c r="CM33" s="177" t="n">
        <v>0</v>
      </c>
      <c r="CN33" s="177" t="n">
        <v>0</v>
      </c>
      <c r="CO33" s="177" t="n">
        <v>0</v>
      </c>
      <c r="CP33" s="177" t="n">
        <v>0</v>
      </c>
      <c r="CQ33" s="177" t="n">
        <v>0</v>
      </c>
      <c r="CR33" s="177" t="n">
        <v>0</v>
      </c>
      <c r="CS33" s="210" t="n">
        <v>0</v>
      </c>
      <c r="CT33" s="210" t="n">
        <v>0</v>
      </c>
      <c r="CU33" s="210" t="n">
        <v>0</v>
      </c>
      <c r="CV33" s="210" t="n">
        <v>0</v>
      </c>
    </row>
    <row r="34" ht="15" customHeight="1" s="160">
      <c r="B34" s="170" t="n">
        <v>27</v>
      </c>
      <c r="C34" s="170" t="inlineStr">
        <is>
          <t>Astaxanthin (natural, softgel)</t>
        </is>
      </c>
      <c r="D34" s="170" t="inlineStr">
        <is>
          <t>Supplement Powder</t>
        </is>
      </c>
      <c r="E34" s="170" t="n">
        <v>1</v>
      </c>
      <c r="F34" s="170" t="inlineStr">
        <is>
          <t>softgel (1 softgel = 12mg astaxanthin)</t>
        </is>
      </c>
      <c r="G34" s="170" t="inlineStr">
        <is>
          <t>Nutrex Hawaii BioAstin Hawaiian Astaxanthin (50 softgels, 12mg, Hawaiian-grown Haematococcus pluvialis, CO2 solvent-free extraction, non-GMO, no hexane, direct from grower)</t>
        </is>
      </c>
      <c r="H34" s="170" t="inlineStr">
        <is>
          <t>Amazon (WFM) / Costco</t>
        </is>
      </c>
      <c r="I34" s="171" t="inlineStr">
        <is>
          <t>$31.99/50 softgels</t>
        </is>
      </c>
      <c r="J34" s="172">
        <f>ROUND(L36/1,0)</f>
        <v/>
      </c>
      <c r="K34" s="173">
        <f>ROUND((30/J36)*M36,2)</f>
        <v/>
      </c>
      <c r="L34" s="171" t="n">
        <v>50</v>
      </c>
      <c r="M34" s="171" t="n">
        <v>31.99</v>
      </c>
      <c r="N34" s="170" t="inlineStr">
        <is>
          <t>Carotenoid antioxidant</t>
        </is>
      </c>
      <c r="O34" s="213" t="n">
        <v>10</v>
      </c>
      <c r="P34" s="198" t="n">
        <v>0</v>
      </c>
      <c r="Q34" s="177" t="n">
        <v>0</v>
      </c>
      <c r="R34" s="177" t="n">
        <v>0</v>
      </c>
      <c r="S34" s="177" t="n">
        <v>0</v>
      </c>
      <c r="T34" s="177" t="n">
        <v>0</v>
      </c>
      <c r="U34" s="177" t="n">
        <v>0</v>
      </c>
      <c r="V34" s="178">
        <f>IF(P36=0,"",ROUND((Q36*1.09+R36*1+S36*1.13+T36*0+U36*0.52)/P36,2))</f>
        <v/>
      </c>
      <c r="W34" s="199" t="n">
        <v>1</v>
      </c>
      <c r="X34" s="198" t="n">
        <v>0</v>
      </c>
      <c r="Y34" s="198" t="n">
        <v>0</v>
      </c>
      <c r="Z34" s="198" t="n">
        <v>0</v>
      </c>
      <c r="AA34" s="198" t="n">
        <v>0</v>
      </c>
      <c r="AB34" s="198" t="n">
        <v>0</v>
      </c>
      <c r="AC34" s="198" t="n">
        <v>0</v>
      </c>
      <c r="AD34" s="198" t="n">
        <v>0</v>
      </c>
      <c r="AE34" s="198" t="n">
        <v>0</v>
      </c>
      <c r="AF34" s="200" t="n">
        <v>0</v>
      </c>
      <c r="AG34" s="182">
        <f>AD36-AE36-AF36-AH36</f>
        <v/>
      </c>
      <c r="AH34" s="198" t="n">
        <v>0</v>
      </c>
      <c r="AI34" s="182">
        <f>AD36-AH36-AF36</f>
        <v/>
      </c>
      <c r="AJ34" s="198" t="n">
        <v>0</v>
      </c>
      <c r="AK34" s="198" t="n">
        <v>0</v>
      </c>
      <c r="AL34" s="198" t="n">
        <v>0</v>
      </c>
      <c r="AM34" s="198" t="n">
        <v>0</v>
      </c>
      <c r="AN34" s="198" t="n">
        <v>0</v>
      </c>
      <c r="AO34" s="198" t="n">
        <v>0</v>
      </c>
      <c r="AP34" s="198" t="n">
        <v>0</v>
      </c>
      <c r="AQ34" s="177" t="n">
        <v>0</v>
      </c>
      <c r="AR34" s="177" t="n">
        <v>0</v>
      </c>
      <c r="AS34" s="177" t="n">
        <v>0</v>
      </c>
      <c r="AT34" s="177" t="n">
        <v>0</v>
      </c>
      <c r="AU34" s="177" t="n">
        <v>0</v>
      </c>
      <c r="AV34" s="177" t="n">
        <v>0</v>
      </c>
      <c r="AW34" s="177" t="n">
        <v>0</v>
      </c>
      <c r="AX34" s="177" t="n">
        <v>0</v>
      </c>
      <c r="AY34" s="177" t="n">
        <v>0</v>
      </c>
      <c r="AZ34" s="177" t="n">
        <v>0</v>
      </c>
      <c r="BA34" s="177" t="n">
        <v>0</v>
      </c>
      <c r="BB34" s="177" t="n">
        <v>0</v>
      </c>
      <c r="BC34" s="177" t="n">
        <v>0</v>
      </c>
      <c r="BD34" s="177" t="n">
        <v>0</v>
      </c>
      <c r="BE34" s="177" t="n">
        <v>0</v>
      </c>
      <c r="BF34" s="177" t="n">
        <v>0</v>
      </c>
      <c r="BG34" s="177" t="n">
        <v>0</v>
      </c>
      <c r="BH34" s="177" t="n">
        <v>0</v>
      </c>
      <c r="BI34" s="177" t="n">
        <v>0</v>
      </c>
      <c r="BJ34" s="177" t="n">
        <v>0</v>
      </c>
      <c r="BK34" s="177" t="n">
        <v>0</v>
      </c>
      <c r="BL34" s="177" t="n">
        <v>0</v>
      </c>
      <c r="BM34" s="177" t="n">
        <v>0</v>
      </c>
      <c r="BN34" s="177" t="n">
        <v>0</v>
      </c>
      <c r="BO34" s="177" t="n">
        <v>0</v>
      </c>
      <c r="BP34" s="177" t="n">
        <v>0</v>
      </c>
      <c r="BQ34" s="177" t="n">
        <v>0</v>
      </c>
      <c r="BR34" s="177" t="n">
        <v>0</v>
      </c>
      <c r="BS34" s="177" t="n">
        <v>0</v>
      </c>
      <c r="BT34" s="177" t="n">
        <v>0</v>
      </c>
      <c r="BU34" s="177" t="n">
        <v>0</v>
      </c>
      <c r="BV34" s="177" t="n">
        <v>0</v>
      </c>
      <c r="BW34" s="177" t="n">
        <v>0</v>
      </c>
      <c r="BX34" s="177" t="n">
        <v>0</v>
      </c>
      <c r="BY34" s="177" t="n">
        <v>0</v>
      </c>
      <c r="BZ34" s="177" t="n">
        <v>0</v>
      </c>
      <c r="CA34" s="177" t="n">
        <v>12</v>
      </c>
      <c r="CB34" s="177" t="n">
        <v>0</v>
      </c>
      <c r="CC34" s="177" t="n">
        <v>0</v>
      </c>
      <c r="CD34" s="177" t="n">
        <v>0</v>
      </c>
      <c r="CE34" s="177" t="n">
        <v>0</v>
      </c>
      <c r="CF34" s="177" t="n">
        <v>0</v>
      </c>
      <c r="CG34" s="177" t="n">
        <v>0</v>
      </c>
      <c r="CH34" s="177" t="n">
        <v>0</v>
      </c>
      <c r="CI34" s="177" t="n">
        <v>0</v>
      </c>
      <c r="CJ34" s="177" t="n">
        <v>0</v>
      </c>
      <c r="CK34" s="177" t="n">
        <v>0</v>
      </c>
      <c r="CL34" s="177" t="n">
        <v>0</v>
      </c>
      <c r="CM34" s="177" t="n">
        <v>0</v>
      </c>
      <c r="CN34" s="177" t="n">
        <v>0</v>
      </c>
      <c r="CO34" s="177" t="n">
        <v>0</v>
      </c>
      <c r="CP34" s="177" t="n">
        <v>0</v>
      </c>
      <c r="CQ34" s="177" t="n">
        <v>0</v>
      </c>
      <c r="CR34" s="177" t="n">
        <v>0</v>
      </c>
      <c r="CS34" s="210" t="n">
        <v>0</v>
      </c>
      <c r="CT34" s="210" t="n">
        <v>0</v>
      </c>
      <c r="CU34" s="210" t="n">
        <v>0</v>
      </c>
      <c r="CV34" s="210" t="n">
        <v>0</v>
      </c>
    </row>
    <row r="35" ht="15" customHeight="1" s="160">
      <c r="B35" s="189" t="n">
        <v>28</v>
      </c>
      <c r="C35" s="189" t="inlineStr">
        <is>
          <t>Chicory Root Inulin</t>
        </is>
      </c>
      <c r="D35" s="189" t="inlineStr">
        <is>
          <t>Supplement Powder</t>
        </is>
      </c>
      <c r="E35" s="189" t="n">
        <v>3</v>
      </c>
      <c r="F35" s="189" t="inlineStr">
        <is>
          <t>g (1 tsp)</t>
        </is>
      </c>
      <c r="G35" s="189" t="inlineStr">
        <is>
          <t>Micro Ingredients Organic Chicory Root Inulin Powder (2 lb, prebiotic FOS, USDA Organic)</t>
        </is>
      </c>
      <c r="H35" s="189" t="inlineStr">
        <is>
          <t>Amazon</t>
        </is>
      </c>
      <c r="I35" s="190" t="inlineStr">
        <is>
          <t>$30.00/2 lb</t>
        </is>
      </c>
      <c r="J35" s="191">
        <f>ROUND(L37/E37,0)</f>
        <v/>
      </c>
      <c r="K35" s="192">
        <f>ROUND((30/J37)*M37,2)</f>
        <v/>
      </c>
      <c r="L35" s="190" t="n">
        <v>907</v>
      </c>
      <c r="M35" s="190" t="n">
        <v>30</v>
      </c>
      <c r="N35" s="189" t="inlineStr">
        <is>
          <t>Prebiotic — fast-ferment</t>
        </is>
      </c>
      <c r="O35" s="213" t="n">
        <v>5</v>
      </c>
      <c r="P35" s="198" t="n">
        <v>0</v>
      </c>
      <c r="Q35" s="177" t="n">
        <v>0</v>
      </c>
      <c r="R35" s="177" t="n">
        <v>0</v>
      </c>
      <c r="S35" s="177" t="n">
        <v>0</v>
      </c>
      <c r="T35" s="177" t="n">
        <v>0</v>
      </c>
      <c r="U35" s="177" t="n">
        <v>0</v>
      </c>
      <c r="V35" s="193">
        <f>IF(P37=0,"",ROUND((Q37*1.09+R37*1+S37*1.13+T37*0+U37*0.52)/P37,2))</f>
        <v/>
      </c>
      <c r="W35" s="198" t="n">
        <v>0</v>
      </c>
      <c r="X35" s="198" t="n">
        <v>0</v>
      </c>
      <c r="Y35" s="198" t="n">
        <v>0</v>
      </c>
      <c r="Z35" s="198" t="n">
        <v>0</v>
      </c>
      <c r="AA35" s="198" t="n">
        <v>0</v>
      </c>
      <c r="AB35" s="198" t="n">
        <v>0</v>
      </c>
      <c r="AC35" s="198" t="n">
        <v>0</v>
      </c>
      <c r="AD35" s="198" t="n">
        <v>3</v>
      </c>
      <c r="AE35" s="198" t="n">
        <v>0</v>
      </c>
      <c r="AF35" s="200" t="n">
        <v>0</v>
      </c>
      <c r="AG35" s="182">
        <f>AD37-AE37-AF37-AH37</f>
        <v/>
      </c>
      <c r="AH35" s="198" t="n">
        <v>3</v>
      </c>
      <c r="AI35" s="182">
        <f>AD37-AH37-AF37</f>
        <v/>
      </c>
      <c r="AJ35" s="198" t="n">
        <v>0</v>
      </c>
      <c r="AK35" s="198" t="n">
        <v>0</v>
      </c>
      <c r="AL35" s="198" t="n">
        <v>0</v>
      </c>
      <c r="AM35" s="198" t="n">
        <v>0</v>
      </c>
      <c r="AN35" s="198" t="n">
        <v>0</v>
      </c>
      <c r="AO35" s="198" t="n">
        <v>0</v>
      </c>
      <c r="AP35" s="198" t="n">
        <v>0</v>
      </c>
      <c r="AQ35" s="177" t="n">
        <v>0</v>
      </c>
      <c r="AR35" s="177" t="n">
        <v>0</v>
      </c>
      <c r="AS35" s="177" t="n">
        <v>0</v>
      </c>
      <c r="AT35" s="177" t="n">
        <v>0</v>
      </c>
      <c r="AU35" s="177" t="n">
        <v>0</v>
      </c>
      <c r="AV35" s="177" t="n">
        <v>0</v>
      </c>
      <c r="AW35" s="177" t="n">
        <v>0</v>
      </c>
      <c r="AX35" s="177" t="n">
        <v>0</v>
      </c>
      <c r="AY35" s="177" t="n">
        <v>0</v>
      </c>
      <c r="AZ35" s="177" t="n">
        <v>0</v>
      </c>
      <c r="BA35" s="177" t="n">
        <v>0</v>
      </c>
      <c r="BB35" s="177" t="n">
        <v>0</v>
      </c>
      <c r="BC35" s="177" t="n">
        <v>0</v>
      </c>
      <c r="BD35" s="177" t="n">
        <v>0</v>
      </c>
      <c r="BE35" s="177" t="n">
        <v>0</v>
      </c>
      <c r="BF35" s="177" t="n">
        <v>0</v>
      </c>
      <c r="BG35" s="177" t="n">
        <v>0</v>
      </c>
      <c r="BH35" s="177" t="n">
        <v>0</v>
      </c>
      <c r="BI35" s="177" t="n">
        <v>0</v>
      </c>
      <c r="BJ35" s="177" t="n">
        <v>0</v>
      </c>
      <c r="BK35" s="177" t="n">
        <v>0</v>
      </c>
      <c r="BL35" s="177" t="n">
        <v>0</v>
      </c>
      <c r="BM35" s="177" t="n">
        <v>0</v>
      </c>
      <c r="BN35" s="177" t="n">
        <v>0</v>
      </c>
      <c r="BO35" s="177" t="n">
        <v>0</v>
      </c>
      <c r="BP35" s="177" t="n">
        <v>0</v>
      </c>
      <c r="BQ35" s="177" t="n">
        <v>0</v>
      </c>
      <c r="BR35" s="177" t="n">
        <v>0</v>
      </c>
      <c r="BS35" s="177" t="n">
        <v>0</v>
      </c>
      <c r="BT35" s="177" t="n">
        <v>0</v>
      </c>
      <c r="BU35" s="177" t="n">
        <v>0</v>
      </c>
      <c r="BV35" s="177" t="n">
        <v>0</v>
      </c>
      <c r="BW35" s="177" t="n">
        <v>0</v>
      </c>
      <c r="BX35" s="177" t="n">
        <v>0</v>
      </c>
      <c r="BY35" s="177" t="n">
        <v>0</v>
      </c>
      <c r="BZ35" s="177" t="n">
        <v>0</v>
      </c>
      <c r="CA35" s="177" t="n">
        <v>0</v>
      </c>
      <c r="CB35" s="177" t="n">
        <v>0</v>
      </c>
      <c r="CC35" s="177" t="n">
        <v>0</v>
      </c>
      <c r="CD35" s="177" t="n">
        <v>0</v>
      </c>
      <c r="CE35" s="177" t="n">
        <v>0</v>
      </c>
      <c r="CF35" s="177" t="n">
        <v>0</v>
      </c>
      <c r="CG35" s="177" t="n">
        <v>0</v>
      </c>
      <c r="CH35" s="198" t="n">
        <v>3</v>
      </c>
      <c r="CI35" s="177" t="n">
        <v>0</v>
      </c>
      <c r="CJ35" s="177" t="n">
        <v>0</v>
      </c>
      <c r="CK35" s="177" t="n">
        <v>0</v>
      </c>
      <c r="CL35" s="177" t="n">
        <v>0</v>
      </c>
      <c r="CM35" s="177" t="n">
        <v>0</v>
      </c>
      <c r="CN35" s="177" t="n">
        <v>0</v>
      </c>
      <c r="CO35" s="177" t="n">
        <v>0</v>
      </c>
      <c r="CP35" s="177" t="n">
        <v>0</v>
      </c>
      <c r="CQ35" s="177" t="n">
        <v>0</v>
      </c>
      <c r="CR35" s="177" t="n">
        <v>0</v>
      </c>
      <c r="CS35" s="210" t="n">
        <v>0</v>
      </c>
      <c r="CT35" s="210" t="n">
        <v>0</v>
      </c>
      <c r="CU35" s="210" t="n">
        <v>0</v>
      </c>
      <c r="CV35" s="210" t="n">
        <v>0</v>
      </c>
    </row>
    <row r="36" ht="15" customHeight="1" s="160">
      <c r="B36" s="170" t="n">
        <v>29</v>
      </c>
      <c r="C36" s="170" t="inlineStr">
        <is>
          <t>Acacia Fiber</t>
        </is>
      </c>
      <c r="D36" s="170" t="inlineStr">
        <is>
          <t>Supplement Powder</t>
        </is>
      </c>
      <c r="E36" s="170" t="n">
        <v>5</v>
      </c>
      <c r="F36" s="170" t="inlineStr">
        <is>
          <t>g (1¾ tsp)</t>
        </is>
      </c>
      <c r="G36" s="170" t="inlineStr">
        <is>
          <t>NOW Foods Certified Organic Acacia Fiber Pure Powder (12 oz, 340g, USDA Organic QAI certified, Non-GMO Project Verified, GMP quality assured, single ingredient: Acacia senegal &amp; Acacia seyal gum — switched from Anthony's due to documented heavy metals across all Anthony's flour products, Dec 2025 Lead Safe Mama comparative chart)</t>
        </is>
      </c>
      <c r="H36" s="170" t="inlineStr">
        <is>
          <t>Amazon (WFM) / Walmart</t>
        </is>
      </c>
      <c r="I36" s="171" t="inlineStr">
        <is>
          <t>$12.00/12 oz</t>
        </is>
      </c>
      <c r="J36" s="172">
        <f>ROUND(L38/E38,0)</f>
        <v/>
      </c>
      <c r="K36" s="173">
        <f>ROUND((30/J38)*M38,2)</f>
        <v/>
      </c>
      <c r="L36" s="171" t="n">
        <v>340</v>
      </c>
      <c r="M36" s="171" t="n">
        <v>12</v>
      </c>
      <c r="N36" s="196" t="inlineStr">
        <is>
          <t>⚠️ Switched from Anthony's Goods — all Anthony's flour products test positive for heavy metals per Lead Safe Mama LLC Dec 2025 comparative chart. NOW Foods is Consumer Lab approved.</t>
        </is>
      </c>
      <c r="O36" s="213" t="n">
        <v>8</v>
      </c>
      <c r="P36" s="198" t="n">
        <v>0</v>
      </c>
      <c r="Q36" s="177" t="n">
        <v>0</v>
      </c>
      <c r="R36" s="177" t="n">
        <v>0</v>
      </c>
      <c r="S36" s="177" t="n">
        <v>0</v>
      </c>
      <c r="T36" s="177" t="n">
        <v>0</v>
      </c>
      <c r="U36" s="177" t="n">
        <v>0</v>
      </c>
      <c r="V36" s="178">
        <f>IF(P38=0,"",ROUND((Q38*1.09+R38*1+S38*1.13+T38*0+U38*0.52)/P38,2))</f>
        <v/>
      </c>
      <c r="W36" s="198" t="n">
        <v>0</v>
      </c>
      <c r="X36" s="198" t="n">
        <v>0</v>
      </c>
      <c r="Y36" s="198" t="n">
        <v>0</v>
      </c>
      <c r="Z36" s="198" t="n">
        <v>0</v>
      </c>
      <c r="AA36" s="198" t="n">
        <v>0</v>
      </c>
      <c r="AB36" s="198" t="n">
        <v>0</v>
      </c>
      <c r="AC36" s="198" t="n">
        <v>0</v>
      </c>
      <c r="AD36" s="198" t="n">
        <v>5</v>
      </c>
      <c r="AE36" s="198" t="n">
        <v>0</v>
      </c>
      <c r="AF36" s="200" t="n">
        <v>0</v>
      </c>
      <c r="AG36" s="182">
        <f>AD38-AE38-AF38-AH38</f>
        <v/>
      </c>
      <c r="AH36" s="198" t="n">
        <v>5</v>
      </c>
      <c r="AI36" s="182">
        <f>AD38-AH38-AF38</f>
        <v/>
      </c>
      <c r="AJ36" s="198" t="n">
        <v>0</v>
      </c>
      <c r="AK36" s="198" t="n">
        <v>0</v>
      </c>
      <c r="AL36" s="198" t="n">
        <v>0</v>
      </c>
      <c r="AM36" s="198" t="n">
        <v>0</v>
      </c>
      <c r="AN36" s="198" t="n">
        <v>0</v>
      </c>
      <c r="AO36" s="198" t="n">
        <v>0</v>
      </c>
      <c r="AP36" s="198" t="n">
        <v>0</v>
      </c>
      <c r="AQ36" s="177" t="n">
        <v>0</v>
      </c>
      <c r="AR36" s="177" t="n">
        <v>0</v>
      </c>
      <c r="AS36" s="177" t="n">
        <v>0</v>
      </c>
      <c r="AT36" s="177" t="n">
        <v>0</v>
      </c>
      <c r="AU36" s="177" t="n">
        <v>0</v>
      </c>
      <c r="AV36" s="177" t="n">
        <v>0</v>
      </c>
      <c r="AW36" s="177" t="n">
        <v>0</v>
      </c>
      <c r="AX36" s="177" t="n">
        <v>0</v>
      </c>
      <c r="AY36" s="177" t="n">
        <v>0</v>
      </c>
      <c r="AZ36" s="177" t="n">
        <v>0</v>
      </c>
      <c r="BA36" s="177" t="n">
        <v>0</v>
      </c>
      <c r="BB36" s="177" t="n">
        <v>0</v>
      </c>
      <c r="BC36" s="177" t="n">
        <v>0</v>
      </c>
      <c r="BD36" s="177" t="n">
        <v>0</v>
      </c>
      <c r="BE36" s="177" t="n">
        <v>0</v>
      </c>
      <c r="BF36" s="177" t="n">
        <v>0</v>
      </c>
      <c r="BG36" s="177" t="n">
        <v>0</v>
      </c>
      <c r="BH36" s="177" t="n">
        <v>0</v>
      </c>
      <c r="BI36" s="177" t="n">
        <v>0</v>
      </c>
      <c r="BJ36" s="177" t="n">
        <v>0</v>
      </c>
      <c r="BK36" s="177" t="n">
        <v>0</v>
      </c>
      <c r="BL36" s="177" t="n">
        <v>0</v>
      </c>
      <c r="BM36" s="177" t="n">
        <v>0</v>
      </c>
      <c r="BN36" s="177" t="n">
        <v>0</v>
      </c>
      <c r="BO36" s="177" t="n">
        <v>0</v>
      </c>
      <c r="BP36" s="177" t="n">
        <v>0</v>
      </c>
      <c r="BQ36" s="177" t="n">
        <v>0</v>
      </c>
      <c r="BR36" s="177" t="n">
        <v>0</v>
      </c>
      <c r="BS36" s="177" t="n">
        <v>0</v>
      </c>
      <c r="BT36" s="177" t="n">
        <v>0</v>
      </c>
      <c r="BU36" s="177" t="n">
        <v>0</v>
      </c>
      <c r="BV36" s="177" t="n">
        <v>0</v>
      </c>
      <c r="BW36" s="177" t="n">
        <v>0</v>
      </c>
      <c r="BX36" s="177" t="n">
        <v>0</v>
      </c>
      <c r="BY36" s="177" t="n">
        <v>0</v>
      </c>
      <c r="BZ36" s="177" t="n">
        <v>0</v>
      </c>
      <c r="CA36" s="177" t="n">
        <v>0</v>
      </c>
      <c r="CB36" s="177" t="n">
        <v>0</v>
      </c>
      <c r="CC36" s="177" t="n">
        <v>0</v>
      </c>
      <c r="CD36" s="177" t="n">
        <v>0</v>
      </c>
      <c r="CE36" s="177" t="n">
        <v>0</v>
      </c>
      <c r="CF36" s="177" t="n">
        <v>0</v>
      </c>
      <c r="CG36" s="177" t="n">
        <v>0</v>
      </c>
      <c r="CH36" s="198" t="n">
        <v>5</v>
      </c>
      <c r="CI36" s="177" t="n">
        <v>0</v>
      </c>
      <c r="CJ36" s="177" t="n">
        <v>0</v>
      </c>
      <c r="CK36" s="177" t="n">
        <v>0</v>
      </c>
      <c r="CL36" s="177" t="n">
        <v>0</v>
      </c>
      <c r="CM36" s="177" t="n">
        <v>0</v>
      </c>
      <c r="CN36" s="177" t="n">
        <v>0</v>
      </c>
      <c r="CO36" s="177" t="n">
        <v>0</v>
      </c>
      <c r="CP36" s="177" t="n">
        <v>0</v>
      </c>
      <c r="CQ36" s="177" t="n">
        <v>0</v>
      </c>
      <c r="CR36" s="177" t="n">
        <v>0</v>
      </c>
      <c r="CS36" s="210" t="n">
        <v>0</v>
      </c>
      <c r="CT36" s="210" t="n">
        <v>0</v>
      </c>
      <c r="CU36" s="210" t="n">
        <v>0</v>
      </c>
      <c r="CV36" s="210" t="n">
        <v>0</v>
      </c>
    </row>
    <row r="37" ht="15" customHeight="1" s="160">
      <c r="B37" s="189" t="n">
        <v>30</v>
      </c>
      <c r="C37" s="189" t="inlineStr">
        <is>
          <t>Green Banana Flour (organic)</t>
        </is>
      </c>
      <c r="D37" s="189" t="inlineStr">
        <is>
          <t>Supplement Powder</t>
        </is>
      </c>
      <c r="E37" s="189" t="n">
        <v>10</v>
      </c>
      <c r="F37" s="189" t="inlineStr">
        <is>
          <t>g (1 tbsp + ¾ tsp)</t>
        </is>
      </c>
      <c r="G37" s="189" t="inlineStr">
        <is>
          <t>Just About Foods Organic Green Banana Flour (1 lb, 100% organic green bananas, single ingredient, gluten-free, non-GMO)</t>
        </is>
      </c>
      <c r="H37" s="189" t="inlineStr">
        <is>
          <t>Amazon / Walmart</t>
        </is>
      </c>
      <c r="I37" s="190" t="inlineStr">
        <is>
          <t>$14.99/1 lb</t>
        </is>
      </c>
      <c r="J37" s="191">
        <f>ROUND(L39/E39,0)</f>
        <v/>
      </c>
      <c r="K37" s="192">
        <f>ROUND((30/J39)*M39,2)</f>
        <v/>
      </c>
      <c r="L37" s="190" t="n">
        <v>454</v>
      </c>
      <c r="M37" s="190" t="n">
        <v>14.99</v>
      </c>
      <c r="N37" s="214" t="inlineStr">
        <is>
          <t>⚠️ OUT OF STOCK — category-wide availability issue. Jonny's Good Nature is the only product with 60% RS2. Let's Do Organic is next-best but also OOS. Monitor jonnysgoodnature.com and Amazon for restock. Do not substitute with lower RS2 products as this changes the formula's resistant starch dose.</t>
        </is>
      </c>
      <c r="O37" s="211" t="n">
        <v>34</v>
      </c>
      <c r="P37" s="208" t="n">
        <v>0.4</v>
      </c>
      <c r="Q37" s="177" t="n">
        <v>0</v>
      </c>
      <c r="R37" s="177" t="n">
        <v>0</v>
      </c>
      <c r="S37" s="177" t="n">
        <v>0</v>
      </c>
      <c r="T37" s="177" t="n">
        <v>0</v>
      </c>
      <c r="U37" s="208" t="n">
        <v>0.4</v>
      </c>
      <c r="V37" s="193">
        <f>IF(P39=0,"",ROUND((Q39*1.09+R39*1+S39*1.13+T39*0+U39*0.52)/P39,2))</f>
        <v/>
      </c>
      <c r="W37" s="198" t="n">
        <v>0</v>
      </c>
      <c r="X37" s="198" t="n">
        <v>0</v>
      </c>
      <c r="Y37" s="198" t="n">
        <v>0</v>
      </c>
      <c r="Z37" s="198" t="n">
        <v>0</v>
      </c>
      <c r="AA37" s="198" t="n">
        <v>0</v>
      </c>
      <c r="AB37" s="198" t="n">
        <v>0</v>
      </c>
      <c r="AC37" s="198" t="n">
        <v>0</v>
      </c>
      <c r="AD37" s="201" t="n">
        <v>8.5</v>
      </c>
      <c r="AE37" s="198" t="n">
        <v>0</v>
      </c>
      <c r="AF37" s="200" t="n">
        <v>0</v>
      </c>
      <c r="AG37" s="182">
        <f>AD39-AE39-AF39-AH39</f>
        <v/>
      </c>
      <c r="AH37" s="201" t="n">
        <v>1.5</v>
      </c>
      <c r="AI37" s="182">
        <f>AD39-AH39-AF39</f>
        <v/>
      </c>
      <c r="AJ37" s="198" t="n">
        <v>0</v>
      </c>
      <c r="AK37" s="198" t="n">
        <v>0</v>
      </c>
      <c r="AL37" s="198" t="n">
        <v>0</v>
      </c>
      <c r="AM37" s="201" t="n">
        <v>50</v>
      </c>
      <c r="AN37" s="198" t="n">
        <v>0</v>
      </c>
      <c r="AO37" s="198" t="n">
        <v>0</v>
      </c>
      <c r="AP37" s="198" t="n">
        <v>0</v>
      </c>
      <c r="AQ37" s="177" t="n">
        <v>0</v>
      </c>
      <c r="AR37" s="177" t="n">
        <v>0</v>
      </c>
      <c r="AS37" s="177" t="n">
        <v>0</v>
      </c>
      <c r="AT37" s="177" t="n">
        <v>0</v>
      </c>
      <c r="AU37" s="177" t="n">
        <v>0</v>
      </c>
      <c r="AV37" s="177" t="n">
        <v>0</v>
      </c>
      <c r="AW37" s="177" t="n">
        <v>0</v>
      </c>
      <c r="AX37" s="177" t="n">
        <v>0</v>
      </c>
      <c r="AY37" s="177" t="n">
        <v>0</v>
      </c>
      <c r="AZ37" s="177" t="n">
        <v>0</v>
      </c>
      <c r="BA37" s="177" t="n">
        <v>0</v>
      </c>
      <c r="BB37" s="177" t="n">
        <v>0</v>
      </c>
      <c r="BC37" s="177" t="n">
        <v>0</v>
      </c>
      <c r="BD37" s="177" t="n">
        <v>0</v>
      </c>
      <c r="BE37" s="177" t="n">
        <v>0</v>
      </c>
      <c r="BF37" s="177" t="n">
        <v>0</v>
      </c>
      <c r="BG37" s="177" t="n">
        <v>0</v>
      </c>
      <c r="BH37" s="177" t="n">
        <v>0</v>
      </c>
      <c r="BI37" s="177" t="n">
        <v>0</v>
      </c>
      <c r="BJ37" s="177" t="n">
        <v>0</v>
      </c>
      <c r="BK37" s="177" t="n">
        <v>0</v>
      </c>
      <c r="BL37" s="177" t="n">
        <v>0</v>
      </c>
      <c r="BM37" s="177" t="n">
        <v>0</v>
      </c>
      <c r="BN37" s="177" t="n">
        <v>0</v>
      </c>
      <c r="BO37" s="177" t="n">
        <v>0</v>
      </c>
      <c r="BP37" s="177" t="n">
        <v>0</v>
      </c>
      <c r="BQ37" s="177" t="n">
        <v>0</v>
      </c>
      <c r="BR37" s="177" t="n">
        <v>0</v>
      </c>
      <c r="BS37" s="177" t="n">
        <v>0</v>
      </c>
      <c r="BT37" s="177" t="n">
        <v>0</v>
      </c>
      <c r="BU37" s="177" t="n">
        <v>0</v>
      </c>
      <c r="BV37" s="177" t="n">
        <v>0</v>
      </c>
      <c r="BW37" s="177" t="n">
        <v>0</v>
      </c>
      <c r="BX37" s="177" t="n">
        <v>0</v>
      </c>
      <c r="BY37" s="177" t="n">
        <v>0</v>
      </c>
      <c r="BZ37" s="177" t="n">
        <v>0</v>
      </c>
      <c r="CA37" s="177" t="n">
        <v>0</v>
      </c>
      <c r="CB37" s="177" t="n">
        <v>0</v>
      </c>
      <c r="CC37" s="177" t="n">
        <v>0</v>
      </c>
      <c r="CD37" s="177" t="n">
        <v>0</v>
      </c>
      <c r="CE37" s="177" t="n">
        <v>0</v>
      </c>
      <c r="CF37" s="177" t="n">
        <v>0</v>
      </c>
      <c r="CG37" s="177" t="n">
        <v>0</v>
      </c>
      <c r="CH37" s="201" t="n">
        <v>5</v>
      </c>
      <c r="CI37" s="177" t="n">
        <v>0</v>
      </c>
      <c r="CJ37" s="177" t="n">
        <v>0</v>
      </c>
      <c r="CK37" s="177" t="n">
        <v>0</v>
      </c>
      <c r="CL37" s="177" t="n">
        <v>0</v>
      </c>
      <c r="CM37" s="177" t="n">
        <v>0</v>
      </c>
      <c r="CN37" s="177" t="n">
        <v>0</v>
      </c>
      <c r="CO37" s="177" t="n">
        <v>0</v>
      </c>
      <c r="CP37" s="177" t="n">
        <v>0</v>
      </c>
      <c r="CQ37" s="177" t="n">
        <v>0</v>
      </c>
      <c r="CR37" s="177" t="n">
        <v>0</v>
      </c>
      <c r="CS37" s="210" t="n">
        <v>0</v>
      </c>
      <c r="CT37" s="210" t="n">
        <v>0</v>
      </c>
      <c r="CU37" s="210" t="n">
        <v>0</v>
      </c>
      <c r="CV37" s="210" t="n">
        <v>0</v>
      </c>
    </row>
    <row r="38" ht="15" customHeight="1" s="160">
      <c r="B38" s="346" t="n">
        <v>31</v>
      </c>
      <c r="C38" s="346" t="inlineStr">
        <is>
          <t>Oat Beta-Glucan Powder</t>
        </is>
      </c>
      <c r="D38" s="346" t="inlineStr">
        <is>
          <t>Supplement Powder</t>
        </is>
      </c>
      <c r="E38" s="346" t="n">
        <v>3</v>
      </c>
      <c r="F38" s="346" t="inlineStr">
        <is>
          <t>g (1 tsp)</t>
        </is>
      </c>
      <c r="G38" s="346" t="inlineStr">
        <is>
          <t>Anthony's Oat Beta-Glucan Powder (70% concentrate, ~3g active beta-glucan per 4.3g serving, single ingredient, non-GMO, gluten-free, Amazon Prime — ⚠️ FLAG: Anthony's flour products have documented heavy metals issues; no specific test of this oat beta-glucan product found. Monitor for clean alternative. No retail substitute for 70% pure oat beta-glucan currently available.)</t>
        </is>
      </c>
      <c r="H38" s="346" t="inlineStr">
        <is>
          <t>Amazon (WFM)</t>
        </is>
      </c>
      <c r="I38" s="347" t="inlineStr">
        <is>
          <t>$16.99/8 oz</t>
        </is>
      </c>
      <c r="J38" s="348">
        <f>ROUND(L40/E40,0)</f>
        <v/>
      </c>
      <c r="K38" s="349">
        <f>ROUND((30/J40)*M40,2)</f>
        <v/>
      </c>
      <c r="L38" s="347" t="n">
        <v>227</v>
      </c>
      <c r="M38" s="347" t="n">
        <v>16.99</v>
      </c>
      <c r="N38" s="362" t="inlineStr">
        <is>
          <t>REMOVED — no clean product exists (Anthony's heavy metal flag, product discontinued)</t>
        </is>
      </c>
      <c r="O38" s="350" t="n">
        <v>0</v>
      </c>
      <c r="P38" s="354" t="n">
        <v>0</v>
      </c>
      <c r="Q38" s="352" t="n">
        <v>0</v>
      </c>
      <c r="R38" s="352" t="n">
        <v>0</v>
      </c>
      <c r="S38" s="352" t="n">
        <v>0</v>
      </c>
      <c r="T38" s="352" t="n">
        <v>0</v>
      </c>
      <c r="U38" s="354" t="n">
        <v>0</v>
      </c>
      <c r="V38" s="353" t="n">
        <v>0</v>
      </c>
      <c r="W38" s="354" t="n">
        <v>0</v>
      </c>
      <c r="X38" s="354" t="n">
        <v>0</v>
      </c>
      <c r="Y38" s="354" t="n">
        <v>0</v>
      </c>
      <c r="Z38" s="354" t="n">
        <v>0</v>
      </c>
      <c r="AA38" s="354" t="n">
        <v>0</v>
      </c>
      <c r="AB38" s="354" t="n">
        <v>0</v>
      </c>
      <c r="AC38" s="354" t="n">
        <v>0</v>
      </c>
      <c r="AD38" s="354" t="n">
        <v>0</v>
      </c>
      <c r="AE38" s="354" t="n">
        <v>0</v>
      </c>
      <c r="AF38" s="355" t="n">
        <v>0</v>
      </c>
      <c r="AG38" s="356" t="n">
        <v>0</v>
      </c>
      <c r="AH38" s="354" t="n">
        <v>0</v>
      </c>
      <c r="AI38" s="356" t="n">
        <v>0</v>
      </c>
      <c r="AJ38" s="354" t="n">
        <v>0</v>
      </c>
      <c r="AK38" s="354" t="n">
        <v>0</v>
      </c>
      <c r="AL38" s="354" t="n">
        <v>0</v>
      </c>
      <c r="AM38" s="354" t="n">
        <v>0</v>
      </c>
      <c r="AN38" s="354" t="n">
        <v>0</v>
      </c>
      <c r="AO38" s="354" t="n">
        <v>0</v>
      </c>
      <c r="AP38" s="354" t="n">
        <v>0</v>
      </c>
      <c r="AQ38" s="352" t="n">
        <v>0</v>
      </c>
      <c r="AR38" s="352" t="n">
        <v>0</v>
      </c>
      <c r="AS38" s="352" t="n">
        <v>0</v>
      </c>
      <c r="AT38" s="352" t="n">
        <v>0</v>
      </c>
      <c r="AU38" s="352" t="n">
        <v>0</v>
      </c>
      <c r="AV38" s="352" t="n">
        <v>0</v>
      </c>
      <c r="AW38" s="352" t="n">
        <v>0</v>
      </c>
      <c r="AX38" s="352" t="n">
        <v>0</v>
      </c>
      <c r="AY38" s="352" t="n">
        <v>0</v>
      </c>
      <c r="AZ38" s="352" t="n">
        <v>0</v>
      </c>
      <c r="BA38" s="352" t="n">
        <v>0</v>
      </c>
      <c r="BB38" s="352" t="n">
        <v>0</v>
      </c>
      <c r="BC38" s="352" t="n">
        <v>0</v>
      </c>
      <c r="BD38" s="352" t="n">
        <v>0</v>
      </c>
      <c r="BE38" s="352" t="n">
        <v>0</v>
      </c>
      <c r="BF38" s="352" t="n">
        <v>0</v>
      </c>
      <c r="BG38" s="352" t="n">
        <v>0</v>
      </c>
      <c r="BH38" s="352" t="n">
        <v>0</v>
      </c>
      <c r="BI38" s="352" t="n">
        <v>0</v>
      </c>
      <c r="BJ38" s="352" t="n">
        <v>0</v>
      </c>
      <c r="BK38" s="352" t="n">
        <v>0</v>
      </c>
      <c r="BL38" s="352" t="n">
        <v>0</v>
      </c>
      <c r="BM38" s="352" t="n">
        <v>0</v>
      </c>
      <c r="BN38" s="352" t="n">
        <v>0</v>
      </c>
      <c r="BO38" s="352" t="n">
        <v>0</v>
      </c>
      <c r="BP38" s="352" t="n">
        <v>0</v>
      </c>
      <c r="BQ38" s="352" t="n">
        <v>0</v>
      </c>
      <c r="BR38" s="352" t="n">
        <v>0</v>
      </c>
      <c r="BS38" s="352" t="n">
        <v>0</v>
      </c>
      <c r="BT38" s="352" t="n">
        <v>0</v>
      </c>
      <c r="BU38" s="352" t="n">
        <v>0</v>
      </c>
      <c r="BV38" s="352" t="n">
        <v>0</v>
      </c>
      <c r="BW38" s="352" t="n">
        <v>0</v>
      </c>
      <c r="BX38" s="352" t="n">
        <v>0</v>
      </c>
      <c r="BY38" s="352" t="n">
        <v>0</v>
      </c>
      <c r="BZ38" s="352" t="n">
        <v>0</v>
      </c>
      <c r="CA38" s="352" t="n">
        <v>0</v>
      </c>
      <c r="CB38" s="352" t="n">
        <v>0</v>
      </c>
      <c r="CC38" s="352" t="n">
        <v>0</v>
      </c>
      <c r="CD38" s="352" t="n">
        <v>0</v>
      </c>
      <c r="CE38" s="352" t="n">
        <v>0</v>
      </c>
      <c r="CF38" s="352" t="n">
        <v>0</v>
      </c>
      <c r="CG38" s="352" t="n">
        <v>0</v>
      </c>
      <c r="CH38" s="354" t="n">
        <v>0</v>
      </c>
      <c r="CI38" s="352" t="n">
        <v>0</v>
      </c>
      <c r="CJ38" s="352" t="n">
        <v>0</v>
      </c>
      <c r="CK38" s="352" t="n">
        <v>0</v>
      </c>
      <c r="CL38" s="352" t="n">
        <v>0</v>
      </c>
      <c r="CM38" s="352" t="n">
        <v>0</v>
      </c>
      <c r="CN38" s="352" t="n">
        <v>0</v>
      </c>
      <c r="CO38" s="352" t="n">
        <v>0</v>
      </c>
      <c r="CP38" s="352" t="n">
        <v>0</v>
      </c>
      <c r="CQ38" s="352" t="n">
        <v>0</v>
      </c>
      <c r="CR38" s="352" t="n">
        <v>0</v>
      </c>
      <c r="CS38" s="361" t="n">
        <v>0</v>
      </c>
      <c r="CT38" s="361" t="n">
        <v>0</v>
      </c>
      <c r="CU38" s="361" t="n">
        <v>0</v>
      </c>
      <c r="CV38" s="361" t="n">
        <v>0</v>
      </c>
    </row>
    <row r="39" ht="15" customHeight="1" s="160">
      <c r="B39" s="215" t="inlineStr">
        <is>
          <t>OPT</t>
        </is>
      </c>
      <c r="C39" s="189" t="inlineStr">
        <is>
          <t>Instant Espresso Powder</t>
        </is>
      </c>
      <c r="D39" s="215" t="inlineStr">
        <is>
          <t>Optional</t>
        </is>
      </c>
      <c r="E39" s="215" t="n">
        <v>1</v>
      </c>
      <c r="F39" s="189" t="inlineStr">
        <is>
          <t>g (¼ tsp)</t>
        </is>
      </c>
      <c r="G39" s="189" t="inlineStr">
        <is>
          <t>Mount Hagen Organic Instant Espresso (1.76 oz, freeze-dried)</t>
        </is>
      </c>
      <c r="H39" s="189" t="inlineStr">
        <is>
          <t>Amazon / Walmart</t>
        </is>
      </c>
      <c r="I39" s="190" t="inlineStr">
        <is>
          <t>$9.71/1.76 oz</t>
        </is>
      </c>
      <c r="J39" s="191">
        <f>ROUND(L41/E41,0)</f>
        <v/>
      </c>
      <c r="K39" s="192">
        <f>ROUND((30/J41)*M41,2)</f>
        <v/>
      </c>
      <c r="L39" s="190" t="n">
        <v>50</v>
      </c>
      <c r="M39" s="190" t="n">
        <v>9.710000000000001</v>
      </c>
      <c r="N39" s="215" t="inlineStr">
        <is>
          <t>+30mg caff. NOT in totals.</t>
        </is>
      </c>
      <c r="O39" s="216" t="n">
        <v>2</v>
      </c>
      <c r="P39" s="210" t="n">
        <v>0</v>
      </c>
      <c r="Q39" s="210" t="n">
        <v>0</v>
      </c>
      <c r="R39" s="210" t="n">
        <v>0</v>
      </c>
      <c r="S39" s="210" t="n">
        <v>0</v>
      </c>
      <c r="T39" s="210" t="n">
        <v>0</v>
      </c>
      <c r="U39" s="210" t="n">
        <v>0</v>
      </c>
      <c r="V39" s="193">
        <f>IF(P41=0,"",ROUND((Q41*1.09+R41*1+S41*1.13+T41*0+U41*0.52)/P41,2))</f>
        <v/>
      </c>
      <c r="W39" s="210" t="n">
        <v>0</v>
      </c>
      <c r="X39" s="210" t="n">
        <v>0</v>
      </c>
      <c r="Y39" s="210" t="n">
        <v>0</v>
      </c>
      <c r="Z39" s="210" t="n">
        <v>0</v>
      </c>
      <c r="AA39" s="210" t="n">
        <v>0</v>
      </c>
      <c r="AB39" s="210" t="n">
        <v>0</v>
      </c>
      <c r="AC39" s="210" t="n">
        <v>0</v>
      </c>
      <c r="AD39" s="210" t="n">
        <v>0</v>
      </c>
      <c r="AE39" s="210" t="n">
        <v>0</v>
      </c>
      <c r="AF39" s="200" t="n">
        <v>0</v>
      </c>
      <c r="AG39" s="217">
        <f>AD41-AE41-AF41-AH41</f>
        <v/>
      </c>
      <c r="AH39" s="210" t="n">
        <v>0</v>
      </c>
      <c r="AI39" s="217">
        <f>AD41-AH41-AF41</f>
        <v/>
      </c>
      <c r="AJ39" s="210" t="n">
        <v>0</v>
      </c>
      <c r="AK39" s="210" t="n">
        <v>0</v>
      </c>
      <c r="AL39" s="210" t="n">
        <v>0</v>
      </c>
      <c r="AM39" s="210" t="n">
        <v>0</v>
      </c>
      <c r="AN39" s="210" t="n">
        <v>0</v>
      </c>
      <c r="AO39" s="210" t="n">
        <v>0</v>
      </c>
      <c r="AP39" s="210" t="n">
        <v>0</v>
      </c>
      <c r="AQ39" s="210" t="n">
        <v>0</v>
      </c>
      <c r="AR39" s="210" t="n">
        <v>0</v>
      </c>
      <c r="AS39" s="210" t="n">
        <v>0</v>
      </c>
      <c r="AT39" s="210" t="n">
        <v>0</v>
      </c>
      <c r="AU39" s="210" t="n">
        <v>0</v>
      </c>
      <c r="AV39" s="210" t="n">
        <v>0</v>
      </c>
      <c r="AW39" s="210" t="n">
        <v>0</v>
      </c>
      <c r="AX39" s="210" t="n">
        <v>0</v>
      </c>
      <c r="AY39" s="210" t="n">
        <v>0</v>
      </c>
      <c r="AZ39" s="210" t="n">
        <v>0</v>
      </c>
      <c r="BA39" s="210" t="n">
        <v>0</v>
      </c>
      <c r="BB39" s="210" t="n">
        <v>0</v>
      </c>
      <c r="BC39" s="210" t="n">
        <v>0</v>
      </c>
      <c r="BD39" s="210" t="n">
        <v>0</v>
      </c>
      <c r="BE39" s="210" t="n">
        <v>0</v>
      </c>
      <c r="BF39" s="210" t="n">
        <v>0</v>
      </c>
      <c r="BG39" s="210" t="n">
        <v>0</v>
      </c>
      <c r="BH39" s="210" t="n">
        <v>0</v>
      </c>
      <c r="BI39" s="210" t="n">
        <v>0</v>
      </c>
      <c r="BJ39" s="210" t="n">
        <v>0</v>
      </c>
      <c r="BK39" s="210" t="n">
        <v>0</v>
      </c>
      <c r="BL39" s="210" t="n">
        <v>0</v>
      </c>
      <c r="BM39" s="210" t="n">
        <v>0</v>
      </c>
      <c r="BN39" s="210" t="n">
        <v>0</v>
      </c>
      <c r="BO39" s="210" t="n">
        <v>0</v>
      </c>
      <c r="BP39" s="210" t="n">
        <v>0</v>
      </c>
      <c r="BQ39" s="210" t="n">
        <v>0</v>
      </c>
      <c r="BR39" s="210" t="n">
        <v>0</v>
      </c>
      <c r="BS39" s="210" t="n">
        <v>0</v>
      </c>
      <c r="BT39" s="210" t="n">
        <v>0</v>
      </c>
      <c r="BU39" s="210" t="n">
        <v>0</v>
      </c>
      <c r="BV39" s="210" t="n">
        <v>0</v>
      </c>
      <c r="BW39" s="210" t="n">
        <v>0</v>
      </c>
      <c r="BX39" s="210" t="n">
        <v>0</v>
      </c>
      <c r="BY39" s="210" t="n">
        <v>0</v>
      </c>
      <c r="BZ39" s="210" t="n">
        <v>0</v>
      </c>
      <c r="CA39" s="210" t="n">
        <v>0</v>
      </c>
      <c r="CB39" s="210" t="n">
        <v>0</v>
      </c>
      <c r="CC39" s="210" t="n">
        <v>0</v>
      </c>
      <c r="CD39" s="210" t="n">
        <v>0</v>
      </c>
      <c r="CE39" s="210" t="n">
        <v>0</v>
      </c>
      <c r="CF39" s="210" t="n">
        <v>0</v>
      </c>
      <c r="CG39" s="210" t="n">
        <v>0</v>
      </c>
      <c r="CH39" s="210" t="n">
        <v>0</v>
      </c>
      <c r="CI39" s="210" t="n">
        <v>0</v>
      </c>
      <c r="CJ39" s="210" t="n">
        <v>0</v>
      </c>
      <c r="CK39" s="210" t="n">
        <v>0</v>
      </c>
      <c r="CL39" s="210" t="n">
        <v>0</v>
      </c>
      <c r="CM39" s="210" t="n">
        <v>0</v>
      </c>
      <c r="CN39" s="218" t="n">
        <v>35</v>
      </c>
      <c r="CO39" s="210" t="n">
        <v>0</v>
      </c>
      <c r="CP39" s="210" t="n">
        <v>0</v>
      </c>
      <c r="CQ39" s="210" t="n">
        <v>0</v>
      </c>
      <c r="CR39" s="210" t="n">
        <v>0</v>
      </c>
      <c r="CS39" s="210" t="n">
        <v>0</v>
      </c>
      <c r="CT39" s="210" t="n">
        <v>0</v>
      </c>
      <c r="CU39" s="210" t="n">
        <v>0</v>
      </c>
      <c r="CV39" s="210" t="n">
        <v>0</v>
      </c>
    </row>
    <row r="40" ht="15" customHeight="1" s="160">
      <c r="B40" s="159" t="n">
        <v>32</v>
      </c>
      <c r="C40" s="159" t="inlineStr">
        <is>
          <t>Psyllium Husk Powder (organic, whole husk)</t>
        </is>
      </c>
      <c r="E40" s="159" t="n">
        <v>7</v>
      </c>
      <c r="F40" s="159" t="inlineStr">
        <is>
          <t>g (1 tbsp + ~½ tsp)</t>
        </is>
      </c>
      <c r="G40" s="159" t="inlineStr">
        <is>
          <t>Organic India Whole Husk Psyllium (12 oz canister, 68 servings)</t>
        </is>
      </c>
      <c r="I40" s="189" t="inlineStr">
        <is>
          <t>$17.97/12 oz</t>
        </is>
      </c>
      <c r="J40" s="189">
        <f>ROUND(L42/E42,0)</f>
        <v/>
      </c>
      <c r="K40" s="189">
        <f>ROUND((30/J42)*M42,2)</f>
        <v/>
      </c>
      <c r="L40" s="189" t="n">
        <v>340</v>
      </c>
      <c r="M40" s="189" t="n">
        <v>17.97</v>
      </c>
      <c r="O40" s="210" t="n">
        <v>25</v>
      </c>
      <c r="P40" s="210" t="n">
        <v>0</v>
      </c>
      <c r="Q40" s="210" t="n">
        <v>0</v>
      </c>
      <c r="R40" s="210" t="n">
        <v>0</v>
      </c>
      <c r="S40" s="210" t="n">
        <v>0</v>
      </c>
      <c r="T40" s="210" t="n">
        <v>0</v>
      </c>
      <c r="U40" s="210" t="n">
        <v>0</v>
      </c>
      <c r="V40" s="217" t="n">
        <v>0</v>
      </c>
      <c r="W40" s="210" t="n">
        <v>0</v>
      </c>
      <c r="X40" s="210" t="n">
        <v>0</v>
      </c>
      <c r="Y40" s="210" t="n">
        <v>0</v>
      </c>
      <c r="Z40" s="210" t="n">
        <v>0</v>
      </c>
      <c r="AA40" s="210" t="n">
        <v>0</v>
      </c>
      <c r="AB40" s="210" t="n">
        <v>0</v>
      </c>
      <c r="AC40" s="210" t="n">
        <v>0</v>
      </c>
      <c r="AD40" s="210" t="n">
        <v>5.6</v>
      </c>
      <c r="AE40" s="210" t="n">
        <v>0</v>
      </c>
      <c r="AF40" s="210" t="n">
        <v>0</v>
      </c>
      <c r="AG40" s="217">
        <f>AD42-AE42-AF42-AH42</f>
        <v/>
      </c>
      <c r="AH40" s="210" t="n">
        <v>5.6</v>
      </c>
      <c r="AI40" s="217">
        <f>AD42-AH42-AF42</f>
        <v/>
      </c>
      <c r="AJ40" s="210" t="n">
        <v>0</v>
      </c>
      <c r="AK40" s="210" t="n">
        <v>0</v>
      </c>
      <c r="AL40" s="210" t="n">
        <v>0</v>
      </c>
      <c r="AM40" s="210" t="n">
        <v>0</v>
      </c>
      <c r="AN40" s="210" t="n">
        <v>0</v>
      </c>
      <c r="AO40" s="210" t="n">
        <v>0</v>
      </c>
      <c r="AP40" s="209" t="inlineStr">
        <is>
          <t>Unknown</t>
        </is>
      </c>
      <c r="AQ40" s="210" t="n">
        <v>0</v>
      </c>
      <c r="AR40" s="210" t="n">
        <v>0</v>
      </c>
      <c r="AS40" s="210" t="n">
        <v>0</v>
      </c>
      <c r="AT40" s="210" t="n">
        <v>0</v>
      </c>
      <c r="AU40" s="210" t="n">
        <v>0</v>
      </c>
      <c r="AV40" s="209" t="inlineStr">
        <is>
          <t>Unknown</t>
        </is>
      </c>
      <c r="AW40" s="210" t="n">
        <v>0</v>
      </c>
      <c r="AX40" s="209" t="inlineStr">
        <is>
          <t>Unknown</t>
        </is>
      </c>
      <c r="AY40" s="210" t="n">
        <v>0</v>
      </c>
      <c r="AZ40" s="210" t="n">
        <v>0</v>
      </c>
      <c r="BA40" s="210" t="n">
        <v>0</v>
      </c>
      <c r="BB40" s="210" t="n">
        <v>0</v>
      </c>
      <c r="BC40" s="210" t="n">
        <v>0</v>
      </c>
      <c r="BD40" s="210" t="n">
        <v>0</v>
      </c>
      <c r="BE40" s="210" t="n">
        <v>0</v>
      </c>
      <c r="BF40" s="210" t="n">
        <v>0</v>
      </c>
      <c r="BG40" s="210" t="n">
        <v>0</v>
      </c>
      <c r="BH40" s="210" t="n">
        <v>0</v>
      </c>
      <c r="BI40" s="210" t="n">
        <v>0</v>
      </c>
      <c r="BJ40" s="210" t="n">
        <v>0</v>
      </c>
      <c r="BK40" s="210" t="n">
        <v>0</v>
      </c>
      <c r="BL40" s="210" t="n">
        <v>0</v>
      </c>
      <c r="BM40" s="210" t="n">
        <v>0</v>
      </c>
      <c r="BN40" s="210" t="n">
        <v>0</v>
      </c>
      <c r="BO40" s="210" t="n">
        <v>0</v>
      </c>
      <c r="BP40" s="210" t="n">
        <v>0</v>
      </c>
      <c r="BQ40" s="210" t="n">
        <v>0</v>
      </c>
      <c r="BR40" s="210" t="n">
        <v>0</v>
      </c>
      <c r="BS40" s="210" t="n">
        <v>0</v>
      </c>
      <c r="BT40" s="210" t="n">
        <v>0</v>
      </c>
      <c r="BU40" s="210" t="n">
        <v>0</v>
      </c>
      <c r="BV40" s="210" t="n">
        <v>0</v>
      </c>
      <c r="BW40" s="210" t="n">
        <v>0</v>
      </c>
      <c r="BX40" s="210" t="n">
        <v>0</v>
      </c>
      <c r="BY40" s="210" t="n">
        <v>0</v>
      </c>
      <c r="BZ40" s="210" t="n">
        <v>0</v>
      </c>
      <c r="CA40" s="210" t="n">
        <v>0</v>
      </c>
      <c r="CB40" s="210" t="n">
        <v>0</v>
      </c>
      <c r="CC40" s="210" t="n">
        <v>0</v>
      </c>
      <c r="CD40" s="210" t="n">
        <v>0</v>
      </c>
      <c r="CE40" s="210" t="n">
        <v>0</v>
      </c>
      <c r="CF40" s="210" t="n">
        <v>0</v>
      </c>
      <c r="CG40" s="210" t="n">
        <v>0</v>
      </c>
      <c r="CH40" s="210" t="n">
        <v>4.2</v>
      </c>
      <c r="CI40" s="210" t="n">
        <v>0</v>
      </c>
      <c r="CJ40" s="210" t="n">
        <v>0</v>
      </c>
      <c r="CK40" s="210" t="n">
        <v>0</v>
      </c>
      <c r="CL40" s="209" t="inlineStr">
        <is>
          <t>Unknown</t>
        </is>
      </c>
      <c r="CM40" s="210" t="n">
        <v>0</v>
      </c>
      <c r="CN40" s="210" t="n">
        <v>0</v>
      </c>
      <c r="CO40" s="210" t="n">
        <v>0</v>
      </c>
      <c r="CP40" s="210" t="n">
        <v>0</v>
      </c>
      <c r="CQ40" s="210" t="n">
        <v>0</v>
      </c>
      <c r="CR40" s="210" t="n">
        <v>0</v>
      </c>
      <c r="CS40" s="209" t="inlineStr">
        <is>
          <t>Unknown</t>
        </is>
      </c>
      <c r="CT40" s="209" t="inlineStr">
        <is>
          <t>Unknown</t>
        </is>
      </c>
      <c r="CU40" s="209" t="inlineStr">
        <is>
          <t>Unknown</t>
        </is>
      </c>
      <c r="CV40" s="209" t="inlineStr">
        <is>
          <t>Unknown</t>
        </is>
      </c>
    </row>
    <row r="41" ht="15" customHeight="1" s="160">
      <c r="B41" s="159" t="n">
        <v>33</v>
      </c>
      <c r="C41" s="159" t="inlineStr">
        <is>
          <t>Frozen Spinach (organic)</t>
        </is>
      </c>
      <c r="E41" s="159" t="n">
        <v>50</v>
      </c>
      <c r="F41" s="159" t="inlineStr">
        <is>
          <t>g</t>
        </is>
      </c>
      <c r="G41" s="159" t="inlineStr">
        <is>
          <t>365 by Whole Foods Market Organic Frozen Spinach (12 oz, USDA Organic, blanched whole leaf, no additives)</t>
        </is>
      </c>
      <c r="H41" s="159" t="inlineStr">
        <is>
          <t>Amazon (WFM)</t>
        </is>
      </c>
      <c r="I41" s="159" t="inlineStr">
        <is>
          <t>$2.49/16 oz</t>
        </is>
      </c>
      <c r="K41" s="159" t="n">
        <v>8.82</v>
      </c>
      <c r="L41" s="159" t="n">
        <v>454</v>
      </c>
      <c r="M41" s="159" t="n">
        <v>2.49</v>
      </c>
      <c r="N41" s="159" t="inlineStr">
        <is>
          <t>Lutein + folate + K1 (complements kale)</t>
        </is>
      </c>
      <c r="O41" s="219" t="n">
        <v>11.5</v>
      </c>
      <c r="P41" s="219" t="n">
        <v>1.49</v>
      </c>
      <c r="Q41" s="210" t="n">
        <v>0</v>
      </c>
      <c r="R41" s="210" t="n">
        <v>0</v>
      </c>
      <c r="S41" s="210" t="n">
        <v>0</v>
      </c>
      <c r="T41" s="210" t="n">
        <v>0</v>
      </c>
      <c r="U41" s="219" t="n">
        <v>1.49</v>
      </c>
      <c r="V41" s="159">
        <f>IF(P43=0,"",ROUND((Q43*1.09+R43*1+S43*1.13+T43*0+U43*0.52)/P43,2))</f>
        <v/>
      </c>
      <c r="W41" s="219" t="n">
        <v>0.13</v>
      </c>
      <c r="X41" s="220" t="n">
        <v>0.02</v>
      </c>
      <c r="Y41" s="220" t="n">
        <v>0.003</v>
      </c>
      <c r="Z41" s="220" t="n">
        <v>0.05</v>
      </c>
      <c r="AA41" s="219" t="n">
        <v>0.046</v>
      </c>
      <c r="AB41" s="220" t="n">
        <v>0.008999999999999999</v>
      </c>
      <c r="AC41" s="210" t="n">
        <v>0</v>
      </c>
      <c r="AD41" s="219" t="n">
        <v>1.88</v>
      </c>
      <c r="AE41" s="220" t="n">
        <v>0.22</v>
      </c>
      <c r="AF41" s="210" t="n">
        <v>0</v>
      </c>
      <c r="AG41" s="159">
        <f>AD43-AE43-AF43-AH43</f>
        <v/>
      </c>
      <c r="AH41" s="219" t="n">
        <v>1.2</v>
      </c>
      <c r="AI41" s="159">
        <f>AD43-AH43-AF43</f>
        <v/>
      </c>
      <c r="AJ41" s="219" t="n">
        <v>9.85</v>
      </c>
      <c r="AK41" s="219" t="n">
        <v>68</v>
      </c>
      <c r="AL41" s="219" t="n">
        <v>43.5</v>
      </c>
      <c r="AM41" s="219" t="n">
        <v>233</v>
      </c>
      <c r="AN41" s="219" t="n">
        <v>28</v>
      </c>
      <c r="AO41" s="219" t="n">
        <v>35</v>
      </c>
      <c r="AP41" s="188" t="n">
        <v>2.5</v>
      </c>
      <c r="AQ41" s="219" t="n">
        <v>1.79</v>
      </c>
      <c r="AR41" s="219" t="n">
        <v>0.38</v>
      </c>
      <c r="AS41" s="220" t="n">
        <v>0.75</v>
      </c>
      <c r="AT41" s="219" t="n">
        <v>87</v>
      </c>
      <c r="AU41" s="219" t="n">
        <v>0.47</v>
      </c>
      <c r="AV41" s="204" t="n">
        <v>0</v>
      </c>
      <c r="AW41" s="204" t="n">
        <v>1</v>
      </c>
      <c r="AX41" s="188" t="n">
        <v>0.3</v>
      </c>
      <c r="AY41" s="219" t="n">
        <v>262</v>
      </c>
      <c r="AZ41" s="219" t="n">
        <v>4.9</v>
      </c>
      <c r="BA41" s="210" t="n">
        <v>0</v>
      </c>
      <c r="BB41" s="219" t="n">
        <v>1.04</v>
      </c>
      <c r="BC41" s="219" t="n">
        <v>246.8</v>
      </c>
      <c r="BD41" s="210" t="n">
        <v>0</v>
      </c>
      <c r="BE41" s="210" t="n">
        <v>0</v>
      </c>
      <c r="BF41" s="220" t="n">
        <v>0.048</v>
      </c>
      <c r="BG41" s="219" t="n">
        <v>0.118</v>
      </c>
      <c r="BH41" s="220" t="n">
        <v>0.25</v>
      </c>
      <c r="BI41" s="219" t="n">
        <v>0.121</v>
      </c>
      <c r="BJ41" s="219" t="n">
        <v>73</v>
      </c>
      <c r="BK41" s="210" t="n">
        <v>0</v>
      </c>
      <c r="BL41" s="204" t="n">
        <v>0.75</v>
      </c>
      <c r="BM41" s="220" t="n">
        <v>0.073</v>
      </c>
      <c r="BN41" s="210" t="n">
        <v>0</v>
      </c>
      <c r="BO41" s="210" t="n">
        <v>0</v>
      </c>
      <c r="BP41" s="210" t="n">
        <v>0</v>
      </c>
      <c r="BQ41" s="210" t="n">
        <v>0</v>
      </c>
      <c r="BR41" s="210" t="n">
        <v>0</v>
      </c>
      <c r="BS41" s="210" t="n">
        <v>0</v>
      </c>
      <c r="BT41" s="210" t="n">
        <v>0</v>
      </c>
      <c r="BU41" s="204" t="n">
        <v>0.5</v>
      </c>
      <c r="BV41" s="219" t="n">
        <v>2</v>
      </c>
      <c r="BW41" s="210" t="n">
        <v>0</v>
      </c>
      <c r="BX41" s="219" t="n">
        <v>5654</v>
      </c>
      <c r="BY41" s="219" t="n">
        <v>120</v>
      </c>
      <c r="BZ41" s="210" t="n">
        <v>0</v>
      </c>
      <c r="CA41" s="210" t="n">
        <v>0</v>
      </c>
      <c r="CB41" s="210" t="n">
        <v>0</v>
      </c>
      <c r="CC41" s="220" t="n">
        <v>3</v>
      </c>
      <c r="CD41" s="188" t="n">
        <v>125</v>
      </c>
      <c r="CE41" s="210" t="n">
        <v>0</v>
      </c>
      <c r="CF41" s="220" t="n">
        <v>0.12</v>
      </c>
      <c r="CG41" s="210" t="n">
        <v>0</v>
      </c>
      <c r="CH41" s="210" t="n">
        <v>0</v>
      </c>
      <c r="CI41" s="210" t="n">
        <v>0</v>
      </c>
      <c r="CJ41" s="204" t="n">
        <v>0.05</v>
      </c>
      <c r="CK41" s="210" t="n">
        <v>0</v>
      </c>
      <c r="CL41" s="210" t="n">
        <v>0</v>
      </c>
      <c r="CM41" s="210" t="n">
        <v>0</v>
      </c>
      <c r="CN41" s="210" t="n">
        <v>0</v>
      </c>
      <c r="CO41" s="210" t="n">
        <v>0</v>
      </c>
      <c r="CP41" s="210" t="n">
        <v>0</v>
      </c>
      <c r="CQ41" s="220" t="n">
        <v>0.15</v>
      </c>
      <c r="CR41" s="210" t="n">
        <v>0</v>
      </c>
      <c r="CS41" s="188" t="n">
        <v>0</v>
      </c>
      <c r="CT41" s="188" t="n">
        <v>0</v>
      </c>
      <c r="CU41" s="188" t="n">
        <v>0</v>
      </c>
      <c r="CV41" s="188" t="n">
        <v>0</v>
      </c>
    </row>
    <row r="42" ht="15" customHeight="1" s="160">
      <c r="B42" s="221" t="inlineStr">
        <is>
          <t>TOTAL MONTHLY COST (1 shake/day, all items incl. optional)</t>
        </is>
      </c>
      <c r="C42" s="222" t="inlineStr">
        <is>
          <t>SHAKE TOTALS</t>
        </is>
      </c>
      <c r="D42" s="222" t="n"/>
      <c r="E42" s="222" t="n"/>
      <c r="F42" s="222" t="n"/>
      <c r="G42" s="222" t="n"/>
      <c r="H42" s="222" t="n"/>
      <c r="I42" s="221">
        <f>SUM(I8:I38,I40:I41)</f>
        <v/>
      </c>
      <c r="J42" s="222" t="n"/>
      <c r="K42" s="223">
        <f>SUM(K8:K38,K40:K41)</f>
        <v/>
      </c>
      <c r="L42" s="222" t="n"/>
      <c r="M42" s="222" t="n"/>
      <c r="N42" s="222" t="n"/>
      <c r="O42" s="224">
        <f>SUM(O8:O38,O40:O41)</f>
        <v/>
      </c>
      <c r="P42" s="225">
        <f>SUM(P8:P38,P40:P41)</f>
        <v/>
      </c>
      <c r="Q42" s="225">
        <f>SUM(Q8:Q38,Q40:Q41)</f>
        <v/>
      </c>
      <c r="R42" s="225">
        <f>SUM(R8:R38,R40:R41)</f>
        <v/>
      </c>
      <c r="S42" s="225">
        <f>SUM(S8:S38,S40:S41)</f>
        <v/>
      </c>
      <c r="T42" s="225">
        <f>SUM(T8:T38,T40:T41)</f>
        <v/>
      </c>
      <c r="U42" s="225">
        <f>SUM(U8:U38,U40:U41)</f>
        <v/>
      </c>
      <c r="V42" s="225">
        <f>IF(P42=0,"",ROUND((Q42*1.09+R42*1.00+S42*1.13+T42*0+U42*0.52)/P42,2))</f>
        <v/>
      </c>
      <c r="W42" s="225">
        <f>SUM(W8:W38,W40:W41)</f>
        <v/>
      </c>
      <c r="X42" s="225">
        <f>SUM(X8:X38,X40:X41)</f>
        <v/>
      </c>
      <c r="Y42" s="225">
        <f>SUM(Y8:Y38,Y40:Y41)</f>
        <v/>
      </c>
      <c r="Z42" s="225">
        <f>SUM(Z8:Z38,Z40:Z41)</f>
        <v/>
      </c>
      <c r="AA42" s="225">
        <f>SUM(AA8:AA38,AA40:AA41)</f>
        <v/>
      </c>
      <c r="AB42" s="225">
        <f>SUM(AB8:AB38,AB40:AB41)</f>
        <v/>
      </c>
      <c r="AC42" s="225">
        <f>SUM(AC8:AC38,AC40:AC41)</f>
        <v/>
      </c>
      <c r="AD42" s="225">
        <f>SUM(AD8:AD38,AD40:AD41)</f>
        <v/>
      </c>
      <c r="AE42" s="225">
        <f>SUM(AE8:AE38,AE40:AE41)</f>
        <v/>
      </c>
      <c r="AF42" s="222">
        <f>SUM(AF8:AF38,AF40:AF41)</f>
        <v/>
      </c>
      <c r="AG42" s="225">
        <f>SUM(AG8:AG38,AG40:AG41)</f>
        <v/>
      </c>
      <c r="AH42" s="225">
        <f>SUM(AH8:AH38,AH40:AH41)</f>
        <v/>
      </c>
      <c r="AI42" s="225">
        <f>SUM(AI8:AI38,AI40:AI41)</f>
        <v/>
      </c>
      <c r="AJ42" s="225">
        <f>SUM(AJ8:AJ38,AJ40:AJ41)</f>
        <v/>
      </c>
      <c r="AK42" s="225">
        <f>SUM(AK8:AK38,AK40:AK41)</f>
        <v/>
      </c>
      <c r="AL42" s="225">
        <f>SUM(AL8:AL38,AL40:AL41)</f>
        <v/>
      </c>
      <c r="AM42" s="225">
        <f>SUM(AM8:AM38,AM40:AM41)</f>
        <v/>
      </c>
      <c r="AN42" s="225">
        <f>SUM(AN8:AN38,AN40:AN41)</f>
        <v/>
      </c>
      <c r="AO42" s="225">
        <f>SUM(AO8:AO38,AO40:AO41)</f>
        <v/>
      </c>
      <c r="AP42" s="225">
        <f>SUM(AP8:AP38,AP40:AP41)</f>
        <v/>
      </c>
      <c r="AQ42" s="225">
        <f>SUM(AQ8:AQ38,AQ40:AQ41)</f>
        <v/>
      </c>
      <c r="AR42" s="225">
        <f>SUM(AR8:AR38,AR40:AR41)</f>
        <v/>
      </c>
      <c r="AS42" s="225">
        <f>SUM(AS8:AS38,AS40:AS41)</f>
        <v/>
      </c>
      <c r="AT42" s="225">
        <f>SUM(AT8:AT38,AT40:AT41)</f>
        <v/>
      </c>
      <c r="AU42" s="225">
        <f>SUM(AU8:AU38,AU40:AU41)</f>
        <v/>
      </c>
      <c r="AV42" s="225">
        <f>SUM(AV8:AV38,AV40:AV41)</f>
        <v/>
      </c>
      <c r="AW42" s="225">
        <f>SUM(AW8:AW38,AW40:AW41)</f>
        <v/>
      </c>
      <c r="AX42" s="225">
        <f>SUM(AX8:AX38,AX40:AX41)</f>
        <v/>
      </c>
      <c r="AY42" s="225">
        <f>SUM(AY8:AY38,AY40:AY41)</f>
        <v/>
      </c>
      <c r="AZ42" s="225">
        <f>SUM(AZ8:AZ38,AZ40:AZ41)</f>
        <v/>
      </c>
      <c r="BA42" s="225">
        <f>SUM(BA8:BA38,BA40:BA41)</f>
        <v/>
      </c>
      <c r="BB42" s="225">
        <f>SUM(BB8:BB38,BB40:BB41)</f>
        <v/>
      </c>
      <c r="BC42" s="225">
        <f>SUM(BC8:BC38,BC40:BC41)</f>
        <v/>
      </c>
      <c r="BD42" s="225">
        <f>SUM(BD8:BD38,BD40:BD41)</f>
        <v/>
      </c>
      <c r="BE42" s="225">
        <f>SUM(BE8:BE38,BE40:BE41)</f>
        <v/>
      </c>
      <c r="BF42" s="225">
        <f>SUM(BF8:BF38,BF40:BF41)</f>
        <v/>
      </c>
      <c r="BG42" s="225">
        <f>SUM(BG8:BG38,BG40:BG41)</f>
        <v/>
      </c>
      <c r="BH42" s="225">
        <f>SUM(BH8:BH38,BH40:BH41)</f>
        <v/>
      </c>
      <c r="BI42" s="225">
        <f>SUM(BI8:BI38,BI40:BI41)</f>
        <v/>
      </c>
      <c r="BJ42" s="225">
        <f>SUM(BJ8:BJ38,BJ40:BJ41)</f>
        <v/>
      </c>
      <c r="BK42" s="225">
        <f>SUM(BK8:BK38,BK40:BK41)</f>
        <v/>
      </c>
      <c r="BL42" s="225">
        <f>SUM(BL8:BL38,BL40:BL41)</f>
        <v/>
      </c>
      <c r="BM42" s="225">
        <f>SUM(BM8:BM38,BM40:BM41)</f>
        <v/>
      </c>
      <c r="BN42" s="225">
        <f>SUM(BN8:BN38,BN40:BN41)</f>
        <v/>
      </c>
      <c r="BO42" s="225">
        <f>SUM(BO8:BO38,BO40:BO41)</f>
        <v/>
      </c>
      <c r="BP42" s="225">
        <f>SUM(BP8:BP38,BP40:BP41)</f>
        <v/>
      </c>
      <c r="BQ42" s="225">
        <f>SUM(BQ8:BQ38,BQ40:BQ41)</f>
        <v/>
      </c>
      <c r="BR42" s="225">
        <f>SUM(BR8:BR38,BR40:BR41)</f>
        <v/>
      </c>
      <c r="BS42" s="225">
        <f>SUM(BS8:BS38,BS40:BS41)</f>
        <v/>
      </c>
      <c r="BT42" s="225">
        <f>SUM(BT8:BT38,BT40:BT41)</f>
        <v/>
      </c>
      <c r="BU42" s="225">
        <f>SUM(BU8:BU38,BU40:BU41)</f>
        <v/>
      </c>
      <c r="BV42" s="225">
        <f>SUM(BV8:BV38,BV40:BV41)</f>
        <v/>
      </c>
      <c r="BW42" s="225">
        <f>SUM(BW8:BW38,BW40:BW41)</f>
        <v/>
      </c>
      <c r="BX42" s="225">
        <f>SUM(BX8:BX38,BX40:BX41)</f>
        <v/>
      </c>
      <c r="BY42" s="225">
        <f>SUM(BY8:BY38,BY40:BY41)</f>
        <v/>
      </c>
      <c r="BZ42" s="225">
        <f>SUM(BZ8:BZ38,BZ40:BZ41)</f>
        <v/>
      </c>
      <c r="CA42" s="225">
        <f>SUM(CA8:CA38,CA40:CA41)</f>
        <v/>
      </c>
      <c r="CB42" s="225">
        <f>SUM(CB8:CB38,CB40:CB41)</f>
        <v/>
      </c>
      <c r="CC42" s="225">
        <f>SUM(CC8:CC38,CC40:CC41)</f>
        <v/>
      </c>
      <c r="CD42" s="225">
        <f>SUM(CD8:CD38,CD40:CD41)</f>
        <v/>
      </c>
      <c r="CE42" s="225">
        <f>SUM(CE8:CE38,CE40:CE41)</f>
        <v/>
      </c>
      <c r="CF42" s="225">
        <f>SUM(CF8:CF38,CF40:CF41)</f>
        <v/>
      </c>
      <c r="CG42" s="225">
        <f>SUM(CG8:CG38,CG40:CG41)</f>
        <v/>
      </c>
      <c r="CH42" s="225">
        <f>SUM(CH8:CH38,CH40:CH41)</f>
        <v/>
      </c>
      <c r="CI42" s="225">
        <f>SUM(CI8:CI38,CI40:CI41)</f>
        <v/>
      </c>
      <c r="CJ42" s="225">
        <f>SUM(CJ8:CJ38,CJ40:CJ41)</f>
        <v/>
      </c>
      <c r="CK42" s="225">
        <f>SUM(CK8:CK38,CK40:CK41)</f>
        <v/>
      </c>
      <c r="CL42" s="225">
        <f>SUM(CL8:CL38,CL40:CL41)</f>
        <v/>
      </c>
      <c r="CM42" s="225">
        <f>SUM(CM8:CM38,CM40:CM41)</f>
        <v/>
      </c>
      <c r="CN42" s="225">
        <f>SUM(CN8:CN38,CN40:CN41)</f>
        <v/>
      </c>
      <c r="CO42" s="225">
        <f>SUM(CO8:CO38,CO40:CO41)</f>
        <v/>
      </c>
      <c r="CP42" s="225">
        <f>SUM(CP8:CP38,CP40:CP41)</f>
        <v/>
      </c>
      <c r="CQ42" s="225">
        <f>SUM(CQ8:CQ38,CQ40:CQ41)</f>
        <v/>
      </c>
      <c r="CR42" s="225">
        <f>SUM(CR8:CR38,CR40:CR41)</f>
        <v/>
      </c>
      <c r="CS42" s="222">
        <f>SUM(CS8:CS38,CS40:CS41)</f>
        <v/>
      </c>
      <c r="CT42" s="222">
        <f>SUM(CT8:CT38,CT40:CT41)</f>
        <v/>
      </c>
      <c r="CU42" s="222">
        <f>SUM(CU8:CU38,CU40:CU41)</f>
        <v/>
      </c>
      <c r="CV42" s="222">
        <f>SUM(CV8:CV38,CV40:CV41)</f>
        <v/>
      </c>
    </row>
    <row r="43" ht="15" customHeight="1" s="160">
      <c r="B43" s="159" t="n"/>
      <c r="O43" s="159" t="inlineStr">
        <is>
          <t>https://www.logixpathchef.com/app/food/getfoodnutrition?fdcid=168463</t>
        </is>
      </c>
      <c r="P43" s="159" t="inlineStr">
        <is>
          <t>https://www.logixpathchef.com/app/food/getfoodnutrition?fdcid=168463</t>
        </is>
      </c>
      <c r="Q43" s="159" t="inlineStr">
        <is>
          <t>https://www.logixpathchef.com/app/food/getfoodnutrition?fdcid=168463</t>
        </is>
      </c>
      <c r="R43" s="159" t="inlineStr">
        <is>
          <t>https://www.logixpathchef.com/app/food/getfoodnutrition?fdcid=168463</t>
        </is>
      </c>
      <c r="S43" s="159" t="inlineStr">
        <is>
          <t>https://www.logixpathchef.com/app/food/getfoodnutrition?fdcid=168463</t>
        </is>
      </c>
      <c r="T43" s="159" t="inlineStr">
        <is>
          <t>https://www.logixpathchef.com/app/food/getfoodnutrition?fdcid=168463</t>
        </is>
      </c>
      <c r="U43" s="159" t="inlineStr">
        <is>
          <t>https://www.logixpathchef.com/app/food/getfoodnutrition?fdcid=168463</t>
        </is>
      </c>
      <c r="W43" s="159" t="inlineStr">
        <is>
          <t>https://www.logixpathchef.com/app/food/getfoodnutrition?fdcid=168463</t>
        </is>
      </c>
      <c r="X43" s="159" t="inlineStr">
        <is>
          <t>https://www.logixpathchef.com/app/food/getfoodnutrition?fdcid=168463</t>
        </is>
      </c>
      <c r="Y43" s="159" t="inlineStr">
        <is>
          <t>https://www.logixpathchef.com/app/food/getfoodnutrition?fdcid=168463</t>
        </is>
      </c>
      <c r="Z43" s="159" t="inlineStr">
        <is>
          <t>https://www.logixpathchef.com/app/food/getfoodnutrition?fdcid=168463</t>
        </is>
      </c>
      <c r="AA43" s="159" t="inlineStr">
        <is>
          <t>https://www.logixpathchef.com/app/food/getfoodnutrition?fdcid=168463</t>
        </is>
      </c>
      <c r="AB43" s="159" t="inlineStr">
        <is>
          <t>https://www.logixpathchef.com/app/food/getfoodnutrition?fdcid=168463</t>
        </is>
      </c>
      <c r="AC43" s="159" t="inlineStr">
        <is>
          <t>https://www.logixpathchef.com/app/food/getfoodnutrition?fdcid=168463</t>
        </is>
      </c>
      <c r="AD43" s="159" t="inlineStr">
        <is>
          <t>https://www.logixpathchef.com/app/food/getfoodnutrition?fdcid=168463</t>
        </is>
      </c>
      <c r="AE43" s="159" t="inlineStr">
        <is>
          <t>https://www.logixpathchef.com/app/food/getfoodnutrition?fdcid=168463</t>
        </is>
      </c>
      <c r="AF43" s="159" t="inlineStr">
        <is>
          <t>https://www.logixpathchef.com/app/food/getfoodnutrition?fdcid=168463</t>
        </is>
      </c>
      <c r="AH43" s="159" t="inlineStr">
        <is>
          <t>https://www.logixpathchef.com/app/food/getfoodnutrition?fdcid=168463</t>
        </is>
      </c>
      <c r="AJ43" s="159" t="inlineStr">
        <is>
          <t>https://www.logixpathchef.com/app/food/getfoodnutrition?fdcid=168463</t>
        </is>
      </c>
      <c r="AK43" s="159" t="inlineStr">
        <is>
          <t>https://www.logixpathchef.com/app/food/getfoodnutrition?fdcid=168463</t>
        </is>
      </c>
      <c r="AL43" s="159" t="inlineStr">
        <is>
          <t>https://www.logixpathchef.com/app/food/getfoodnutrition?fdcid=168463</t>
        </is>
      </c>
      <c r="AM43" s="159" t="inlineStr">
        <is>
          <t>https://www.logixpathchef.com/app/food/getfoodnutrition?fdcid=168463</t>
        </is>
      </c>
      <c r="AN43" s="159" t="inlineStr">
        <is>
          <t>https://www.logixpathchef.com/app/food/getfoodnutrition?fdcid=168463</t>
        </is>
      </c>
      <c r="AO43" s="159" t="inlineStr">
        <is>
          <t>https://www.logixpathchef.com/app/food/getfoodnutrition?fdcid=168463</t>
        </is>
      </c>
      <c r="AP43" s="159" t="inlineStr">
        <is>
          <t>https://pubmed.ncbi.nlm.nih.gov/26471267/</t>
        </is>
      </c>
      <c r="AQ43" s="159" t="inlineStr">
        <is>
          <t>https://www.logixpathchef.com/app/food/getfoodnutrition?fdcid=168463</t>
        </is>
      </c>
      <c r="AR43" s="159" t="inlineStr">
        <is>
          <t>https://www.logixpathchef.com/app/food/getfoodnutrition?fdcid=168463</t>
        </is>
      </c>
      <c r="AS43" s="159" t="inlineStr">
        <is>
          <t>https://www.logixpathchef.com/app/food/getfoodnutrition?fdcid=168463</t>
        </is>
      </c>
      <c r="AT43" s="159" t="inlineStr">
        <is>
          <t>https://www.logixpathchef.com/app/food/getfoodnutrition?fdcid=168463</t>
        </is>
      </c>
      <c r="AU43" s="159" t="inlineStr">
        <is>
          <t>https://www.logixpathchef.com/app/food/getfoodnutrition?fdcid=168463</t>
        </is>
      </c>
      <c r="AV43" s="159" t="inlineStr">
        <is>
          <t>https://www.logixpathchef.com/app/food/getfoodnutrition?fdcid=168463</t>
        </is>
      </c>
      <c r="AW43" s="159" t="inlineStr">
        <is>
          <t>https://www.ars.usda.gov/ARSUserFiles/80400535/DATA/IODINE/IODINE_DATABASE_PDFVersion_2020.PDF</t>
        </is>
      </c>
      <c r="AX43" s="159" t="inlineStr">
        <is>
          <t>https://www.logixpathchef.com/app/food/getfoodnutrition?fdcid=168463</t>
        </is>
      </c>
      <c r="AY43" s="159" t="inlineStr">
        <is>
          <t>https://www.logixpathchef.com/app/food/getfoodnutrition?fdcid=168463</t>
        </is>
      </c>
      <c r="AZ43" s="159" t="inlineStr">
        <is>
          <t>https://www.logixpathchef.com/app/food/getfoodnutrition?fdcid=168463</t>
        </is>
      </c>
      <c r="BA43" s="159" t="inlineStr">
        <is>
          <t>https://www.logixpathchef.com/app/food/getfoodnutrition?fdcid=168463</t>
        </is>
      </c>
      <c r="BB43" s="159" t="inlineStr">
        <is>
          <t>https://www.logixpathchef.com/app/food/getfoodnutrition?fdcid=168463</t>
        </is>
      </c>
      <c r="BC43" s="159" t="inlineStr">
        <is>
          <t>https://www.logixpathchef.com/app/food/getfoodnutrition?fdcid=168463</t>
        </is>
      </c>
      <c r="BD43" s="159" t="inlineStr">
        <is>
          <t>https://www.logixpathchef.com/app/food/getfoodnutrition?fdcid=168463</t>
        </is>
      </c>
      <c r="BE43" s="159" t="inlineStr">
        <is>
          <t>https://www.logixpathchef.com/app/food/getfoodnutrition?fdcid=168463</t>
        </is>
      </c>
      <c r="BF43" s="159" t="inlineStr">
        <is>
          <t>https://www.logixpathchef.com/app/food/getfoodnutrition?fdcid=168463</t>
        </is>
      </c>
      <c r="BG43" s="159" t="inlineStr">
        <is>
          <t>https://www.logixpathchef.com/app/food/getfoodnutrition?fdcid=168463</t>
        </is>
      </c>
      <c r="BH43" s="159" t="inlineStr">
        <is>
          <t>https://www.logixpathchef.com/app/food/getfoodnutrition?fdcid=168463</t>
        </is>
      </c>
      <c r="BI43" s="159" t="inlineStr">
        <is>
          <t>https://www.logixpathchef.com/app/food/getfoodnutrition?fdcid=168463</t>
        </is>
      </c>
      <c r="BJ43" s="159" t="inlineStr">
        <is>
          <t>https://www.logixpathchef.com/app/food/getfoodnutrition?fdcid=168463</t>
        </is>
      </c>
      <c r="BK43" s="159" t="inlineStr">
        <is>
          <t>https://www.logixpathchef.com/app/food/getfoodnutrition?fdcid=168463</t>
        </is>
      </c>
      <c r="BL43" s="159" t="inlineStr">
        <is>
          <t>https://www.logixpathchef.com/app/food/getfoodnutrition?fdcid=168463</t>
        </is>
      </c>
      <c r="BM43" s="159" t="inlineStr">
        <is>
          <t>https://www.logixpathchef.com/app/food/getfoodnutrition?fdcid=168463</t>
        </is>
      </c>
      <c r="BN43" s="159" t="inlineStr">
        <is>
          <t>https://www.logixpathchef.com/app/food/getfoodnutrition?fdcid=168463</t>
        </is>
      </c>
      <c r="BO43" s="159" t="inlineStr">
        <is>
          <t>https://www.logixpathchef.com/app/food/getfoodnutrition?fdcid=168463</t>
        </is>
      </c>
      <c r="BP43" s="159" t="inlineStr">
        <is>
          <t>https://www.logixpathchef.com/app/food/getfoodnutrition?fdcid=168463</t>
        </is>
      </c>
      <c r="BQ43" s="159" t="inlineStr">
        <is>
          <t>https://www.logixpathchef.com/app/food/getfoodnutrition?fdcid=168463</t>
        </is>
      </c>
      <c r="BR43" s="159" t="inlineStr">
        <is>
          <t>https://www.logixpathchef.com/app/food/getfoodnutrition?fdcid=168463</t>
        </is>
      </c>
      <c r="BS43" s="159" t="inlineStr">
        <is>
          <t>https://www.logixpathchef.com/app/food/getfoodnutrition?fdcid=168463</t>
        </is>
      </c>
      <c r="BT43" s="159" t="inlineStr">
        <is>
          <t>https://www.logixpathchef.com/app/food/getfoodnutrition?fdcid=168463</t>
        </is>
      </c>
      <c r="BU43" s="159" t="inlineStr">
        <is>
          <t>https://www.logixpathchef.com/app/food/getfoodnutrition?fdcid=168463</t>
        </is>
      </c>
      <c r="BV43" s="159" t="inlineStr">
        <is>
          <t>https://www.ars.usda.gov/ARSUserFiles/80400535/Data/Flav/Flav3.3.pdf</t>
        </is>
      </c>
      <c r="BW43" s="159" t="inlineStr">
        <is>
          <t>https://www.logixpathchef.com/app/food/getfoodnutrition?fdcid=168463</t>
        </is>
      </c>
      <c r="BX43" s="159" t="inlineStr">
        <is>
          <t>https://www.logixpathchef.com/app/food/getfoodnutrition?fdcid=168463</t>
        </is>
      </c>
      <c r="BY43" s="159" t="inlineStr">
        <is>
          <t>https://www.logixpathchef.com/app/food/getfoodnutrition?fdcid=168463</t>
        </is>
      </c>
      <c r="BZ43" s="159" t="inlineStr">
        <is>
          <t>https://www.logixpathchef.com/app/food/getfoodnutrition?fdcid=168463</t>
        </is>
      </c>
      <c r="CA43" s="159" t="inlineStr">
        <is>
          <t>https://www.logixpathchef.com/app/food/getfoodnutrition?fdcid=168463</t>
        </is>
      </c>
      <c r="CB43" s="159" t="inlineStr">
        <is>
          <t>https://www.logixpathchef.com/app/food/getfoodnutrition?fdcid=168463</t>
        </is>
      </c>
      <c r="CC43" s="159" t="inlineStr">
        <is>
          <t>https://www.logixpathchef.com/app/food/getfoodnutrition?fdcid=168463</t>
        </is>
      </c>
      <c r="CD43" s="159" t="inlineStr">
        <is>
          <t>https://pubmed.ncbi.nlm.nih.gov/19439460/</t>
        </is>
      </c>
      <c r="CE43" s="159" t="inlineStr">
        <is>
          <t>https://www.logixpathchef.com/app/food/getfoodnutrition?fdcid=168463</t>
        </is>
      </c>
      <c r="CF43" s="159" t="inlineStr">
        <is>
          <t>https://www.logixpathchef.com/app/food/getfoodnutrition?fdcid=168463</t>
        </is>
      </c>
      <c r="CG43" s="159" t="inlineStr">
        <is>
          <t>https://www.logixpathchef.com/app/food/getfoodnutrition?fdcid=168463</t>
        </is>
      </c>
      <c r="CH43" s="159" t="inlineStr">
        <is>
          <t>https://www.logixpathchef.com/app/food/getfoodnutrition?fdcid=168463</t>
        </is>
      </c>
      <c r="CI43" s="159" t="inlineStr">
        <is>
          <t>https://www.logixpathchef.com/app/food/getfoodnutrition?fdcid=168463</t>
        </is>
      </c>
      <c r="CJ43" s="159" t="inlineStr">
        <is>
          <t>https://pubmed.ncbi.nlm.nih.gov/11453768/</t>
        </is>
      </c>
      <c r="CK43" s="159" t="inlineStr">
        <is>
          <t>https://www.logixpathchef.com/app/food/getfoodnutrition?fdcid=168463</t>
        </is>
      </c>
      <c r="CL43" s="159" t="inlineStr">
        <is>
          <t>https://www.logixpathchef.com/app/food/getfoodnutrition?fdcid=168463</t>
        </is>
      </c>
      <c r="CM43" s="159" t="inlineStr">
        <is>
          <t>https://www.logixpathchef.com/app/food/getfoodnutrition?fdcid=168463</t>
        </is>
      </c>
      <c r="CN43" s="159" t="inlineStr">
        <is>
          <t>https://www.logixpathchef.com/app/food/getfoodnutrition?fdcid=168463</t>
        </is>
      </c>
      <c r="CO43" s="159" t="inlineStr">
        <is>
          <t>https://www.logixpathchef.com/app/food/getfoodnutrition?fdcid=168463</t>
        </is>
      </c>
      <c r="CP43" s="159" t="inlineStr">
        <is>
          <t>https://www.logixpathchef.com/app/food/getfoodnutrition?fdcid=168463</t>
        </is>
      </c>
      <c r="CQ43" s="159" t="inlineStr">
        <is>
          <t>https://www.logixpathchef.com/app/food/getfoodnutrition?fdcid=168463</t>
        </is>
      </c>
      <c r="CR43" s="159" t="inlineStr">
        <is>
          <t>https://www.logixpathchef.com/app/food/getfoodnutrition?fdcid=168463</t>
        </is>
      </c>
      <c r="CS43" s="159" t="inlineStr">
        <is>
          <t>https://www.fda.gov/media/159745/download</t>
        </is>
      </c>
      <c r="CT43" s="159" t="inlineStr">
        <is>
          <t>https://www.fda.gov/media/159745/download</t>
        </is>
      </c>
      <c r="CU43" s="159" t="inlineStr">
        <is>
          <t>https://www.fda.gov/media/159745/download</t>
        </is>
      </c>
      <c r="CV43" s="159" t="inlineStr">
        <is>
          <t>https://www.fda.gov/media/159745/download</t>
        </is>
      </c>
    </row>
    <row r="44" ht="15" customHeight="1" s="160">
      <c r="B44" s="163" t="inlineStr">
        <is>
          <t>SUPPLEMENTS (8 items — Thorne Multi-Vitamin Elite AM/PM)</t>
        </is>
      </c>
      <c r="CL44" s="164" t="n"/>
      <c r="CM44" s="164" t="n"/>
      <c r="CN44" s="164" t="n"/>
      <c r="CO44" s="164" t="n"/>
      <c r="CP44" s="164" t="n"/>
      <c r="CQ44" s="164" t="n"/>
      <c r="CR44" s="164" t="n"/>
      <c r="CS44" s="164" t="n"/>
      <c r="CT44" s="164" t="n"/>
      <c r="CU44" s="164" t="n"/>
      <c r="CV44" s="164" t="n"/>
    </row>
    <row r="45" ht="21.75" customHeight="1" s="160">
      <c r="B45" s="166" t="inlineStr">
        <is>
          <t>#</t>
        </is>
      </c>
      <c r="CL45" s="166" t="inlineStr">
        <is>
          <t>Lithium
(mg)</t>
        </is>
      </c>
      <c r="CM45" s="166" t="inlineStr">
        <is>
          <t>Probio
(B AFU)</t>
        </is>
      </c>
      <c r="CN45" s="166" t="inlineStr">
        <is>
          <t>Caffeine
(mg)</t>
        </is>
      </c>
      <c r="CO45" s="166" t="inlineStr">
        <is>
          <t>Curcumin
Phyto</t>
        </is>
      </c>
      <c r="CP45" s="166" t="inlineStr">
        <is>
          <t>GreenTea
Phyto</t>
        </is>
      </c>
      <c r="CQ45" s="166" t="inlineStr">
        <is>
          <t>d-Gamma
Tocoph</t>
        </is>
      </c>
      <c r="CR45" s="166" t="inlineStr">
        <is>
          <t>Prop
Blend</t>
        </is>
      </c>
      <c r="CS45" s="166" t="inlineStr">
        <is>
          <t>Lead
(Pb)
(mcg/day)</t>
        </is>
      </c>
      <c r="CT45" s="166" t="inlineStr">
        <is>
          <t>Cadmium
(Cd)
(mcg/day)</t>
        </is>
      </c>
      <c r="CU45" s="166" t="inlineStr">
        <is>
          <t>Arsenic
(As)
(mcg/day)</t>
        </is>
      </c>
      <c r="CV45" s="166" t="inlineStr">
        <is>
          <t>Mercury
(Hg)
(mcg/day)</t>
        </is>
      </c>
    </row>
    <row r="46" ht="37.5" customHeight="1" s="160">
      <c r="B46" s="170" t="n">
        <v>1</v>
      </c>
      <c r="C46" s="170" t="inlineStr">
        <is>
          <t>Multivitamin (comprehensive AM/PM, NSF Certified for Sport)</t>
        </is>
      </c>
      <c r="D46" s="170" t="inlineStr">
        <is>
          <t>AM/PM (6 caps)</t>
        </is>
      </c>
      <c r="E46" s="170" t="inlineStr">
        <is>
          <t>3+3 caps</t>
        </is>
      </c>
      <c r="F46" s="170" t="inlineStr">
        <is>
          <t>AM + PM</t>
        </is>
      </c>
      <c r="G46" s="170" t="inlineStr">
        <is>
          <t>Thorne Multi-Vitamin Elite AM/PM Kit (2x 90 capsules, 30 servings, NSF Certified for Sport, AM formula: methylated B-vitamins/5-MTHF/D3 2000IU/K1+K2/chelated minerals; PM formula: antioxidants/Relora/curcumin phytosome/green tea phytosome, full COA every lot, TGA + NSF facility certified, no artificial additives, gluten/soy/dairy-free)</t>
        </is>
      </c>
      <c r="H46" s="170" t="inlineStr">
        <is>
          <t>Amazon (WFM) / thorne.com</t>
        </is>
      </c>
      <c r="I46" s="171" t="inlineStr">
        <is>
          <t>$76.00/30 servings (AM+PM)</t>
        </is>
      </c>
      <c r="J46" s="172" t="n"/>
      <c r="K46" s="173" t="n"/>
      <c r="L46" s="170" t="n">
        <v>30</v>
      </c>
      <c r="M46" s="170" t="n">
        <v>76</v>
      </c>
      <c r="N46" s="170" t="inlineStr">
        <is>
          <t>Full multi. 3 AM caps + 3 PM caps.</t>
        </is>
      </c>
      <c r="O46" s="227" t="n">
        <v>10</v>
      </c>
      <c r="P46" s="177" t="n">
        <v>0</v>
      </c>
      <c r="Q46" s="177" t="n">
        <v>0</v>
      </c>
      <c r="R46" s="177" t="n">
        <v>0</v>
      </c>
      <c r="S46" s="177" t="n">
        <v>0</v>
      </c>
      <c r="T46" s="177" t="n">
        <v>0</v>
      </c>
      <c r="U46" s="177" t="n">
        <v>0</v>
      </c>
      <c r="V46" s="178">
        <f>IF(K47=0,"",ROUND((L47*1.09+M47*1+N47*1.13+O47*0+P47*0.52+R47*0.75)/K47,2))</f>
        <v/>
      </c>
      <c r="W46" s="177" t="n">
        <v>0</v>
      </c>
      <c r="X46" s="177" t="n">
        <v>0</v>
      </c>
      <c r="Y46" s="177" t="n">
        <v>0</v>
      </c>
      <c r="Z46" s="177" t="n">
        <v>0</v>
      </c>
      <c r="AA46" s="177" t="n">
        <v>0</v>
      </c>
      <c r="AB46" s="177" t="n">
        <v>0</v>
      </c>
      <c r="AC46" s="177" t="n">
        <v>0</v>
      </c>
      <c r="AD46" s="177" t="n">
        <v>0</v>
      </c>
      <c r="AE46" s="177" t="n">
        <v>0</v>
      </c>
      <c r="AF46" s="200" t="n">
        <v>0</v>
      </c>
      <c r="AG46" s="182">
        <f>AD46-AE46-AF46-AH46</f>
        <v/>
      </c>
      <c r="AH46" s="177" t="n">
        <v>0</v>
      </c>
      <c r="AI46" s="182">
        <f>AD46-AH46-AF46</f>
        <v/>
      </c>
      <c r="AJ46" s="198" t="n">
        <v>54</v>
      </c>
      <c r="AK46" s="198" t="n">
        <v>88</v>
      </c>
      <c r="AL46" s="198" t="n">
        <v>170</v>
      </c>
      <c r="AM46" s="177" t="n">
        <v>0</v>
      </c>
      <c r="AN46" s="177" t="n">
        <v>0</v>
      </c>
      <c r="AO46" s="177" t="n">
        <v>0</v>
      </c>
      <c r="AP46" s="177" t="n">
        <v>0</v>
      </c>
      <c r="AQ46" s="177" t="n">
        <v>0</v>
      </c>
      <c r="AR46" s="198" t="n">
        <v>30</v>
      </c>
      <c r="AS46" s="198" t="n">
        <v>200</v>
      </c>
      <c r="AT46" s="198" t="n">
        <v>1500</v>
      </c>
      <c r="AU46" s="198" t="n">
        <v>3</v>
      </c>
      <c r="AV46" s="198" t="n">
        <v>400</v>
      </c>
      <c r="AW46" s="198" t="n">
        <v>150</v>
      </c>
      <c r="AX46" s="198" t="n">
        <v>3</v>
      </c>
      <c r="AY46" s="198" t="n">
        <v>1260</v>
      </c>
      <c r="AZ46" s="198" t="n">
        <v>400</v>
      </c>
      <c r="BA46" s="198" t="n">
        <v>62.5</v>
      </c>
      <c r="BB46" s="198" t="n">
        <v>27</v>
      </c>
      <c r="BC46" s="198" t="n">
        <v>200</v>
      </c>
      <c r="BD46" s="198" t="n">
        <v>200</v>
      </c>
      <c r="BE46" s="177" t="n">
        <v>0</v>
      </c>
      <c r="BF46" s="198" t="n">
        <v>50</v>
      </c>
      <c r="BG46" s="198" t="n">
        <v>12</v>
      </c>
      <c r="BH46" s="198" t="n">
        <v>60</v>
      </c>
      <c r="BI46" s="198" t="n">
        <v>20</v>
      </c>
      <c r="BJ46" s="198" t="n">
        <v>1334</v>
      </c>
      <c r="BK46" s="198" t="n">
        <v>600</v>
      </c>
      <c r="BL46" s="198" t="n">
        <v>1000</v>
      </c>
      <c r="BM46" s="198" t="n">
        <v>45</v>
      </c>
      <c r="BN46" s="177" t="n">
        <v>0</v>
      </c>
      <c r="BO46" s="177" t="n">
        <v>0</v>
      </c>
      <c r="BP46" s="177" t="n">
        <v>0</v>
      </c>
      <c r="BQ46" s="177" t="n">
        <v>0</v>
      </c>
      <c r="BR46" s="177" t="n">
        <v>0</v>
      </c>
      <c r="BS46" s="177" t="n">
        <v>0</v>
      </c>
      <c r="BT46" s="177" t="n">
        <v>0</v>
      </c>
      <c r="BU46" s="177" t="n">
        <v>0</v>
      </c>
      <c r="BV46" s="177" t="n">
        <v>0</v>
      </c>
      <c r="BW46" s="177" t="n">
        <v>0</v>
      </c>
      <c r="BX46" s="198" t="n">
        <v>900</v>
      </c>
      <c r="BY46" s="177" t="n">
        <v>0</v>
      </c>
      <c r="BZ46" s="177" t="n">
        <v>0</v>
      </c>
      <c r="CA46" s="177" t="n">
        <v>0</v>
      </c>
      <c r="CB46" s="177" t="n">
        <v>0</v>
      </c>
      <c r="CC46" s="177" t="n">
        <v>0</v>
      </c>
      <c r="CD46" s="177" t="n">
        <v>0</v>
      </c>
      <c r="CE46" s="177" t="n">
        <v>0</v>
      </c>
      <c r="CF46" s="177" t="n">
        <v>0</v>
      </c>
      <c r="CG46" s="177" t="n">
        <v>0</v>
      </c>
      <c r="CH46" s="177" t="n">
        <v>0</v>
      </c>
      <c r="CI46" s="177" t="n">
        <v>0</v>
      </c>
      <c r="CJ46" s="177" t="n">
        <v>0</v>
      </c>
      <c r="CK46" s="177" t="n">
        <v>0</v>
      </c>
      <c r="CL46" s="177" t="n">
        <v>0</v>
      </c>
      <c r="CM46" s="177" t="n">
        <v>0</v>
      </c>
      <c r="CN46" s="177" t="n">
        <v>0</v>
      </c>
      <c r="CO46" s="198" t="n">
        <v>200</v>
      </c>
      <c r="CP46" s="198" t="n">
        <v>75</v>
      </c>
      <c r="CQ46" s="198" t="n">
        <v>48</v>
      </c>
      <c r="CR46" s="198" t="n">
        <v>200</v>
      </c>
      <c r="CS46" s="210" t="n">
        <v>0</v>
      </c>
      <c r="CT46" s="210" t="n">
        <v>0</v>
      </c>
      <c r="CU46" s="210" t="n">
        <v>0</v>
      </c>
      <c r="CV46" s="210" t="n">
        <v>0</v>
      </c>
    </row>
    <row r="47" ht="25.15" customHeight="1" s="160">
      <c r="B47" s="189" t="n">
        <v>2</v>
      </c>
      <c r="C47" s="189" t="inlineStr">
        <is>
          <t>Omega-3 Fish Oil (EPA + DHA + D3, NSF Certified for Sport)</t>
        </is>
      </c>
      <c r="D47" s="189" t="inlineStr">
        <is>
          <t>Softgel (3)</t>
        </is>
      </c>
      <c r="E47" s="189" t="inlineStr">
        <is>
          <t>3 softgels</t>
        </is>
      </c>
      <c r="F47" s="189" t="inlineStr">
        <is>
          <t>w/ shake</t>
        </is>
      </c>
      <c r="G47" s="189" t="inlineStr">
        <is>
          <t>Nordic Naturals Ultimate Omega-D3 Sport (60 softgels, 850mg EPA + 450mg DHA + 1000 IU D3 per 2-softgel serving, triglyceride form &gt;90%, NSF Certified for Sport, wild-caught deep-sea fish — taking 3 softgels for higher EPA/DHA)</t>
        </is>
      </c>
      <c r="H47" s="189" t="inlineStr">
        <is>
          <t>Amazon (WFM) / nordic.com</t>
        </is>
      </c>
      <c r="I47" s="190" t="inlineStr">
        <is>
          <t>$33.95/30 servings</t>
        </is>
      </c>
      <c r="J47" s="191" t="n"/>
      <c r="K47" s="192" t="n"/>
      <c r="L47" s="189" t="n">
        <v>30</v>
      </c>
      <c r="M47" s="189" t="n">
        <v>33.95</v>
      </c>
      <c r="N47" s="189" t="inlineStr">
        <is>
          <t>EPA 1125 + DHA 875 = 2150mg Ω-3</t>
        </is>
      </c>
      <c r="O47" s="213" t="n">
        <v>20</v>
      </c>
      <c r="P47" s="177" t="n">
        <v>0</v>
      </c>
      <c r="Q47" s="177" t="n">
        <v>0</v>
      </c>
      <c r="R47" s="177" t="n">
        <v>0</v>
      </c>
      <c r="S47" s="177" t="n">
        <v>0</v>
      </c>
      <c r="T47" s="177" t="n">
        <v>0</v>
      </c>
      <c r="U47" s="177" t="n">
        <v>0</v>
      </c>
      <c r="V47" s="193">
        <f>IF(K48=0,"",ROUND((L48*1.09+M48*1+N48*1.13+O48*0+P48*0.52+R48*0.75)/K48,2))</f>
        <v/>
      </c>
      <c r="W47" s="198" t="n">
        <v>2</v>
      </c>
      <c r="X47" s="177" t="n">
        <v>0</v>
      </c>
      <c r="Y47" s="177" t="n">
        <v>0</v>
      </c>
      <c r="Z47" s="198" t="n">
        <v>0</v>
      </c>
      <c r="AA47" s="177" t="n">
        <v>0</v>
      </c>
      <c r="AB47" s="177" t="n">
        <v>0</v>
      </c>
      <c r="AC47" s="177" t="n">
        <v>0</v>
      </c>
      <c r="AD47" s="177" t="n">
        <v>0</v>
      </c>
      <c r="AE47" s="177" t="n">
        <v>0</v>
      </c>
      <c r="AF47" s="200" t="n">
        <v>0</v>
      </c>
      <c r="AG47" s="182">
        <f>AD47-AE47-AF47-AH47</f>
        <v/>
      </c>
      <c r="AH47" s="177" t="n">
        <v>0</v>
      </c>
      <c r="AI47" s="182">
        <f>AD47-AH47-AF47</f>
        <v/>
      </c>
      <c r="AJ47" s="177" t="n">
        <v>0</v>
      </c>
      <c r="AK47" s="177" t="n">
        <v>0</v>
      </c>
      <c r="AL47" s="177" t="n">
        <v>0</v>
      </c>
      <c r="AM47" s="177" t="n">
        <v>0</v>
      </c>
      <c r="AN47" s="177" t="n">
        <v>0</v>
      </c>
      <c r="AO47" s="177" t="n">
        <v>0</v>
      </c>
      <c r="AP47" s="177" t="n">
        <v>0</v>
      </c>
      <c r="AQ47" s="177" t="n">
        <v>0</v>
      </c>
      <c r="AR47" s="177" t="n">
        <v>0</v>
      </c>
      <c r="AS47" s="177" t="n">
        <v>0</v>
      </c>
      <c r="AT47" s="177" t="n">
        <v>0</v>
      </c>
      <c r="AU47" s="177" t="n">
        <v>0</v>
      </c>
      <c r="AV47" s="177" t="n">
        <v>0</v>
      </c>
      <c r="AW47" s="177" t="n">
        <v>0</v>
      </c>
      <c r="AX47" s="177" t="n">
        <v>0</v>
      </c>
      <c r="AY47" s="177" t="n">
        <v>0</v>
      </c>
      <c r="AZ47" s="177" t="n">
        <v>0</v>
      </c>
      <c r="BA47" s="177" t="n">
        <v>37.5</v>
      </c>
      <c r="BB47" s="177" t="n">
        <v>0</v>
      </c>
      <c r="BC47" s="177" t="n">
        <v>0</v>
      </c>
      <c r="BD47" s="177" t="n">
        <v>0</v>
      </c>
      <c r="BE47" s="177" t="n">
        <v>0</v>
      </c>
      <c r="BF47" s="177" t="n">
        <v>0</v>
      </c>
      <c r="BG47" s="177" t="n">
        <v>0</v>
      </c>
      <c r="BH47" s="177" t="n">
        <v>0</v>
      </c>
      <c r="BI47" s="177" t="n">
        <v>0</v>
      </c>
      <c r="BJ47" s="177" t="n">
        <v>0</v>
      </c>
      <c r="BK47" s="177" t="n">
        <v>0</v>
      </c>
      <c r="BL47" s="177" t="n">
        <v>0</v>
      </c>
      <c r="BM47" s="177" t="n">
        <v>0</v>
      </c>
      <c r="BN47" s="198" t="n">
        <v>1275</v>
      </c>
      <c r="BO47" s="198" t="n">
        <v>675</v>
      </c>
      <c r="BP47" s="177" t="n">
        <v>0</v>
      </c>
      <c r="BQ47" s="177" t="n">
        <v>0</v>
      </c>
      <c r="BR47" s="177" t="n">
        <v>0</v>
      </c>
      <c r="BS47" s="177" t="n">
        <v>0</v>
      </c>
      <c r="BT47" s="177" t="n">
        <v>0</v>
      </c>
      <c r="BU47" s="177" t="n">
        <v>0</v>
      </c>
      <c r="BV47" s="177" t="n">
        <v>0</v>
      </c>
      <c r="BW47" s="177" t="n">
        <v>0</v>
      </c>
      <c r="BX47" s="177" t="n">
        <v>0</v>
      </c>
      <c r="BY47" s="177" t="n">
        <v>0</v>
      </c>
      <c r="BZ47" s="177" t="n">
        <v>0</v>
      </c>
      <c r="CA47" s="177" t="n">
        <v>0</v>
      </c>
      <c r="CB47" s="177" t="n">
        <v>0</v>
      </c>
      <c r="CC47" s="177" t="n">
        <v>0</v>
      </c>
      <c r="CD47" s="177" t="n">
        <v>0</v>
      </c>
      <c r="CE47" s="177" t="n">
        <v>0</v>
      </c>
      <c r="CF47" s="177" t="n">
        <v>0</v>
      </c>
      <c r="CG47" s="177" t="n">
        <v>0</v>
      </c>
      <c r="CH47" s="177" t="n">
        <v>0</v>
      </c>
      <c r="CI47" s="177" t="n">
        <v>0</v>
      </c>
      <c r="CJ47" s="177" t="n">
        <v>0</v>
      </c>
      <c r="CK47" s="177" t="n">
        <v>0</v>
      </c>
      <c r="CL47" s="177" t="n">
        <v>0</v>
      </c>
      <c r="CM47" s="177" t="n">
        <v>0</v>
      </c>
      <c r="CN47" s="177" t="n">
        <v>0</v>
      </c>
      <c r="CO47" s="177" t="n">
        <v>0</v>
      </c>
      <c r="CP47" s="177" t="n">
        <v>0</v>
      </c>
      <c r="CQ47" s="177" t="n">
        <v>0</v>
      </c>
      <c r="CR47" s="177" t="n">
        <v>0</v>
      </c>
      <c r="CS47" s="210" t="n">
        <v>0</v>
      </c>
      <c r="CT47" s="210" t="n">
        <v>0</v>
      </c>
      <c r="CU47" s="210" t="n">
        <v>0</v>
      </c>
      <c r="CV47" s="210" t="n">
        <v>0</v>
      </c>
    </row>
    <row r="48" ht="15" customHeight="1" s="160">
      <c r="B48" s="170" t="n">
        <v>3</v>
      </c>
      <c r="C48" s="170" t="inlineStr">
        <is>
          <t>Probiotic + Prebiotic Synbiotic (24 strains, ViaCap delivery)</t>
        </is>
      </c>
      <c r="D48" s="170" t="inlineStr">
        <is>
          <t>Capsule (2)</t>
        </is>
      </c>
      <c r="E48" s="170" t="inlineStr">
        <is>
          <t>2 caps</t>
        </is>
      </c>
      <c r="F48" s="170" t="inlineStr">
        <is>
          <t>any time</t>
        </is>
      </c>
      <c r="G48" s="170" t="inlineStr">
        <is>
          <t>Seed DS-01 Daily Synbiotic (60 capsules / 30 servings, 53.6B AFU, 24 strains across 4 health targets: gut barrier/immunity, cardiovascular, dermatological, micronutrient synthesis; ViaCap capsule-in-capsule acid protection; 400mg Indian pomegranate MAPP prebiotic; only synbiotic RCT-proven to increase both Urolithin A and butyrate in humans + reduce CRP, 2025-2026 Nutrients + DDW published data)</t>
        </is>
      </c>
      <c r="H48" s="170" t="inlineStr">
        <is>
          <t>seed.com (direct subscription — Amazon is $10/mo more expensive at $60)</t>
        </is>
      </c>
      <c r="I48" s="171" t="inlineStr">
        <is>
          <t>$49.99/mo (direct subscription)</t>
        </is>
      </c>
      <c r="J48" s="172" t="n"/>
      <c r="K48" s="173" t="n"/>
      <c r="L48" s="170" t="n">
        <v>30</v>
      </c>
      <c r="M48" s="170" t="n">
        <v>49.99</v>
      </c>
      <c r="N48" s="170" t="inlineStr">
        <is>
          <t>24 strains, 53.6B AFU</t>
        </is>
      </c>
      <c r="O48" s="174" t="n">
        <v>0</v>
      </c>
      <c r="P48" s="177" t="n">
        <v>0</v>
      </c>
      <c r="Q48" s="177" t="n">
        <v>0</v>
      </c>
      <c r="R48" s="177" t="n">
        <v>0</v>
      </c>
      <c r="S48" s="177" t="n">
        <v>0</v>
      </c>
      <c r="T48" s="177" t="n">
        <v>0</v>
      </c>
      <c r="U48" s="177" t="n">
        <v>0</v>
      </c>
      <c r="V48" s="178">
        <f>IF(K49=0,"",ROUND((L49*1.09+M49*1+N49*1.13+O49*0+P49*0.52+R49*0.75)/K49,2))</f>
        <v/>
      </c>
      <c r="W48" s="177" t="n">
        <v>0</v>
      </c>
      <c r="X48" s="177" t="n">
        <v>0</v>
      </c>
      <c r="Y48" s="177" t="n">
        <v>0</v>
      </c>
      <c r="Z48" s="177" t="n">
        <v>0</v>
      </c>
      <c r="AA48" s="177" t="n">
        <v>0</v>
      </c>
      <c r="AB48" s="177" t="n">
        <v>0</v>
      </c>
      <c r="AC48" s="177" t="n">
        <v>0</v>
      </c>
      <c r="AD48" s="177" t="n">
        <v>0</v>
      </c>
      <c r="AE48" s="177" t="n">
        <v>0</v>
      </c>
      <c r="AF48" s="200" t="n">
        <v>0</v>
      </c>
      <c r="AG48" s="182">
        <f>AD48-AE48-AF48-AH48</f>
        <v/>
      </c>
      <c r="AH48" s="177" t="n">
        <v>0</v>
      </c>
      <c r="AI48" s="182">
        <f>AD48-AH48-AF48</f>
        <v/>
      </c>
      <c r="AJ48" s="177" t="n">
        <v>0</v>
      </c>
      <c r="AK48" s="177" t="n">
        <v>0</v>
      </c>
      <c r="AL48" s="177" t="n">
        <v>0</v>
      </c>
      <c r="AM48" s="177" t="n">
        <v>0</v>
      </c>
      <c r="AN48" s="177" t="n">
        <v>0</v>
      </c>
      <c r="AO48" s="177" t="n">
        <v>0</v>
      </c>
      <c r="AP48" s="177" t="n">
        <v>0</v>
      </c>
      <c r="AQ48" s="177" t="n">
        <v>0</v>
      </c>
      <c r="AR48" s="177" t="n">
        <v>0</v>
      </c>
      <c r="AS48" s="177" t="n">
        <v>0</v>
      </c>
      <c r="AT48" s="177" t="n">
        <v>0</v>
      </c>
      <c r="AU48" s="177" t="n">
        <v>0</v>
      </c>
      <c r="AV48" s="177" t="n">
        <v>0</v>
      </c>
      <c r="AW48" s="177" t="n">
        <v>0</v>
      </c>
      <c r="AX48" s="177" t="n">
        <v>0</v>
      </c>
      <c r="AY48" s="177" t="n">
        <v>0</v>
      </c>
      <c r="AZ48" s="177" t="n">
        <v>0</v>
      </c>
      <c r="BA48" s="177" t="n">
        <v>0</v>
      </c>
      <c r="BB48" s="177" t="n">
        <v>0</v>
      </c>
      <c r="BC48" s="177" t="n">
        <v>0</v>
      </c>
      <c r="BD48" s="177" t="n">
        <v>0</v>
      </c>
      <c r="BE48" s="177" t="n">
        <v>0</v>
      </c>
      <c r="BF48" s="177" t="n">
        <v>0</v>
      </c>
      <c r="BG48" s="177" t="n">
        <v>0</v>
      </c>
      <c r="BH48" s="177" t="n">
        <v>0</v>
      </c>
      <c r="BI48" s="177" t="n">
        <v>0</v>
      </c>
      <c r="BJ48" s="177" t="n">
        <v>0</v>
      </c>
      <c r="BK48" s="177" t="n">
        <v>0</v>
      </c>
      <c r="BL48" s="177" t="n">
        <v>0</v>
      </c>
      <c r="BM48" s="177" t="n">
        <v>0</v>
      </c>
      <c r="BN48" s="177" t="n">
        <v>0</v>
      </c>
      <c r="BO48" s="177" t="n">
        <v>0</v>
      </c>
      <c r="BP48" s="177" t="n">
        <v>0</v>
      </c>
      <c r="BQ48" s="177" t="n">
        <v>0</v>
      </c>
      <c r="BR48" s="177" t="n">
        <v>0</v>
      </c>
      <c r="BS48" s="177" t="n">
        <v>0</v>
      </c>
      <c r="BT48" s="177" t="n">
        <v>0</v>
      </c>
      <c r="BU48" s="177" t="n">
        <v>0</v>
      </c>
      <c r="BV48" s="177" t="n">
        <v>0</v>
      </c>
      <c r="BW48" s="177" t="n">
        <v>0</v>
      </c>
      <c r="BX48" s="177" t="n">
        <v>0</v>
      </c>
      <c r="BY48" s="177" t="n">
        <v>0</v>
      </c>
      <c r="BZ48" s="177" t="n">
        <v>0</v>
      </c>
      <c r="CA48" s="177" t="n">
        <v>0</v>
      </c>
      <c r="CB48" s="177" t="n">
        <v>0</v>
      </c>
      <c r="CC48" s="177" t="n">
        <v>0</v>
      </c>
      <c r="CD48" s="177" t="n">
        <v>0</v>
      </c>
      <c r="CE48" s="177" t="n">
        <v>0</v>
      </c>
      <c r="CF48" s="177" t="n">
        <v>0</v>
      </c>
      <c r="CG48" s="177" t="n">
        <v>0</v>
      </c>
      <c r="CH48" s="177" t="n">
        <v>0</v>
      </c>
      <c r="CI48" s="177" t="n">
        <v>0</v>
      </c>
      <c r="CJ48" s="177" t="n">
        <v>0</v>
      </c>
      <c r="CK48" s="177" t="n">
        <v>0</v>
      </c>
      <c r="CL48" s="177" t="n">
        <v>0</v>
      </c>
      <c r="CM48" s="198" t="n">
        <v>53.6</v>
      </c>
      <c r="CN48" s="177" t="n">
        <v>0</v>
      </c>
      <c r="CO48" s="177" t="n">
        <v>0</v>
      </c>
      <c r="CP48" s="177" t="n">
        <v>0</v>
      </c>
      <c r="CQ48" s="177" t="n">
        <v>0</v>
      </c>
      <c r="CR48" s="177" t="n">
        <v>0</v>
      </c>
      <c r="CS48" s="210" t="n">
        <v>0</v>
      </c>
      <c r="CT48" s="210" t="n">
        <v>0</v>
      </c>
      <c r="CU48" s="210" t="n">
        <v>0</v>
      </c>
      <c r="CV48" s="210" t="n">
        <v>0</v>
      </c>
    </row>
    <row r="49" ht="15" customHeight="1" s="160">
      <c r="B49" s="189" t="n">
        <v>4</v>
      </c>
      <c r="C49" s="189" t="inlineStr">
        <is>
          <t>CDP-Choline / Citicoline (Cognizin® patented form)</t>
        </is>
      </c>
      <c r="D49" s="189" t="inlineStr">
        <is>
          <t>Capsule (2)</t>
        </is>
      </c>
      <c r="E49" s="189" t="inlineStr">
        <is>
          <t>2 caps</t>
        </is>
      </c>
      <c r="F49" s="189" t="inlineStr">
        <is>
          <t>w/ shake</t>
        </is>
      </c>
      <c r="G49" s="189" t="inlineStr">
        <is>
          <t>Jarrow Formulas Citicoline CDP-Choline 250mg (60 capsules, Cognizin® patented citicoline, third-party identity verified, GMP, non-GMO, vegan, no fillers — preferred over Alpha-GPC when stacking with stimulant medication: CDP-choline uridine pathway replenishes dopamine receptors depleted by stimulants; lower choline ceiling avoids overstimulation/headache risk)</t>
        </is>
      </c>
      <c r="H49" s="189" t="inlineStr">
        <is>
          <t>Amazon (WFM) / Walmart</t>
        </is>
      </c>
      <c r="I49" s="190" t="inlineStr">
        <is>
          <t>$33.99/60 capsules</t>
        </is>
      </c>
      <c r="J49" s="191" t="n"/>
      <c r="K49" s="192" t="n"/>
      <c r="L49" s="189" t="n">
        <v>60</v>
      </c>
      <c r="M49" s="189" t="n">
        <v>33.99</v>
      </c>
      <c r="N49" s="189" t="inlineStr">
        <is>
          <t>600mg CDP = ~128mg actual choline. Cytidine → uridine.</t>
        </is>
      </c>
      <c r="O49" s="174" t="n">
        <v>0</v>
      </c>
      <c r="P49" s="177" t="n">
        <v>0</v>
      </c>
      <c r="Q49" s="177" t="n">
        <v>0</v>
      </c>
      <c r="R49" s="177" t="n">
        <v>0</v>
      </c>
      <c r="S49" s="177" t="n">
        <v>0</v>
      </c>
      <c r="T49" s="177" t="n">
        <v>0</v>
      </c>
      <c r="U49" s="177" t="n">
        <v>0</v>
      </c>
      <c r="V49" s="193">
        <f>IF(K50=0,"",ROUND((L50*1.09+M50*1+N50*1.13+O50*0+P50*0.52+R50*0.75)/K50,2))</f>
        <v/>
      </c>
      <c r="W49" s="177" t="n">
        <v>0</v>
      </c>
      <c r="X49" s="177" t="n">
        <v>0</v>
      </c>
      <c r="Y49" s="177" t="n">
        <v>0</v>
      </c>
      <c r="Z49" s="177" t="n">
        <v>0</v>
      </c>
      <c r="AA49" s="177" t="n">
        <v>0</v>
      </c>
      <c r="AB49" s="177" t="n">
        <v>0</v>
      </c>
      <c r="AC49" s="177" t="n">
        <v>0</v>
      </c>
      <c r="AD49" s="177" t="n">
        <v>0</v>
      </c>
      <c r="AE49" s="177" t="n">
        <v>0</v>
      </c>
      <c r="AF49" s="200" t="n">
        <v>0</v>
      </c>
      <c r="AG49" s="182">
        <f>AD49-AE49-AF49-AH49</f>
        <v/>
      </c>
      <c r="AH49" s="177" t="n">
        <v>0</v>
      </c>
      <c r="AI49" s="182">
        <f>AD49-AH49-AF49</f>
        <v/>
      </c>
      <c r="AJ49" s="198" t="n">
        <v>93</v>
      </c>
      <c r="AK49" s="177" t="n">
        <v>0</v>
      </c>
      <c r="AL49" s="177" t="n">
        <v>0</v>
      </c>
      <c r="AM49" s="177" t="n">
        <v>0</v>
      </c>
      <c r="AN49" s="177" t="n">
        <v>0</v>
      </c>
      <c r="AO49" s="177" t="n">
        <v>0</v>
      </c>
      <c r="AP49" s="177" t="n">
        <v>0</v>
      </c>
      <c r="AQ49" s="177" t="n">
        <v>0</v>
      </c>
      <c r="AR49" s="177" t="n">
        <v>0</v>
      </c>
      <c r="AS49" s="177" t="n">
        <v>0</v>
      </c>
      <c r="AT49" s="177" t="n">
        <v>0</v>
      </c>
      <c r="AU49" s="177" t="n">
        <v>0</v>
      </c>
      <c r="AV49" s="177" t="n">
        <v>0</v>
      </c>
      <c r="AW49" s="177" t="n">
        <v>0</v>
      </c>
      <c r="AX49" s="177" t="n">
        <v>0</v>
      </c>
      <c r="AY49" s="177" t="n">
        <v>0</v>
      </c>
      <c r="AZ49" s="177" t="n">
        <v>0</v>
      </c>
      <c r="BA49" s="177" t="n">
        <v>0</v>
      </c>
      <c r="BB49" s="177" t="n">
        <v>0</v>
      </c>
      <c r="BC49" s="177" t="n">
        <v>0</v>
      </c>
      <c r="BD49" s="177" t="n">
        <v>0</v>
      </c>
      <c r="BE49" s="177" t="n">
        <v>0</v>
      </c>
      <c r="BF49" s="177" t="n">
        <v>0</v>
      </c>
      <c r="BG49" s="177" t="n">
        <v>0</v>
      </c>
      <c r="BH49" s="177" t="n">
        <v>0</v>
      </c>
      <c r="BI49" s="177" t="n">
        <v>0</v>
      </c>
      <c r="BJ49" s="177" t="n">
        <v>0</v>
      </c>
      <c r="BK49" s="177" t="n">
        <v>0</v>
      </c>
      <c r="BL49" s="177" t="n">
        <v>0</v>
      </c>
      <c r="BM49" s="177" t="n">
        <v>0</v>
      </c>
      <c r="BN49" s="177" t="n">
        <v>0</v>
      </c>
      <c r="BO49" s="177" t="n">
        <v>0</v>
      </c>
      <c r="BP49" s="177" t="n">
        <v>0</v>
      </c>
      <c r="BQ49" s="177" t="n">
        <v>0</v>
      </c>
      <c r="BR49" s="177" t="n">
        <v>0</v>
      </c>
      <c r="BS49" s="177" t="n">
        <v>0</v>
      </c>
      <c r="BT49" s="177" t="n">
        <v>0</v>
      </c>
      <c r="BU49" s="177" t="n">
        <v>0</v>
      </c>
      <c r="BV49" s="177" t="n">
        <v>0</v>
      </c>
      <c r="BW49" s="177" t="n">
        <v>0</v>
      </c>
      <c r="BX49" s="177" t="n">
        <v>0</v>
      </c>
      <c r="BY49" s="177" t="n">
        <v>0</v>
      </c>
      <c r="BZ49" s="177" t="n">
        <v>0</v>
      </c>
      <c r="CA49" s="177" t="n">
        <v>0</v>
      </c>
      <c r="CB49" s="177" t="n">
        <v>0</v>
      </c>
      <c r="CC49" s="177" t="n">
        <v>0</v>
      </c>
      <c r="CD49" s="177" t="n">
        <v>0</v>
      </c>
      <c r="CE49" s="177" t="n">
        <v>0</v>
      </c>
      <c r="CF49" s="177" t="n">
        <v>0</v>
      </c>
      <c r="CG49" s="177" t="n">
        <v>0</v>
      </c>
      <c r="CH49" s="177" t="n">
        <v>0</v>
      </c>
      <c r="CI49" s="177" t="n">
        <v>0</v>
      </c>
      <c r="CJ49" s="177" t="n">
        <v>0</v>
      </c>
      <c r="CK49" s="177" t="n">
        <v>0</v>
      </c>
      <c r="CL49" s="177" t="n">
        <v>0</v>
      </c>
      <c r="CM49" s="177" t="n">
        <v>0</v>
      </c>
      <c r="CN49" s="177" t="n">
        <v>0</v>
      </c>
      <c r="CO49" s="177" t="n">
        <v>0</v>
      </c>
      <c r="CP49" s="177" t="n">
        <v>0</v>
      </c>
      <c r="CQ49" s="177" t="n">
        <v>0</v>
      </c>
      <c r="CR49" s="177" t="n">
        <v>0</v>
      </c>
      <c r="CS49" s="210" t="n">
        <v>0</v>
      </c>
      <c r="CT49" s="210" t="n">
        <v>0</v>
      </c>
      <c r="CU49" s="210" t="n">
        <v>0</v>
      </c>
      <c r="CV49" s="210" t="n">
        <v>0</v>
      </c>
    </row>
    <row r="50" ht="15" customHeight="1" s="160">
      <c r="B50" s="170" t="n">
        <v>5</v>
      </c>
      <c r="C50" s="170" t="inlineStr">
        <is>
          <t>CoQ10 Ubiquinone (100mg)</t>
        </is>
      </c>
      <c r="D50" s="170" t="inlineStr">
        <is>
          <t>Softgel (1)</t>
        </is>
      </c>
      <c r="E50" s="170" t="inlineStr">
        <is>
          <t>1 softgel</t>
        </is>
      </c>
      <c r="F50" s="170" t="inlineStr">
        <is>
          <t>w/ shake (fat-sol)</t>
        </is>
      </c>
      <c r="G50" s="170" t="inlineStr">
        <is>
          <t>Qunol Ultra CoQ10 (100mg ubiquinone, water + fat soluble, 3× absorption vs standard ubiquinone, ConsumerLab top pick for regular CoQ10, 120 softgels)</t>
        </is>
      </c>
      <c r="H50" s="170" t="inlineStr">
        <is>
          <t>Amazon / Walmart</t>
        </is>
      </c>
      <c r="I50" s="171" t="inlineStr">
        <is>
          <t>$25.99/120 softgels</t>
        </is>
      </c>
      <c r="J50" s="172" t="n"/>
      <c r="K50" s="173" t="n"/>
      <c r="L50" s="170" t="n">
        <v>120</v>
      </c>
      <c r="M50" s="170" t="n">
        <v>25.99</v>
      </c>
      <c r="N50" s="170" t="inlineStr">
        <is>
          <t>Mitochondrial antioxidant</t>
        </is>
      </c>
      <c r="O50" s="174" t="n">
        <v>0</v>
      </c>
      <c r="P50" s="177" t="n">
        <v>0</v>
      </c>
      <c r="Q50" s="177" t="n">
        <v>0</v>
      </c>
      <c r="R50" s="177" t="n">
        <v>0</v>
      </c>
      <c r="S50" s="177" t="n">
        <v>0</v>
      </c>
      <c r="T50" s="177" t="n">
        <v>0</v>
      </c>
      <c r="U50" s="177" t="n">
        <v>0</v>
      </c>
      <c r="V50" s="178">
        <f>IF(K51=0,"",ROUND((L51*1.09+M51*1+N51*1.13+O51*0+P51*0.52+R51*0.75)/K51,2))</f>
        <v/>
      </c>
      <c r="W50" s="177" t="n">
        <v>0</v>
      </c>
      <c r="X50" s="177" t="n">
        <v>0</v>
      </c>
      <c r="Y50" s="177" t="n">
        <v>0</v>
      </c>
      <c r="Z50" s="177" t="n">
        <v>0</v>
      </c>
      <c r="AA50" s="177" t="n">
        <v>0</v>
      </c>
      <c r="AB50" s="177" t="n">
        <v>0</v>
      </c>
      <c r="AC50" s="177" t="n">
        <v>0</v>
      </c>
      <c r="AD50" s="177" t="n">
        <v>0</v>
      </c>
      <c r="AE50" s="177" t="n">
        <v>0</v>
      </c>
      <c r="AF50" s="200" t="n">
        <v>0</v>
      </c>
      <c r="AG50" s="182">
        <f>AD50-AE50-AF50-AH50</f>
        <v/>
      </c>
      <c r="AH50" s="177" t="n">
        <v>0</v>
      </c>
      <c r="AI50" s="182">
        <f>AD50-AH50-AF50</f>
        <v/>
      </c>
      <c r="AJ50" s="177" t="n">
        <v>0</v>
      </c>
      <c r="AK50" s="177" t="n">
        <v>0</v>
      </c>
      <c r="AL50" s="177" t="n">
        <v>0</v>
      </c>
      <c r="AM50" s="177" t="n">
        <v>0</v>
      </c>
      <c r="AN50" s="177" t="n">
        <v>0</v>
      </c>
      <c r="AO50" s="177" t="n">
        <v>0</v>
      </c>
      <c r="AP50" s="177" t="n">
        <v>0</v>
      </c>
      <c r="AQ50" s="177" t="n">
        <v>0</v>
      </c>
      <c r="AR50" s="177" t="n">
        <v>0</v>
      </c>
      <c r="AS50" s="177" t="n">
        <v>0</v>
      </c>
      <c r="AT50" s="177" t="n">
        <v>0</v>
      </c>
      <c r="AU50" s="177" t="n">
        <v>0</v>
      </c>
      <c r="AV50" s="177" t="n">
        <v>0</v>
      </c>
      <c r="AW50" s="177" t="n">
        <v>0</v>
      </c>
      <c r="AX50" s="177" t="n">
        <v>0</v>
      </c>
      <c r="AY50" s="177" t="n">
        <v>0</v>
      </c>
      <c r="AZ50" s="177" t="n">
        <v>0</v>
      </c>
      <c r="BA50" s="177" t="n">
        <v>0</v>
      </c>
      <c r="BB50" s="177" t="n">
        <v>0</v>
      </c>
      <c r="BC50" s="177" t="n">
        <v>0</v>
      </c>
      <c r="BD50" s="177" t="n">
        <v>0</v>
      </c>
      <c r="BE50" s="177" t="n">
        <v>0</v>
      </c>
      <c r="BF50" s="177" t="n">
        <v>0</v>
      </c>
      <c r="BG50" s="177" t="n">
        <v>0</v>
      </c>
      <c r="BH50" s="177" t="n">
        <v>0</v>
      </c>
      <c r="BI50" s="177" t="n">
        <v>0</v>
      </c>
      <c r="BJ50" s="177" t="n">
        <v>0</v>
      </c>
      <c r="BK50" s="177" t="n">
        <v>0</v>
      </c>
      <c r="BL50" s="177" t="n">
        <v>0</v>
      </c>
      <c r="BM50" s="177" t="n">
        <v>0</v>
      </c>
      <c r="BN50" s="177" t="n">
        <v>0</v>
      </c>
      <c r="BO50" s="177" t="n">
        <v>0</v>
      </c>
      <c r="BP50" s="177" t="n">
        <v>0</v>
      </c>
      <c r="BQ50" s="177" t="n">
        <v>0</v>
      </c>
      <c r="BR50" s="177" t="n">
        <v>0</v>
      </c>
      <c r="BS50" s="177" t="n">
        <v>0</v>
      </c>
      <c r="BT50" s="177" t="n">
        <v>0</v>
      </c>
      <c r="BU50" s="177" t="n">
        <v>0</v>
      </c>
      <c r="BV50" s="177" t="n">
        <v>0</v>
      </c>
      <c r="BW50" s="177" t="n">
        <v>0</v>
      </c>
      <c r="BX50" s="177" t="n">
        <v>0</v>
      </c>
      <c r="BY50" s="177" t="n">
        <v>0</v>
      </c>
      <c r="BZ50" s="177" t="n">
        <v>0</v>
      </c>
      <c r="CA50" s="177" t="n">
        <v>0</v>
      </c>
      <c r="CB50" s="177" t="n">
        <v>0</v>
      </c>
      <c r="CC50" s="177" t="n">
        <v>0</v>
      </c>
      <c r="CD50" s="177" t="n">
        <v>0</v>
      </c>
      <c r="CE50" s="177" t="n">
        <v>0</v>
      </c>
      <c r="CF50" s="177" t="n">
        <v>0</v>
      </c>
      <c r="CG50" s="177" t="n">
        <v>0</v>
      </c>
      <c r="CH50" s="177" t="n">
        <v>0</v>
      </c>
      <c r="CI50" s="177" t="n">
        <v>0</v>
      </c>
      <c r="CJ50" s="198" t="n">
        <v>100</v>
      </c>
      <c r="CK50" s="177" t="n">
        <v>0</v>
      </c>
      <c r="CL50" s="177" t="n">
        <v>0</v>
      </c>
      <c r="CM50" s="177" t="n">
        <v>0</v>
      </c>
      <c r="CN50" s="177" t="n">
        <v>0</v>
      </c>
      <c r="CO50" s="177" t="n">
        <v>0</v>
      </c>
      <c r="CP50" s="177" t="n">
        <v>0</v>
      </c>
      <c r="CQ50" s="177" t="n">
        <v>0</v>
      </c>
      <c r="CR50" s="177" t="n">
        <v>0</v>
      </c>
      <c r="CS50" s="210" t="n">
        <v>0</v>
      </c>
      <c r="CT50" s="210" t="n">
        <v>0</v>
      </c>
      <c r="CU50" s="210" t="n">
        <v>0</v>
      </c>
      <c r="CV50" s="210" t="n">
        <v>0</v>
      </c>
    </row>
    <row r="51" ht="15" customHeight="1" s="160">
      <c r="B51" s="189" t="n">
        <v>6</v>
      </c>
      <c r="C51" s="228" t="inlineStr">
        <is>
          <t>Vitamin K2 (full spectrum MK-4 + MK-7)</t>
        </is>
      </c>
      <c r="D51" s="189" t="inlineStr">
        <is>
          <t>Capsule (1)</t>
        </is>
      </c>
      <c r="E51" s="189" t="inlineStr">
        <is>
          <t>1 cap</t>
        </is>
      </c>
      <c r="F51" s="189" t="inlineStr">
        <is>
          <t>w/ shake (fat-sol)</t>
        </is>
      </c>
      <c r="G51" s="189" t="inlineStr">
        <is>
          <t>InnovixLabs Full Spectrum Vitamin K2 (90 softgels / 90 servings, 500mcg MK-4 + 100mcg TRANS MK-7 per capsule, all-trans MK-7 only bioavailable isomer, soy-free, non-GMO, ConsumerLab tested, third-party tested — #1 ranked K2 supplement 2025/2026 across multiple independent reviews)</t>
        </is>
      </c>
      <c r="H51" s="189" t="inlineStr">
        <is>
          <t>Amazon (WFM) / Walmart</t>
        </is>
      </c>
      <c r="I51" s="190" t="inlineStr">
        <is>
          <t>$26.99/90 softgels</t>
        </is>
      </c>
      <c r="J51" s="191" t="n"/>
      <c r="K51" s="192" t="n"/>
      <c r="L51" s="189" t="n">
        <v>90</v>
      </c>
      <c r="M51" s="189" t="n">
        <v>26.99</v>
      </c>
      <c r="N51" s="196" t="inlineStr">
        <is>
          <t>⚠️ NOTE: Thorne Elite multivitamin already contains 100mcg K2. Stacking this adds 500mcg MK-4 + 100mcg MK-7 on top. Total K2 intake remains safe but verify with prescriber if on anticoagulants.</t>
        </is>
      </c>
      <c r="O51" s="174" t="n">
        <v>0</v>
      </c>
      <c r="P51" s="177" t="n">
        <v>0</v>
      </c>
      <c r="Q51" s="177" t="n">
        <v>0</v>
      </c>
      <c r="R51" s="177" t="n">
        <v>0</v>
      </c>
      <c r="S51" s="177" t="n">
        <v>0</v>
      </c>
      <c r="T51" s="177" t="n">
        <v>0</v>
      </c>
      <c r="U51" s="177" t="n">
        <v>0</v>
      </c>
      <c r="V51" s="193">
        <f>IF(K52=0,"",ROUND((L52*1.09+M52*1+N52*1.13+O52*0+P52*0.52+R52*0.75)/K52,2))</f>
        <v/>
      </c>
      <c r="W51" s="177" t="n">
        <v>0</v>
      </c>
      <c r="X51" s="177" t="n">
        <v>0</v>
      </c>
      <c r="Y51" s="177" t="n">
        <v>0</v>
      </c>
      <c r="Z51" s="177" t="n">
        <v>0</v>
      </c>
      <c r="AA51" s="177" t="n">
        <v>0</v>
      </c>
      <c r="AB51" s="177" t="n">
        <v>0</v>
      </c>
      <c r="AC51" s="177" t="n">
        <v>0</v>
      </c>
      <c r="AD51" s="177" t="n">
        <v>0</v>
      </c>
      <c r="AE51" s="177" t="n">
        <v>0</v>
      </c>
      <c r="AF51" s="200" t="n">
        <v>0</v>
      </c>
      <c r="AG51" s="182">
        <f>AD51-AE51-AF51-AH51</f>
        <v/>
      </c>
      <c r="AH51" s="177" t="n">
        <v>0</v>
      </c>
      <c r="AI51" s="182">
        <f>AD51-AH51-AF51</f>
        <v/>
      </c>
      <c r="AJ51" s="177" t="n">
        <v>0</v>
      </c>
      <c r="AK51" s="177" t="n">
        <v>0</v>
      </c>
      <c r="AL51" s="177" t="n">
        <v>0</v>
      </c>
      <c r="AM51" s="177" t="n">
        <v>0</v>
      </c>
      <c r="AN51" s="177" t="n">
        <v>0</v>
      </c>
      <c r="AO51" s="177" t="n">
        <v>0</v>
      </c>
      <c r="AP51" s="177" t="n">
        <v>0</v>
      </c>
      <c r="AQ51" s="177" t="n">
        <v>0</v>
      </c>
      <c r="AR51" s="177" t="n">
        <v>0</v>
      </c>
      <c r="AS51" s="177" t="n">
        <v>0</v>
      </c>
      <c r="AT51" s="177" t="n">
        <v>0</v>
      </c>
      <c r="AU51" s="177" t="n">
        <v>0</v>
      </c>
      <c r="AV51" s="177" t="n">
        <v>0</v>
      </c>
      <c r="AW51" s="177" t="n">
        <v>0</v>
      </c>
      <c r="AX51" s="177" t="n">
        <v>0</v>
      </c>
      <c r="AY51" s="177" t="n">
        <v>0</v>
      </c>
      <c r="AZ51" s="177" t="n">
        <v>0</v>
      </c>
      <c r="BA51" s="177" t="n">
        <v>0</v>
      </c>
      <c r="BB51" s="177" t="n">
        <v>0</v>
      </c>
      <c r="BC51" s="177" t="n">
        <v>0</v>
      </c>
      <c r="BD51" s="177" t="n">
        <v>500</v>
      </c>
      <c r="BE51" s="198" t="n">
        <v>100</v>
      </c>
      <c r="BF51" s="177" t="n">
        <v>0</v>
      </c>
      <c r="BG51" s="177" t="n">
        <v>0</v>
      </c>
      <c r="BH51" s="177" t="n">
        <v>0</v>
      </c>
      <c r="BI51" s="177" t="n">
        <v>0</v>
      </c>
      <c r="BJ51" s="177" t="n">
        <v>0</v>
      </c>
      <c r="BK51" s="177" t="n">
        <v>0</v>
      </c>
      <c r="BL51" s="177" t="n">
        <v>0</v>
      </c>
      <c r="BM51" s="177" t="n">
        <v>0</v>
      </c>
      <c r="BN51" s="177" t="n">
        <v>0</v>
      </c>
      <c r="BO51" s="177" t="n">
        <v>0</v>
      </c>
      <c r="BP51" s="177" t="n">
        <v>0</v>
      </c>
      <c r="BQ51" s="177" t="n">
        <v>0</v>
      </c>
      <c r="BR51" s="177" t="n">
        <v>0</v>
      </c>
      <c r="BS51" s="177" t="n">
        <v>0</v>
      </c>
      <c r="BT51" s="177" t="n">
        <v>0</v>
      </c>
      <c r="BU51" s="177" t="n">
        <v>0</v>
      </c>
      <c r="BV51" s="177" t="n">
        <v>0</v>
      </c>
      <c r="BW51" s="177" t="n">
        <v>0</v>
      </c>
      <c r="BX51" s="177" t="n">
        <v>0</v>
      </c>
      <c r="BY51" s="177" t="n">
        <v>0</v>
      </c>
      <c r="BZ51" s="177" t="n">
        <v>0</v>
      </c>
      <c r="CA51" s="177" t="n">
        <v>0</v>
      </c>
      <c r="CB51" s="177" t="n">
        <v>0</v>
      </c>
      <c r="CC51" s="177" t="n">
        <v>0</v>
      </c>
      <c r="CD51" s="177" t="n">
        <v>0</v>
      </c>
      <c r="CE51" s="177" t="n">
        <v>0</v>
      </c>
      <c r="CF51" s="177" t="n">
        <v>0</v>
      </c>
      <c r="CG51" s="177" t="n">
        <v>0</v>
      </c>
      <c r="CH51" s="177" t="n">
        <v>0</v>
      </c>
      <c r="CI51" s="177" t="n">
        <v>0</v>
      </c>
      <c r="CJ51" s="177" t="n">
        <v>0</v>
      </c>
      <c r="CK51" s="177" t="n">
        <v>0</v>
      </c>
      <c r="CL51" s="177" t="n">
        <v>0</v>
      </c>
      <c r="CM51" s="177" t="n">
        <v>0</v>
      </c>
      <c r="CN51" s="177" t="n">
        <v>0</v>
      </c>
      <c r="CO51" s="177" t="n">
        <v>0</v>
      </c>
      <c r="CP51" s="177" t="n">
        <v>0</v>
      </c>
      <c r="CQ51" s="177" t="n">
        <v>0</v>
      </c>
      <c r="CR51" s="177" t="n">
        <v>0</v>
      </c>
      <c r="CS51" s="210" t="n">
        <v>0</v>
      </c>
      <c r="CT51" s="210" t="n">
        <v>0</v>
      </c>
      <c r="CU51" s="210" t="n">
        <v>0</v>
      </c>
      <c r="CV51" s="210" t="n">
        <v>0</v>
      </c>
    </row>
    <row r="52" ht="15" customHeight="1" s="160">
      <c r="B52" s="170" t="n">
        <v>7</v>
      </c>
      <c r="C52" s="229" t="inlineStr">
        <is>
          <t>Lithium Orotate</t>
        </is>
      </c>
      <c r="D52" s="170" t="inlineStr">
        <is>
          <t>Capsule (1)</t>
        </is>
      </c>
      <c r="E52" s="170" t="inlineStr">
        <is>
          <t>1 cap</t>
        </is>
      </c>
      <c r="F52" s="170" t="inlineStr">
        <is>
          <t>8 PM</t>
        </is>
      </c>
      <c r="G52" s="170" t="inlineStr">
        <is>
          <t>Seeking Health Lithium Orotate 5mg (100 vegetarian capsules, 5mg elemental lithium as lithium orotate, single ingredient, GMP-certified, non-GMO, vegan, no fillers — Dr. Ben Lynch formulated; CNS-penetrating orotate carrier; supports BDNF, GSK-3β inhibition, neuroprotection, mood/anxiety; neurologist-recommended clean-label pick)</t>
        </is>
      </c>
      <c r="H52" s="170" t="inlineStr">
        <is>
          <t>Amazon (WFM)</t>
        </is>
      </c>
      <c r="I52" s="171" t="inlineStr">
        <is>
          <t>$23.00/100 capsules</t>
        </is>
      </c>
      <c r="J52" s="172" t="n"/>
      <c r="K52" s="173" t="n"/>
      <c r="L52" s="170" t="n">
        <v>100</v>
      </c>
      <c r="M52" s="170" t="n">
        <v>23</v>
      </c>
      <c r="N52" s="230" t="inlineStr">
        <is>
          <t>NOTE: Use case is mood/neuroprotection via BDNF upregulation + GSK-3β inhibition, not focus. At 5mg elemental lithium (OTC dose), ~30-180x below Rx threshold — no meaningful interaction with stimulant medication at this dose. Commonly stacked in functional psychiatry. No serum monitoring needed at OTC doses.</t>
        </is>
      </c>
      <c r="O52" s="174" t="n">
        <v>0</v>
      </c>
      <c r="P52" s="177" t="n">
        <v>0</v>
      </c>
      <c r="Q52" s="177" t="n">
        <v>0</v>
      </c>
      <c r="R52" s="177" t="n">
        <v>0</v>
      </c>
      <c r="S52" s="177" t="n">
        <v>0</v>
      </c>
      <c r="T52" s="177" t="n">
        <v>0</v>
      </c>
      <c r="U52" s="177" t="n">
        <v>0</v>
      </c>
      <c r="V52" s="178">
        <f>IF(K53=0,"",ROUND((L53*1.09+M53*1+N53*1.13+O53*0+P53*0.52+R53*0.75)/K53,2))</f>
        <v/>
      </c>
      <c r="W52" s="177" t="n">
        <v>0</v>
      </c>
      <c r="X52" s="177" t="n">
        <v>0</v>
      </c>
      <c r="Y52" s="177" t="n">
        <v>0</v>
      </c>
      <c r="Z52" s="177" t="n">
        <v>0</v>
      </c>
      <c r="AA52" s="177" t="n">
        <v>0</v>
      </c>
      <c r="AB52" s="177" t="n">
        <v>0</v>
      </c>
      <c r="AC52" s="177" t="n">
        <v>0</v>
      </c>
      <c r="AD52" s="177" t="n">
        <v>0</v>
      </c>
      <c r="AE52" s="177" t="n">
        <v>0</v>
      </c>
      <c r="AF52" s="200" t="n">
        <v>0</v>
      </c>
      <c r="AG52" s="182">
        <f>AD52-AE52-AF52-AH52</f>
        <v/>
      </c>
      <c r="AH52" s="177" t="n">
        <v>0</v>
      </c>
      <c r="AI52" s="182">
        <f>AD52-AH52-AF52</f>
        <v/>
      </c>
      <c r="AJ52" s="177" t="n">
        <v>0</v>
      </c>
      <c r="AK52" s="177" t="n">
        <v>0</v>
      </c>
      <c r="AL52" s="177" t="n">
        <v>0</v>
      </c>
      <c r="AM52" s="177" t="n">
        <v>0</v>
      </c>
      <c r="AN52" s="177" t="n">
        <v>0</v>
      </c>
      <c r="AO52" s="177" t="n">
        <v>0</v>
      </c>
      <c r="AP52" s="177" t="n">
        <v>0</v>
      </c>
      <c r="AQ52" s="177" t="n">
        <v>0</v>
      </c>
      <c r="AR52" s="177" t="n">
        <v>0</v>
      </c>
      <c r="AS52" s="177" t="n">
        <v>0</v>
      </c>
      <c r="AT52" s="177" t="n">
        <v>0</v>
      </c>
      <c r="AU52" s="177" t="n">
        <v>0</v>
      </c>
      <c r="AV52" s="177" t="n">
        <v>0</v>
      </c>
      <c r="AW52" s="177" t="n">
        <v>0</v>
      </c>
      <c r="AX52" s="177" t="n">
        <v>0</v>
      </c>
      <c r="AY52" s="177" t="n">
        <v>0</v>
      </c>
      <c r="AZ52" s="177" t="n">
        <v>0</v>
      </c>
      <c r="BA52" s="177" t="n">
        <v>0</v>
      </c>
      <c r="BB52" s="177" t="n">
        <v>0</v>
      </c>
      <c r="BC52" s="177" t="n">
        <v>0</v>
      </c>
      <c r="BD52" s="177" t="n">
        <v>0</v>
      </c>
      <c r="BE52" s="177" t="n">
        <v>0</v>
      </c>
      <c r="BF52" s="177" t="n">
        <v>0</v>
      </c>
      <c r="BG52" s="177" t="n">
        <v>0</v>
      </c>
      <c r="BH52" s="177" t="n">
        <v>0</v>
      </c>
      <c r="BI52" s="177" t="n">
        <v>0</v>
      </c>
      <c r="BJ52" s="177" t="n">
        <v>0</v>
      </c>
      <c r="BK52" s="177" t="n">
        <v>0</v>
      </c>
      <c r="BL52" s="177" t="n">
        <v>0</v>
      </c>
      <c r="BM52" s="177" t="n">
        <v>0</v>
      </c>
      <c r="BN52" s="177" t="n">
        <v>0</v>
      </c>
      <c r="BO52" s="177" t="n">
        <v>0</v>
      </c>
      <c r="BP52" s="177" t="n">
        <v>0</v>
      </c>
      <c r="BQ52" s="177" t="n">
        <v>0</v>
      </c>
      <c r="BR52" s="177" t="n">
        <v>0</v>
      </c>
      <c r="BS52" s="177" t="n">
        <v>0</v>
      </c>
      <c r="BT52" s="177" t="n">
        <v>0</v>
      </c>
      <c r="BU52" s="177" t="n">
        <v>0</v>
      </c>
      <c r="BV52" s="177" t="n">
        <v>0</v>
      </c>
      <c r="BW52" s="177" t="n">
        <v>0</v>
      </c>
      <c r="BX52" s="177" t="n">
        <v>0</v>
      </c>
      <c r="BY52" s="177" t="n">
        <v>0</v>
      </c>
      <c r="BZ52" s="177" t="n">
        <v>0</v>
      </c>
      <c r="CA52" s="177" t="n">
        <v>0</v>
      </c>
      <c r="CB52" s="177" t="n">
        <v>0</v>
      </c>
      <c r="CC52" s="177" t="n">
        <v>0</v>
      </c>
      <c r="CD52" s="177" t="n">
        <v>0</v>
      </c>
      <c r="CE52" s="177" t="n">
        <v>0</v>
      </c>
      <c r="CF52" s="177" t="n">
        <v>0</v>
      </c>
      <c r="CG52" s="177" t="n">
        <v>0</v>
      </c>
      <c r="CH52" s="177" t="n">
        <v>0</v>
      </c>
      <c r="CI52" s="177" t="n">
        <v>0</v>
      </c>
      <c r="CJ52" s="177" t="n">
        <v>0</v>
      </c>
      <c r="CK52" s="177" t="n">
        <v>0</v>
      </c>
      <c r="CL52" s="198" t="n">
        <v>5</v>
      </c>
      <c r="CM52" s="177" t="n">
        <v>0</v>
      </c>
      <c r="CN52" s="177" t="n">
        <v>0</v>
      </c>
      <c r="CO52" s="177" t="n">
        <v>0</v>
      </c>
      <c r="CP52" s="177" t="n">
        <v>0</v>
      </c>
      <c r="CQ52" s="177" t="n">
        <v>0</v>
      </c>
      <c r="CR52" s="177" t="n">
        <v>0</v>
      </c>
      <c r="CS52" s="210" t="n">
        <v>0</v>
      </c>
      <c r="CT52" s="210" t="n">
        <v>0</v>
      </c>
      <c r="CU52" s="210" t="n">
        <v>0</v>
      </c>
      <c r="CV52" s="210" t="n">
        <v>0</v>
      </c>
    </row>
    <row r="53" ht="15" customHeight="1" s="160">
      <c r="B53" s="189" t="n">
        <v>8</v>
      </c>
      <c r="C53" s="189" t="inlineStr">
        <is>
          <t>Iron Bisglycinate (Ferrochel® chelated form)</t>
        </is>
      </c>
      <c r="D53" s="189" t="inlineStr">
        <is>
          <t>Capsule (EOD)</t>
        </is>
      </c>
      <c r="E53" s="189" t="inlineStr">
        <is>
          <t>1 cap EOD</t>
        </is>
      </c>
      <c r="F53" s="189" t="inlineStr">
        <is>
          <t>6 AM fasted</t>
        </is>
      </c>
      <c r="G53" s="189" t="inlineStr">
        <is>
          <t>Thorne Iron Bisglycinate (Ferrochel®) 25mg (60 capsules / 60 servings, 25mg elemental iron as Ferrochel® ferrous bisglycinate chelate from Albion Minerals, NSF Certified for Sport, ConsumerLab tested + approved, GMP, gluten/soy/dairy-free, no artificial additives — #1 iron supplement for absorption + GI tolerability; 2-3x better absorbed than ferrous sulfate with 70-80% fewer GI side effects)</t>
        </is>
      </c>
      <c r="H53" s="189" t="inlineStr">
        <is>
          <t>Amazon (WFM) / thorne.com</t>
        </is>
      </c>
      <c r="I53" s="190" t="inlineStr">
        <is>
          <t>$19.90/60 capsules</t>
        </is>
      </c>
      <c r="J53" s="191" t="n"/>
      <c r="K53" s="192" t="n"/>
      <c r="L53" s="189" t="n">
        <v>60</v>
      </c>
      <c r="M53" s="189" t="n">
        <v>19.9</v>
      </c>
      <c r="N53" s="189" t="inlineStr">
        <is>
          <t>25mg elemental → 12.5mg/day avg</t>
        </is>
      </c>
      <c r="O53" s="174" t="n">
        <v>0</v>
      </c>
      <c r="P53" s="177" t="n">
        <v>0</v>
      </c>
      <c r="Q53" s="177" t="n">
        <v>0</v>
      </c>
      <c r="R53" s="177" t="n">
        <v>0</v>
      </c>
      <c r="S53" s="177" t="n">
        <v>0</v>
      </c>
      <c r="T53" s="177" t="n">
        <v>0</v>
      </c>
      <c r="U53" s="177" t="n">
        <v>0</v>
      </c>
      <c r="V53" s="193">
        <f>IF(K54=0,"",ROUND((L54*1.09+M54*1+N54*1.13+O54*0+P54*0.52+R54*0.75)/K54,2))</f>
        <v/>
      </c>
      <c r="W53" s="177" t="n">
        <v>0</v>
      </c>
      <c r="X53" s="177" t="n">
        <v>0</v>
      </c>
      <c r="Y53" s="177" t="n">
        <v>0</v>
      </c>
      <c r="Z53" s="177" t="n">
        <v>0</v>
      </c>
      <c r="AA53" s="177" t="n">
        <v>0</v>
      </c>
      <c r="AB53" s="177" t="n">
        <v>0</v>
      </c>
      <c r="AC53" s="177" t="n">
        <v>0</v>
      </c>
      <c r="AD53" s="177" t="n">
        <v>0</v>
      </c>
      <c r="AE53" s="177" t="n">
        <v>0</v>
      </c>
      <c r="AF53" s="200" t="n">
        <v>0</v>
      </c>
      <c r="AG53" s="182">
        <f>AD53-AE53-AF53-AH53</f>
        <v/>
      </c>
      <c r="AH53" s="177" t="n">
        <v>0</v>
      </c>
      <c r="AI53" s="182">
        <f>AD53-AH53-AF53</f>
        <v/>
      </c>
      <c r="AJ53" s="177" t="n">
        <v>0</v>
      </c>
      <c r="AK53" s="177" t="n">
        <v>0</v>
      </c>
      <c r="AL53" s="177" t="n">
        <v>0</v>
      </c>
      <c r="AM53" s="177" t="n">
        <v>0</v>
      </c>
      <c r="AN53" s="177" t="n">
        <v>0</v>
      </c>
      <c r="AO53" s="177" t="n">
        <v>0</v>
      </c>
      <c r="AP53" s="177" t="n">
        <v>0</v>
      </c>
      <c r="AQ53" s="198" t="n">
        <v>12.5</v>
      </c>
      <c r="AR53" s="177" t="n">
        <v>0</v>
      </c>
      <c r="AS53" s="177" t="n">
        <v>0</v>
      </c>
      <c r="AT53" s="177" t="n">
        <v>0</v>
      </c>
      <c r="AU53" s="177" t="n">
        <v>0</v>
      </c>
      <c r="AV53" s="177" t="n">
        <v>0</v>
      </c>
      <c r="AW53" s="177" t="n">
        <v>0</v>
      </c>
      <c r="AX53" s="177" t="n">
        <v>0</v>
      </c>
      <c r="AY53" s="177" t="n">
        <v>0</v>
      </c>
      <c r="AZ53" s="177" t="n">
        <v>0</v>
      </c>
      <c r="BA53" s="177" t="n">
        <v>0</v>
      </c>
      <c r="BB53" s="177" t="n">
        <v>0</v>
      </c>
      <c r="BC53" s="177" t="n">
        <v>0</v>
      </c>
      <c r="BD53" s="177" t="n">
        <v>0</v>
      </c>
      <c r="BE53" s="177" t="n">
        <v>0</v>
      </c>
      <c r="BF53" s="177" t="n">
        <v>0</v>
      </c>
      <c r="BG53" s="177" t="n">
        <v>0</v>
      </c>
      <c r="BH53" s="177" t="n">
        <v>0</v>
      </c>
      <c r="BI53" s="177" t="n">
        <v>0</v>
      </c>
      <c r="BJ53" s="177" t="n">
        <v>0</v>
      </c>
      <c r="BK53" s="177" t="n">
        <v>0</v>
      </c>
      <c r="BL53" s="177" t="n">
        <v>0</v>
      </c>
      <c r="BM53" s="177" t="n">
        <v>0</v>
      </c>
      <c r="BN53" s="177" t="n">
        <v>0</v>
      </c>
      <c r="BO53" s="177" t="n">
        <v>0</v>
      </c>
      <c r="BP53" s="177" t="n">
        <v>0</v>
      </c>
      <c r="BQ53" s="177" t="n">
        <v>0</v>
      </c>
      <c r="BR53" s="177" t="n">
        <v>0</v>
      </c>
      <c r="BS53" s="177" t="n">
        <v>0</v>
      </c>
      <c r="BT53" s="177" t="n">
        <v>0</v>
      </c>
      <c r="BU53" s="177" t="n">
        <v>0</v>
      </c>
      <c r="BV53" s="177" t="n">
        <v>0</v>
      </c>
      <c r="BW53" s="177" t="n">
        <v>0</v>
      </c>
      <c r="BX53" s="177" t="n">
        <v>0</v>
      </c>
      <c r="BY53" s="177" t="n">
        <v>0</v>
      </c>
      <c r="BZ53" s="177" t="n">
        <v>0</v>
      </c>
      <c r="CA53" s="177" t="n">
        <v>0</v>
      </c>
      <c r="CB53" s="177" t="n">
        <v>0</v>
      </c>
      <c r="CC53" s="177" t="n">
        <v>0</v>
      </c>
      <c r="CD53" s="177" t="n">
        <v>0</v>
      </c>
      <c r="CE53" s="177" t="n">
        <v>0</v>
      </c>
      <c r="CF53" s="177" t="n">
        <v>0</v>
      </c>
      <c r="CG53" s="177" t="n">
        <v>0</v>
      </c>
      <c r="CH53" s="177" t="n">
        <v>0</v>
      </c>
      <c r="CI53" s="177" t="n">
        <v>0</v>
      </c>
      <c r="CJ53" s="177" t="n">
        <v>0</v>
      </c>
      <c r="CK53" s="177" t="n">
        <v>0</v>
      </c>
      <c r="CL53" s="177" t="n">
        <v>0</v>
      </c>
      <c r="CM53" s="177" t="n">
        <v>0</v>
      </c>
      <c r="CN53" s="177" t="n">
        <v>0</v>
      </c>
      <c r="CO53" s="177" t="n">
        <v>0</v>
      </c>
      <c r="CP53" s="177" t="n">
        <v>0</v>
      </c>
      <c r="CQ53" s="177" t="n">
        <v>0</v>
      </c>
      <c r="CR53" s="177" t="n">
        <v>0</v>
      </c>
      <c r="CS53" s="210" t="n">
        <v>0</v>
      </c>
      <c r="CT53" s="210" t="n">
        <v>0</v>
      </c>
      <c r="CU53" s="210" t="n">
        <v>0</v>
      </c>
      <c r="CV53" s="210" t="n">
        <v>0</v>
      </c>
    </row>
    <row r="54" ht="15" customHeight="1" s="160">
      <c r="B54" s="159" t="n">
        <v>9</v>
      </c>
      <c r="C54" s="159" t="inlineStr">
        <is>
          <t>Plant Sterols Complex (full-spectrum)</t>
        </is>
      </c>
      <c r="D54" s="159" t="inlineStr">
        <is>
          <t>Capsule (1)</t>
        </is>
      </c>
      <c r="E54" s="159" t="inlineStr">
        <is>
          <t>1 cap</t>
        </is>
      </c>
      <c r="F54" s="159" t="inlineStr">
        <is>
          <t>w/ shake (fat-sol)</t>
        </is>
      </c>
      <c r="G54" s="159" t="inlineStr">
        <is>
          <t>NOW Foods Plant Sterols (90 softgels, 450mg plant sterol complex per cap: beta-sitosterol ~80%, campesterol ~10%, stigmasterol ~10%, CardioAid-S, non-GMO, soy-free)</t>
        </is>
      </c>
      <c r="O54" s="345" t="n">
        <v>0</v>
      </c>
      <c r="P54" s="345" t="n">
        <v>0</v>
      </c>
      <c r="Q54" s="345" t="n">
        <v>0</v>
      </c>
      <c r="R54" s="345" t="n">
        <v>0</v>
      </c>
      <c r="S54" s="345" t="n">
        <v>0</v>
      </c>
      <c r="T54" s="345" t="n">
        <v>0</v>
      </c>
      <c r="U54" s="345" t="n">
        <v>0</v>
      </c>
      <c r="V54" s="159">
        <f>IF(P54=0,"",ROUND((Q54*1.09+R54*1.00+S54*1.13+T54*0+U54*0.52)/P54,2))</f>
        <v/>
      </c>
      <c r="W54" s="345" t="n">
        <v>0</v>
      </c>
      <c r="X54" s="345" t="n">
        <v>0</v>
      </c>
      <c r="Y54" s="345" t="n">
        <v>0</v>
      </c>
      <c r="Z54" s="345" t="n">
        <v>0</v>
      </c>
      <c r="AA54" s="345" t="n">
        <v>0</v>
      </c>
      <c r="AB54" s="345" t="n">
        <v>0</v>
      </c>
      <c r="AC54" s="345" t="n">
        <v>0</v>
      </c>
      <c r="AD54" s="345" t="n">
        <v>0</v>
      </c>
      <c r="AE54" s="345" t="n">
        <v>0</v>
      </c>
      <c r="AF54" s="345" t="n">
        <v>0</v>
      </c>
      <c r="AG54" s="159">
        <f>AD54-AE54-AF54-AH54</f>
        <v/>
      </c>
      <c r="AH54" s="345" t="n">
        <v>0</v>
      </c>
      <c r="AI54" s="159">
        <f>AD54-AH54-AF54</f>
        <v/>
      </c>
      <c r="AJ54" s="345" t="n">
        <v>0</v>
      </c>
      <c r="AK54" s="345" t="n">
        <v>0</v>
      </c>
      <c r="AL54" s="345" t="n">
        <v>0</v>
      </c>
      <c r="AM54" s="345" t="n">
        <v>0</v>
      </c>
      <c r="AN54" s="345" t="n">
        <v>0</v>
      </c>
      <c r="AO54" s="345" t="n">
        <v>0</v>
      </c>
      <c r="AP54" s="345" t="n">
        <v>0</v>
      </c>
      <c r="AQ54" s="345" t="n">
        <v>0</v>
      </c>
      <c r="AR54" s="345" t="n">
        <v>0</v>
      </c>
      <c r="AS54" s="345" t="n">
        <v>0</v>
      </c>
      <c r="AT54" s="345" t="n">
        <v>0</v>
      </c>
      <c r="AU54" s="345" t="n">
        <v>0</v>
      </c>
      <c r="AV54" s="345" t="n">
        <v>0</v>
      </c>
      <c r="AW54" s="345" t="n">
        <v>0</v>
      </c>
      <c r="AX54" s="345" t="n">
        <v>0</v>
      </c>
      <c r="AY54" s="345" t="n">
        <v>0</v>
      </c>
      <c r="AZ54" s="345" t="n">
        <v>0</v>
      </c>
      <c r="BA54" s="345" t="n">
        <v>0</v>
      </c>
      <c r="BB54" s="345" t="n">
        <v>0</v>
      </c>
      <c r="BC54" s="345" t="n">
        <v>0</v>
      </c>
      <c r="BD54" s="345" t="n">
        <v>0</v>
      </c>
      <c r="BE54" s="345" t="n">
        <v>0</v>
      </c>
      <c r="BF54" s="345" t="n">
        <v>0</v>
      </c>
      <c r="BG54" s="345" t="n">
        <v>0</v>
      </c>
      <c r="BH54" s="345" t="n">
        <v>0</v>
      </c>
      <c r="BI54" s="345" t="n">
        <v>0</v>
      </c>
      <c r="BJ54" s="345" t="n">
        <v>0</v>
      </c>
      <c r="BK54" s="345" t="n">
        <v>0</v>
      </c>
      <c r="BL54" s="345" t="n">
        <v>0</v>
      </c>
      <c r="BM54" s="345" t="n">
        <v>0</v>
      </c>
      <c r="BN54" s="345" t="n">
        <v>0</v>
      </c>
      <c r="BO54" s="345" t="n">
        <v>0</v>
      </c>
      <c r="BP54" s="345" t="n">
        <v>0</v>
      </c>
      <c r="BQ54" s="345" t="n">
        <v>0</v>
      </c>
      <c r="BR54" s="345" t="n">
        <v>0</v>
      </c>
      <c r="BS54" s="345" t="n">
        <v>0</v>
      </c>
      <c r="BT54" s="345" t="n">
        <v>0</v>
      </c>
      <c r="BU54" s="345" t="n">
        <v>0</v>
      </c>
      <c r="BV54" s="345" t="n">
        <v>0</v>
      </c>
      <c r="BW54" s="345" t="n">
        <v>0</v>
      </c>
      <c r="BX54" s="345" t="n">
        <v>0</v>
      </c>
      <c r="BY54" s="345" t="n">
        <v>0</v>
      </c>
      <c r="BZ54" s="345" t="n">
        <v>0</v>
      </c>
      <c r="CA54" s="345" t="n">
        <v>0</v>
      </c>
      <c r="CB54" s="345" t="n">
        <v>0</v>
      </c>
      <c r="CC54" s="345" t="n">
        <v>450</v>
      </c>
      <c r="CD54" s="345" t="n">
        <v>0</v>
      </c>
      <c r="CE54" s="345" t="n">
        <v>0</v>
      </c>
      <c r="CF54" s="345" t="n">
        <v>0</v>
      </c>
      <c r="CG54" s="345" t="n">
        <v>0</v>
      </c>
      <c r="CH54" s="345" t="n">
        <v>0</v>
      </c>
      <c r="CI54" s="345" t="n">
        <v>0</v>
      </c>
      <c r="CJ54" s="345" t="n">
        <v>0</v>
      </c>
      <c r="CK54" s="345" t="n">
        <v>0</v>
      </c>
      <c r="CL54" s="345" t="n">
        <v>0</v>
      </c>
      <c r="CM54" s="345" t="n">
        <v>0</v>
      </c>
      <c r="CN54" s="345" t="n">
        <v>0</v>
      </c>
      <c r="CO54" s="345" t="n">
        <v>0</v>
      </c>
      <c r="CP54" s="345" t="n">
        <v>0</v>
      </c>
      <c r="CQ54" s="345" t="n">
        <v>0</v>
      </c>
      <c r="CR54" s="345" t="n">
        <v>0</v>
      </c>
      <c r="CS54" s="345" t="n">
        <v>0</v>
      </c>
      <c r="CT54" s="345" t="n">
        <v>0</v>
      </c>
      <c r="CU54" s="345" t="n">
        <v>0</v>
      </c>
      <c r="CV54" s="345" t="n">
        <v>0</v>
      </c>
    </row>
    <row r="55" ht="15" customHeight="1" s="160">
      <c r="B55" s="222" t="n"/>
      <c r="C55" s="222" t="inlineStr">
        <is>
          <t>SUPPLEMENT TOTALS</t>
        </is>
      </c>
      <c r="D55" s="222" t="n"/>
      <c r="E55" s="222" t="n"/>
      <c r="F55" s="222" t="n"/>
      <c r="G55" s="222" t="n"/>
      <c r="H55" s="222" t="n"/>
      <c r="I55" s="222">
        <f>SUM(I46:I54)</f>
        <v/>
      </c>
      <c r="J55" s="222" t="n"/>
      <c r="K55" s="222" t="n"/>
      <c r="L55" s="222" t="n"/>
      <c r="M55" s="222" t="n"/>
      <c r="N55" s="222" t="n"/>
      <c r="O55" s="224">
        <f>SUM(O46:O54)</f>
        <v/>
      </c>
      <c r="P55" s="225">
        <f>SUM(P46:P54)</f>
        <v/>
      </c>
      <c r="Q55" s="225">
        <f>SUM(Q46:Q54)</f>
        <v/>
      </c>
      <c r="R55" s="225">
        <f>SUM(R46:R54)</f>
        <v/>
      </c>
      <c r="S55" s="225">
        <f>SUM(S46:S54)</f>
        <v/>
      </c>
      <c r="T55" s="225">
        <f>SUM(T46:T54)</f>
        <v/>
      </c>
      <c r="U55" s="225">
        <f>SUM(U46:U54)</f>
        <v/>
      </c>
      <c r="V55" s="225">
        <f>IF(P55=0,"",ROUND((Q55*1.09+R55*1.00+S55*1.13+T55*0+U55*0.52)/P55,2))</f>
        <v/>
      </c>
      <c r="W55" s="225">
        <f>SUM(W46:W54)</f>
        <v/>
      </c>
      <c r="X55" s="225">
        <f>SUM(X46:X54)</f>
        <v/>
      </c>
      <c r="Y55" s="225">
        <f>SUM(Y46:Y54)</f>
        <v/>
      </c>
      <c r="Z55" s="225">
        <f>SUM(Z46:Z54)</f>
        <v/>
      </c>
      <c r="AA55" s="225">
        <f>SUM(AA46:AA54)</f>
        <v/>
      </c>
      <c r="AB55" s="225">
        <f>SUM(AB46:AB54)</f>
        <v/>
      </c>
      <c r="AC55" s="225">
        <f>SUM(AC46:AC54)</f>
        <v/>
      </c>
      <c r="AD55" s="225">
        <f>SUM(AD46:AD54)</f>
        <v/>
      </c>
      <c r="AE55" s="225">
        <f>SUM(AE46:AE54)</f>
        <v/>
      </c>
      <c r="AF55" s="222">
        <f>SUM(AF46:AF54)</f>
        <v/>
      </c>
      <c r="AG55" s="225">
        <f>SUM(AG46:AG54)</f>
        <v/>
      </c>
      <c r="AH55" s="225">
        <f>SUM(AH46:AH54)</f>
        <v/>
      </c>
      <c r="AI55" s="225">
        <f>SUM(AI46:AI54)</f>
        <v/>
      </c>
      <c r="AJ55" s="225">
        <f>SUM(AJ46:AJ54)</f>
        <v/>
      </c>
      <c r="AK55" s="225">
        <f>SUM(AK46:AK54)</f>
        <v/>
      </c>
      <c r="AL55" s="225">
        <f>SUM(AL46:AL54)</f>
        <v/>
      </c>
      <c r="AM55" s="225">
        <f>SUM(AM46:AM54)</f>
        <v/>
      </c>
      <c r="AN55" s="225">
        <f>SUM(AN46:AN54)</f>
        <v/>
      </c>
      <c r="AO55" s="225">
        <f>SUM(AO46:AO54)</f>
        <v/>
      </c>
      <c r="AP55" s="225">
        <f>SUM(AP46:AP54)</f>
        <v/>
      </c>
      <c r="AQ55" s="225">
        <f>SUM(AQ46:AQ54)</f>
        <v/>
      </c>
      <c r="AR55" s="225">
        <f>SUM(AR46:AR54)</f>
        <v/>
      </c>
      <c r="AS55" s="225">
        <f>SUM(AS46:AS54)</f>
        <v/>
      </c>
      <c r="AT55" s="225">
        <f>SUM(AT46:AT54)</f>
        <v/>
      </c>
      <c r="AU55" s="225">
        <f>SUM(AU46:AU54)</f>
        <v/>
      </c>
      <c r="AV55" s="225">
        <f>SUM(AV46:AV54)</f>
        <v/>
      </c>
      <c r="AW55" s="225">
        <f>SUM(AW46:AW54)</f>
        <v/>
      </c>
      <c r="AX55" s="225">
        <f>SUM(AX46:AX54)</f>
        <v/>
      </c>
      <c r="AY55" s="225">
        <f>SUM(AY46:AY54)</f>
        <v/>
      </c>
      <c r="AZ55" s="225">
        <f>SUM(AZ46:AZ54)</f>
        <v/>
      </c>
      <c r="BA55" s="225">
        <f>SUM(BA46:BA54)</f>
        <v/>
      </c>
      <c r="BB55" s="225">
        <f>SUM(BB46:BB54)</f>
        <v/>
      </c>
      <c r="BC55" s="225">
        <f>SUM(BC46:BC54)</f>
        <v/>
      </c>
      <c r="BD55" s="225">
        <f>SUM(BD46:BD54)</f>
        <v/>
      </c>
      <c r="BE55" s="225">
        <f>SUM(BE46:BE54)</f>
        <v/>
      </c>
      <c r="BF55" s="225">
        <f>SUM(BF46:BF54)</f>
        <v/>
      </c>
      <c r="BG55" s="225">
        <f>SUM(BG46:BG54)</f>
        <v/>
      </c>
      <c r="BH55" s="225">
        <f>SUM(BH46:BH54)</f>
        <v/>
      </c>
      <c r="BI55" s="225">
        <f>SUM(BI46:BI54)</f>
        <v/>
      </c>
      <c r="BJ55" s="225">
        <f>SUM(BJ46:BJ54)</f>
        <v/>
      </c>
      <c r="BK55" s="225">
        <f>SUM(BK46:BK54)</f>
        <v/>
      </c>
      <c r="BL55" s="225">
        <f>SUM(BL46:BL54)</f>
        <v/>
      </c>
      <c r="BM55" s="225">
        <f>SUM(BM46:BM54)</f>
        <v/>
      </c>
      <c r="BN55" s="225">
        <f>SUM(BN46:BN54)</f>
        <v/>
      </c>
      <c r="BO55" s="225">
        <f>SUM(BO46:BO54)</f>
        <v/>
      </c>
      <c r="BP55" s="225">
        <f>SUM(BP46:BP54)</f>
        <v/>
      </c>
      <c r="BQ55" s="225">
        <f>SUM(BQ46:BQ54)</f>
        <v/>
      </c>
      <c r="BR55" s="225">
        <f>SUM(BR46:BR54)</f>
        <v/>
      </c>
      <c r="BS55" s="225">
        <f>SUM(BS46:BS54)</f>
        <v/>
      </c>
      <c r="BT55" s="225">
        <f>SUM(BT46:BT54)</f>
        <v/>
      </c>
      <c r="BU55" s="225">
        <f>SUM(BU46:BU54)</f>
        <v/>
      </c>
      <c r="BV55" s="225">
        <f>SUM(BV46:BV54)</f>
        <v/>
      </c>
      <c r="BW55" s="225">
        <f>SUM(BW46:BW54)</f>
        <v/>
      </c>
      <c r="BX55" s="225">
        <f>SUM(BX46:BX54)</f>
        <v/>
      </c>
      <c r="BY55" s="225">
        <f>SUM(BY46:BY54)</f>
        <v/>
      </c>
      <c r="BZ55" s="225">
        <f>SUM(BZ46:BZ54)</f>
        <v/>
      </c>
      <c r="CA55" s="225">
        <f>SUM(CA46:CA54)</f>
        <v/>
      </c>
      <c r="CB55" s="225">
        <f>SUM(CB46:CB54)</f>
        <v/>
      </c>
      <c r="CC55" s="225">
        <f>SUM(CC46:CC54)</f>
        <v/>
      </c>
      <c r="CD55" s="225">
        <f>SUM(CD46:CD54)</f>
        <v/>
      </c>
      <c r="CE55" s="225">
        <f>SUM(CE46:CE54)</f>
        <v/>
      </c>
      <c r="CF55" s="225">
        <f>SUM(CF46:CF54)</f>
        <v/>
      </c>
      <c r="CG55" s="225">
        <f>SUM(CG46:CG54)</f>
        <v/>
      </c>
      <c r="CH55" s="225">
        <f>SUM(CH46:CH54)</f>
        <v/>
      </c>
      <c r="CI55" s="225">
        <f>SUM(CI46:CI54)</f>
        <v/>
      </c>
      <c r="CJ55" s="225">
        <f>SUM(CJ46:CJ54)</f>
        <v/>
      </c>
      <c r="CK55" s="225">
        <f>SUM(CK46:CK54)</f>
        <v/>
      </c>
      <c r="CL55" s="225">
        <f>SUM(CL46:CL54)</f>
        <v/>
      </c>
      <c r="CM55" s="225">
        <f>SUM(CM46:CM54)</f>
        <v/>
      </c>
      <c r="CN55" s="225">
        <f>SUM(CN46:CN54)</f>
        <v/>
      </c>
      <c r="CO55" s="225">
        <f>SUM(CO46:CO54)</f>
        <v/>
      </c>
      <c r="CP55" s="225">
        <f>SUM(CP46:CP54)</f>
        <v/>
      </c>
      <c r="CQ55" s="225">
        <f>SUM(CQ46:CQ54)</f>
        <v/>
      </c>
      <c r="CR55" s="225">
        <f>SUM(CR46:CR54)</f>
        <v/>
      </c>
      <c r="CS55" s="222">
        <f>SUM(CS46:CS54)</f>
        <v/>
      </c>
      <c r="CT55" s="222">
        <f>SUM(CT46:CT54)</f>
        <v/>
      </c>
      <c r="CU55" s="222">
        <f>SUM(CU46:CU54)</f>
        <v/>
      </c>
      <c r="CV55" s="222">
        <f>SUM(CV46:CV54)</f>
        <v/>
      </c>
    </row>
    <row r="57" ht="15" customHeight="1" s="160">
      <c r="B57" s="231" t="n"/>
      <c r="C57" s="231" t="inlineStr">
        <is>
          <t>COMBINED TOTALS (Shake + Supplements)</t>
        </is>
      </c>
      <c r="D57" s="231" t="n"/>
      <c r="E57" s="231" t="n"/>
      <c r="F57" s="231" t="n"/>
      <c r="G57" s="231" t="n"/>
      <c r="H57" s="232" t="n"/>
      <c r="I57" s="232">
        <f>I42+I55</f>
        <v/>
      </c>
      <c r="J57" s="232" t="n"/>
      <c r="K57" s="232" t="n"/>
      <c r="L57" s="232" t="n"/>
      <c r="M57" s="232" t="n"/>
      <c r="N57" s="231" t="n"/>
      <c r="O57" s="233">
        <f>O42+O55</f>
        <v/>
      </c>
      <c r="P57" s="234">
        <f>P42+P55</f>
        <v/>
      </c>
      <c r="Q57" s="234">
        <f>Q42+Q55</f>
        <v/>
      </c>
      <c r="R57" s="235">
        <f>R42+R55</f>
        <v/>
      </c>
      <c r="S57" s="234">
        <f>S42+S55</f>
        <v/>
      </c>
      <c r="T57" s="234">
        <f>T42+T55</f>
        <v/>
      </c>
      <c r="U57" s="234">
        <f>U42+U55</f>
        <v/>
      </c>
      <c r="V57" s="236">
        <f>IF(P57=0,"",ROUND((Q57*1.09+R57*1.00+S57*1.13+T57*0+U57*0.52)/P57,2))</f>
        <v/>
      </c>
      <c r="W57" s="234">
        <f>W42+W55</f>
        <v/>
      </c>
      <c r="X57" s="237">
        <f>X42+X55</f>
        <v/>
      </c>
      <c r="Y57" s="236">
        <f>Y42+Y55</f>
        <v/>
      </c>
      <c r="Z57" s="238">
        <f>Z42+Z55</f>
        <v/>
      </c>
      <c r="AA57" s="239">
        <f>AA42+AA55</f>
        <v/>
      </c>
      <c r="AB57" s="238">
        <f>AB42+AB55</f>
        <v/>
      </c>
      <c r="AC57" s="238">
        <f>AC42+AC55</f>
        <v/>
      </c>
      <c r="AD57" s="235">
        <f>AD42+AD55</f>
        <v/>
      </c>
      <c r="AE57" s="238">
        <f>AE42+AE55</f>
        <v/>
      </c>
      <c r="AF57" s="240">
        <f>AF42+AF55</f>
        <v/>
      </c>
      <c r="AG57" s="238">
        <f>AG42+AG55</f>
        <v/>
      </c>
      <c r="AH57" s="236">
        <f>AH42+AH55</f>
        <v/>
      </c>
      <c r="AI57" s="238">
        <f>AI42+AI55</f>
        <v/>
      </c>
      <c r="AJ57" s="238">
        <f>AJ42+AJ55</f>
        <v/>
      </c>
      <c r="AK57" s="238">
        <f>AK42+AK55</f>
        <v/>
      </c>
      <c r="AL57" s="236">
        <f>AL42+AL55</f>
        <v/>
      </c>
      <c r="AM57" s="238">
        <f>AM42+AM55</f>
        <v/>
      </c>
      <c r="AN57" s="238">
        <f>AN42+AN55</f>
        <v/>
      </c>
      <c r="AO57" s="236">
        <f>AO42+AO55</f>
        <v/>
      </c>
      <c r="AP57" s="237">
        <f>AP42+AP55</f>
        <v/>
      </c>
      <c r="AQ57" s="238">
        <f>AQ42+AQ55</f>
        <v/>
      </c>
      <c r="AR57" s="236">
        <f>AR42+AR55</f>
        <v/>
      </c>
      <c r="AS57" s="236">
        <f>AS42+AS55</f>
        <v/>
      </c>
      <c r="AT57" s="238">
        <f>AT42+AT55</f>
        <v/>
      </c>
      <c r="AU57" s="238">
        <f>AU42+AU55</f>
        <v/>
      </c>
      <c r="AV57" s="238">
        <f>AV42+AV55</f>
        <v/>
      </c>
      <c r="AW57" s="238">
        <f>AW42+AW55</f>
        <v/>
      </c>
      <c r="AX57" s="238">
        <f>AX42+AX55</f>
        <v/>
      </c>
      <c r="AY57" s="238">
        <f>AY42+AY55</f>
        <v/>
      </c>
      <c r="AZ57" s="234">
        <f>AZ42+AZ55</f>
        <v/>
      </c>
      <c r="BA57" s="234">
        <f>BA42+BA55</f>
        <v/>
      </c>
      <c r="BB57" s="238">
        <f>BB42+BB55</f>
        <v/>
      </c>
      <c r="BC57" s="238">
        <f>BC42+BC55</f>
        <v/>
      </c>
      <c r="BD57" s="238">
        <f>BD42+BD55</f>
        <v/>
      </c>
      <c r="BE57" s="238">
        <f>BE42+BE55</f>
        <v/>
      </c>
      <c r="BF57" s="238">
        <f>BF42+BF55</f>
        <v/>
      </c>
      <c r="BG57" s="238">
        <f>BG42+BG55</f>
        <v/>
      </c>
      <c r="BH57" s="236">
        <f>BH42+BH55</f>
        <v/>
      </c>
      <c r="BI57" s="238">
        <f>BI42+BI55</f>
        <v/>
      </c>
      <c r="BJ57" s="237">
        <f>BJ42+BJ55</f>
        <v/>
      </c>
      <c r="BK57" s="238">
        <f>BK42+BK55</f>
        <v/>
      </c>
      <c r="BL57" s="236">
        <f>BL42+BL55</f>
        <v/>
      </c>
      <c r="BM57" s="238">
        <f>BM42+BM55</f>
        <v/>
      </c>
      <c r="BN57" s="238">
        <f>BN42+BN55</f>
        <v/>
      </c>
      <c r="BO57" s="238">
        <f>BO42+BO55</f>
        <v/>
      </c>
      <c r="BP57" s="234">
        <f>BP42+BP55</f>
        <v/>
      </c>
      <c r="BQ57" s="238">
        <f>BQ42+BQ55</f>
        <v/>
      </c>
      <c r="BR57" s="238">
        <f>BR42+BR55</f>
        <v/>
      </c>
      <c r="BS57" s="234">
        <f>BS42+BS55</f>
        <v/>
      </c>
      <c r="BT57" s="238">
        <f>BT42+BT55</f>
        <v/>
      </c>
      <c r="BU57" s="238">
        <f>BU42+BU55</f>
        <v/>
      </c>
      <c r="BV57" s="236">
        <f>BV42+BV55</f>
        <v/>
      </c>
      <c r="BW57" s="237">
        <f>BW42+BW55</f>
        <v/>
      </c>
      <c r="BX57" s="238">
        <f>BX42+BX55</f>
        <v/>
      </c>
      <c r="BY57" s="238">
        <f>BY42+BY55</f>
        <v/>
      </c>
      <c r="BZ57" s="234">
        <f>BZ42+BZ55</f>
        <v/>
      </c>
      <c r="CA57" s="238">
        <f>CA42+CA55</f>
        <v/>
      </c>
      <c r="CB57" s="238">
        <f>CB42+CB55</f>
        <v/>
      </c>
      <c r="CC57" s="236">
        <f>CC42+CC55</f>
        <v/>
      </c>
      <c r="CD57" s="234">
        <f>CD42+CD55</f>
        <v/>
      </c>
      <c r="CE57" s="238">
        <f>CE42+CE55</f>
        <v/>
      </c>
      <c r="CF57" s="238">
        <f>CF42+CF55</f>
        <v/>
      </c>
      <c r="CG57" s="234">
        <f>CG42+CG55</f>
        <v/>
      </c>
      <c r="CH57" s="238">
        <f>CH42+CH55</f>
        <v/>
      </c>
      <c r="CI57" s="234">
        <f>CI42+CI55</f>
        <v/>
      </c>
      <c r="CJ57" s="234">
        <f>CJ42+CJ55</f>
        <v/>
      </c>
      <c r="CK57" s="234">
        <f>CK42+CK55</f>
        <v/>
      </c>
      <c r="CL57" s="234">
        <f>CL42+CL55</f>
        <v/>
      </c>
      <c r="CM57" s="234">
        <f>CM42+CM55</f>
        <v/>
      </c>
      <c r="CN57" s="238">
        <f>CN42+CN55</f>
        <v/>
      </c>
      <c r="CO57" s="238">
        <f>CO42+CO55</f>
        <v/>
      </c>
      <c r="CP57" s="238">
        <f>CP42+CP55</f>
        <v/>
      </c>
      <c r="CQ57" s="238">
        <f>CQ42+CQ55</f>
        <v/>
      </c>
      <c r="CR57" s="238">
        <f>CR42+CR55</f>
        <v/>
      </c>
      <c r="CS57" s="232">
        <f>CS42+CS55</f>
        <v/>
      </c>
      <c r="CT57" s="232">
        <f>CT42+CT55</f>
        <v/>
      </c>
      <c r="CU57" s="232">
        <f>CU42+CU55</f>
        <v/>
      </c>
      <c r="CV57" s="232">
        <f>CV42+CV55</f>
        <v/>
      </c>
    </row>
    <row r="58" ht="21.75" customHeight="1" s="160"/>
    <row r="59" ht="15" customHeight="1" s="160">
      <c r="B59" s="241" t="n"/>
      <c r="C59" s="241" t="inlineStr">
        <is>
          <t>TOLERABLE UPPER LIMITS (UL)</t>
        </is>
      </c>
      <c r="D59" s="241" t="n"/>
      <c r="E59" s="241" t="n"/>
      <c r="F59" s="241" t="n"/>
      <c r="G59" s="241" t="n"/>
      <c r="H59" s="242" t="n"/>
      <c r="I59" s="242" t="n"/>
      <c r="J59" s="242" t="n"/>
      <c r="K59" s="242" t="n"/>
      <c r="L59" s="242" t="n"/>
      <c r="M59" s="242" t="n"/>
      <c r="N59" s="241" t="n"/>
      <c r="O59" s="241" t="inlineStr">
        <is>
          <t>—</t>
        </is>
      </c>
      <c r="P59" s="241" t="inlineStr">
        <is>
          <t>—</t>
        </is>
      </c>
      <c r="Q59" s="241" t="inlineStr">
        <is>
          <t>—</t>
        </is>
      </c>
      <c r="R59" s="241" t="inlineStr">
        <is>
          <t>—</t>
        </is>
      </c>
      <c r="S59" s="241" t="inlineStr">
        <is>
          <t>—</t>
        </is>
      </c>
      <c r="T59" s="241" t="inlineStr">
        <is>
          <t>—</t>
        </is>
      </c>
      <c r="U59" s="241" t="inlineStr">
        <is>
          <t>—</t>
        </is>
      </c>
      <c r="V59" s="241" t="inlineStr">
        <is>
          <t>—</t>
        </is>
      </c>
      <c r="W59" s="241" t="inlineStr">
        <is>
          <t>—</t>
        </is>
      </c>
      <c r="X59" s="241" t="inlineStr">
        <is>
          <t>—</t>
        </is>
      </c>
      <c r="Y59" s="241" t="inlineStr">
        <is>
          <t>—</t>
        </is>
      </c>
      <c r="Z59" s="241" t="inlineStr">
        <is>
          <t>—</t>
        </is>
      </c>
      <c r="AA59" s="241" t="inlineStr">
        <is>
          <t>—</t>
        </is>
      </c>
      <c r="AB59" s="241" t="inlineStr">
        <is>
          <t>—</t>
        </is>
      </c>
      <c r="AC59" s="241" t="inlineStr">
        <is>
          <t>—</t>
        </is>
      </c>
      <c r="AD59" s="241" t="inlineStr">
        <is>
          <t>—</t>
        </is>
      </c>
      <c r="AE59" s="241" t="inlineStr">
        <is>
          <t>—</t>
        </is>
      </c>
      <c r="AF59" s="242" t="inlineStr">
        <is>
          <t>—</t>
        </is>
      </c>
      <c r="AG59" s="241" t="inlineStr">
        <is>
          <t>—</t>
        </is>
      </c>
      <c r="AH59" s="241" t="inlineStr">
        <is>
          <t>—</t>
        </is>
      </c>
      <c r="AI59" s="241" t="inlineStr">
        <is>
          <t>—</t>
        </is>
      </c>
      <c r="AJ59" s="243" t="n">
        <v>3500</v>
      </c>
      <c r="AK59" s="243" t="n">
        <v>2500</v>
      </c>
      <c r="AL59" s="241" t="inlineStr">
        <is>
          <t>—</t>
        </is>
      </c>
      <c r="AM59" s="241" t="inlineStr">
        <is>
          <t>—</t>
        </is>
      </c>
      <c r="AN59" s="243" t="n">
        <v>4000</v>
      </c>
      <c r="AO59" s="243" t="n">
        <v>2300</v>
      </c>
      <c r="AP59" s="243" t="n">
        <v>2000</v>
      </c>
      <c r="AQ59" s="243" t="n">
        <v>45</v>
      </c>
      <c r="AR59" s="243" t="n">
        <v>40</v>
      </c>
      <c r="AS59" s="243" t="n">
        <v>400</v>
      </c>
      <c r="AT59" s="243" t="n">
        <v>10000</v>
      </c>
      <c r="AU59" s="243" t="n">
        <v>11</v>
      </c>
      <c r="AV59" s="241" t="inlineStr">
        <is>
          <t>—</t>
        </is>
      </c>
      <c r="AW59" s="243" t="n">
        <v>1100</v>
      </c>
      <c r="AX59" s="243" t="n">
        <v>20</v>
      </c>
      <c r="AY59" s="243" t="n">
        <v>3000</v>
      </c>
      <c r="AZ59" s="243" t="n">
        <v>2000</v>
      </c>
      <c r="BA59" s="243" t="n">
        <v>100</v>
      </c>
      <c r="BB59" s="243" t="n">
        <v>1000</v>
      </c>
      <c r="BC59" s="241" t="inlineStr">
        <is>
          <t>—</t>
        </is>
      </c>
      <c r="BD59" s="241" t="inlineStr">
        <is>
          <t>—</t>
        </is>
      </c>
      <c r="BE59" s="241" t="inlineStr">
        <is>
          <t>—</t>
        </is>
      </c>
      <c r="BF59" s="241" t="inlineStr">
        <is>
          <t>—</t>
        </is>
      </c>
      <c r="BG59" s="241" t="inlineStr">
        <is>
          <t>—</t>
        </is>
      </c>
      <c r="BH59" s="243" t="n">
        <v>35</v>
      </c>
      <c r="BI59" s="243" t="n">
        <v>100</v>
      </c>
      <c r="BJ59" s="243" t="n">
        <v>1000</v>
      </c>
      <c r="BK59" s="241" t="inlineStr">
        <is>
          <t>—</t>
        </is>
      </c>
      <c r="BL59" s="241" t="inlineStr">
        <is>
          <t>—</t>
        </is>
      </c>
      <c r="BM59" s="241" t="inlineStr">
        <is>
          <t>—</t>
        </is>
      </c>
      <c r="BN59" s="241" t="inlineStr">
        <is>
          <t>—</t>
        </is>
      </c>
      <c r="BO59" s="241" t="inlineStr">
        <is>
          <t>—</t>
        </is>
      </c>
      <c r="BP59" s="241" t="inlineStr">
        <is>
          <t>—</t>
        </is>
      </c>
      <c r="BQ59" s="241" t="inlineStr">
        <is>
          <t>—</t>
        </is>
      </c>
      <c r="BR59" s="241" t="inlineStr">
        <is>
          <t>—</t>
        </is>
      </c>
      <c r="BS59" s="241" t="inlineStr">
        <is>
          <t>—</t>
        </is>
      </c>
      <c r="BT59" s="241" t="inlineStr">
        <is>
          <t>—</t>
        </is>
      </c>
      <c r="BU59" s="241" t="inlineStr">
        <is>
          <t>—</t>
        </is>
      </c>
      <c r="BV59" s="241" t="inlineStr">
        <is>
          <t>—</t>
        </is>
      </c>
      <c r="BW59" s="241" t="inlineStr">
        <is>
          <t>—</t>
        </is>
      </c>
      <c r="BX59" s="241" t="inlineStr">
        <is>
          <t>—</t>
        </is>
      </c>
      <c r="BY59" s="241" t="inlineStr">
        <is>
          <t>—</t>
        </is>
      </c>
      <c r="BZ59" s="241" t="inlineStr">
        <is>
          <t>—</t>
        </is>
      </c>
      <c r="CA59" s="241" t="inlineStr">
        <is>
          <t>—</t>
        </is>
      </c>
      <c r="CB59" s="241" t="inlineStr">
        <is>
          <t>—</t>
        </is>
      </c>
      <c r="CC59" s="241" t="inlineStr">
        <is>
          <t>—</t>
        </is>
      </c>
      <c r="CD59" s="241" t="inlineStr">
        <is>
          <t>—</t>
        </is>
      </c>
      <c r="CE59" s="241" t="inlineStr">
        <is>
          <t>—</t>
        </is>
      </c>
      <c r="CF59" s="241" t="inlineStr">
        <is>
          <t>—</t>
        </is>
      </c>
      <c r="CG59" s="241" t="inlineStr">
        <is>
          <t>—</t>
        </is>
      </c>
      <c r="CH59" s="241" t="inlineStr">
        <is>
          <t>—</t>
        </is>
      </c>
      <c r="CI59" s="241" t="inlineStr">
        <is>
          <t>—</t>
        </is>
      </c>
      <c r="CJ59" s="241" t="inlineStr">
        <is>
          <t>—</t>
        </is>
      </c>
      <c r="CK59" s="241" t="inlineStr">
        <is>
          <t>—</t>
        </is>
      </c>
      <c r="CL59" s="241" t="inlineStr">
        <is>
          <t>—</t>
        </is>
      </c>
      <c r="CM59" s="241" t="inlineStr">
        <is>
          <t>—</t>
        </is>
      </c>
      <c r="CN59" s="243" t="n">
        <v>400</v>
      </c>
      <c r="CO59" s="241" t="inlineStr">
        <is>
          <t>—</t>
        </is>
      </c>
      <c r="CP59" s="241" t="inlineStr">
        <is>
          <t>—</t>
        </is>
      </c>
      <c r="CQ59" s="241" t="inlineStr">
        <is>
          <t>—</t>
        </is>
      </c>
      <c r="CR59" s="241" t="inlineStr">
        <is>
          <t>—</t>
        </is>
      </c>
      <c r="CS59" s="242" t="n">
        <v>3</v>
      </c>
      <c r="CT59" s="242" t="n">
        <v>25</v>
      </c>
      <c r="CU59" s="242" t="n">
        <v>15</v>
      </c>
      <c r="CV59" s="242" t="n">
        <v>10</v>
      </c>
    </row>
    <row r="60">
      <c r="B60" s="244" t="n"/>
      <c r="C60" s="244" t="inlineStr">
        <is>
          <t>TARGETS (DV/AI)</t>
        </is>
      </c>
      <c r="D60" s="244" t="n"/>
      <c r="E60" s="244" t="n"/>
      <c r="F60" s="244" t="n"/>
      <c r="G60" s="244" t="n"/>
      <c r="H60" s="245" t="n"/>
      <c r="I60" s="245" t="n"/>
      <c r="J60" s="245" t="n"/>
      <c r="K60" s="245" t="n"/>
      <c r="L60" s="245" t="n"/>
      <c r="M60" s="245" t="n"/>
      <c r="N60" s="244" t="n"/>
      <c r="O60" s="246" t="inlineStr">
        <is>
          <t>~3000</t>
        </is>
      </c>
      <c r="P60" s="246" t="inlineStr">
        <is>
          <t>180-200</t>
        </is>
      </c>
      <c r="Q60" s="246" t="inlineStr">
        <is>
          <t>27-30</t>
        </is>
      </c>
      <c r="R60" s="247" t="inlineStr">
        <is>
          <t>&lt;15</t>
        </is>
      </c>
      <c r="S60" s="246" t="inlineStr">
        <is>
          <t>90-100</t>
        </is>
      </c>
      <c r="T60" s="246" t="inlineStr">
        <is>
          <t>10-15</t>
        </is>
      </c>
      <c r="U60" s="246" t="inlineStr">
        <is>
          <t>30-40</t>
        </is>
      </c>
      <c r="V60" s="247" t="inlineStr">
        <is>
          <t>&lt;5</t>
        </is>
      </c>
      <c r="W60" s="246" t="inlineStr">
        <is>
          <t>~155</t>
        </is>
      </c>
      <c r="X60" s="248" t="inlineStr">
        <is>
          <t>&lt;22</t>
        </is>
      </c>
      <c r="Y60" s="247" t="inlineStr">
        <is>
          <t>40-70</t>
        </is>
      </c>
      <c r="Z60" s="246" t="inlineStr">
        <is>
          <t>12-22</t>
        </is>
      </c>
      <c r="AA60" s="248" t="inlineStr">
        <is>
          <t>1.6 AI</t>
        </is>
      </c>
      <c r="AB60" s="246" t="inlineStr">
        <is>
          <t>&lt;15</t>
        </is>
      </c>
      <c r="AC60" s="246" t="inlineStr">
        <is>
          <t>&lt;1</t>
        </is>
      </c>
      <c r="AD60" s="247" t="inlineStr">
        <is>
          <t>~210</t>
        </is>
      </c>
      <c r="AE60" s="246" t="inlineStr">
        <is>
          <t>&lt;100</t>
        </is>
      </c>
      <c r="AF60" s="245" t="inlineStr">
        <is>
          <t>0</t>
        </is>
      </c>
      <c r="AG60" s="246" t="inlineStr">
        <is>
          <t>70-110</t>
        </is>
      </c>
      <c r="AH60" s="247" t="inlineStr">
        <is>
          <t>28-38</t>
        </is>
      </c>
      <c r="AI60" s="246" t="inlineStr">
        <is>
          <t>~170</t>
        </is>
      </c>
      <c r="AJ60" s="246" t="inlineStr">
        <is>
          <t>550 AI</t>
        </is>
      </c>
      <c r="AK60" s="246" t="inlineStr">
        <is>
          <t>1000</t>
        </is>
      </c>
      <c r="AL60" s="247" t="inlineStr">
        <is>
          <t>420</t>
        </is>
      </c>
      <c r="AM60" s="246" t="inlineStr">
        <is>
          <t>2600 AI</t>
        </is>
      </c>
      <c r="AN60" s="246" t="inlineStr">
        <is>
          <t>700</t>
        </is>
      </c>
      <c r="AO60" s="247" t="inlineStr">
        <is>
          <t>1500 AI</t>
        </is>
      </c>
      <c r="AP60" s="248" t="inlineStr">
        <is>
          <t>45</t>
        </is>
      </c>
      <c r="AQ60" s="246" t="inlineStr">
        <is>
          <t>12.5</t>
        </is>
      </c>
      <c r="AR60" s="247" t="inlineStr">
        <is>
          <t>11</t>
        </is>
      </c>
      <c r="AS60" s="247" t="inlineStr">
        <is>
          <t>55</t>
        </is>
      </c>
      <c r="AT60" s="246" t="inlineStr">
        <is>
          <t>900</t>
        </is>
      </c>
      <c r="AU60" s="246" t="inlineStr">
        <is>
          <t>2.3</t>
        </is>
      </c>
      <c r="AV60" s="246" t="inlineStr">
        <is>
          <t>35</t>
        </is>
      </c>
      <c r="AW60" s="246" t="inlineStr">
        <is>
          <t>150</t>
        </is>
      </c>
      <c r="AX60" s="246" t="inlineStr">
        <is>
          <t>1-3</t>
        </is>
      </c>
      <c r="AY60" s="246" t="inlineStr">
        <is>
          <t>900</t>
        </is>
      </c>
      <c r="AZ60" s="246" t="inlineStr">
        <is>
          <t>90</t>
        </is>
      </c>
      <c r="BA60" s="246" t="inlineStr">
        <is>
          <t>15</t>
        </is>
      </c>
      <c r="BB60" s="246" t="inlineStr">
        <is>
          <t>15</t>
        </is>
      </c>
      <c r="BC60" s="246" t="inlineStr">
        <is>
          <t>120</t>
        </is>
      </c>
      <c r="BD60" s="246" t="inlineStr">
        <is>
          <t>90-120</t>
        </is>
      </c>
      <c r="BE60" s="246" t="inlineStr">
        <is>
          <t>90-120</t>
        </is>
      </c>
      <c r="BF60" s="246" t="inlineStr">
        <is>
          <t>1.2</t>
        </is>
      </c>
      <c r="BG60" s="246" t="inlineStr">
        <is>
          <t>1.3</t>
        </is>
      </c>
      <c r="BH60" s="247" t="inlineStr">
        <is>
          <t>16</t>
        </is>
      </c>
      <c r="BI60" s="246" t="inlineStr">
        <is>
          <t>1.3</t>
        </is>
      </c>
      <c r="BJ60" s="248" t="inlineStr">
        <is>
          <t>400</t>
        </is>
      </c>
      <c r="BK60" s="246" t="inlineStr">
        <is>
          <t>2.4</t>
        </is>
      </c>
      <c r="BL60" s="247" t="inlineStr">
        <is>
          <t>30</t>
        </is>
      </c>
      <c r="BM60" s="246" t="inlineStr">
        <is>
          <t>5</t>
        </is>
      </c>
      <c r="BN60" s="246" t="inlineStr">
        <is>
          <t>250+</t>
        </is>
      </c>
      <c r="BO60" s="246" t="inlineStr">
        <is>
          <t>250+</t>
        </is>
      </c>
      <c r="BP60" s="246" t="inlineStr">
        <is>
          <t>100-300</t>
        </is>
      </c>
      <c r="BQ60" s="246" t="inlineStr">
        <is>
          <t>100-300</t>
        </is>
      </c>
      <c r="BR60" s="246" t="inlineStr">
        <is>
          <t>200-600</t>
        </is>
      </c>
      <c r="BS60" s="246" t="inlineStr">
        <is>
          <t>50-150</t>
        </is>
      </c>
      <c r="BT60" s="246" t="inlineStr">
        <is>
          <t>50-200</t>
        </is>
      </c>
      <c r="BU60" s="246" t="inlineStr">
        <is>
          <t>5-10</t>
        </is>
      </c>
      <c r="BV60" s="247" t="inlineStr">
        <is>
          <t>100-500</t>
        </is>
      </c>
      <c r="BW60" s="248" t="inlineStr">
        <is>
          <t>10-25</t>
        </is>
      </c>
      <c r="BX60" s="246" t="inlineStr">
        <is>
          <t>6k-10k</t>
        </is>
      </c>
      <c r="BY60" s="246" t="inlineStr">
        <is>
          <t>2k-4k</t>
        </is>
      </c>
      <c r="BZ60" s="246" t="inlineStr">
        <is>
          <t>6-15</t>
        </is>
      </c>
      <c r="CA60" s="246" t="inlineStr">
        <is>
          <t>4-12</t>
        </is>
      </c>
      <c r="CB60" s="246" t="inlineStr">
        <is>
          <t>10-30</t>
        </is>
      </c>
      <c r="CC60" s="247" t="inlineStr">
        <is>
          <t>800-2k</t>
        </is>
      </c>
      <c r="CD60" s="246" t="inlineStr">
        <is>
          <t>300-500</t>
        </is>
      </c>
      <c r="CE60" s="246" t="inlineStr">
        <is>
          <t>1-5</t>
        </is>
      </c>
      <c r="CF60" s="246" t="inlineStr">
        <is>
          <t>3+/meal</t>
        </is>
      </c>
      <c r="CG60" s="246" t="inlineStr">
        <is>
          <t>10-15</t>
        </is>
      </c>
      <c r="CH60" s="246" t="inlineStr">
        <is>
          <t>3-5</t>
        </is>
      </c>
      <c r="CI60" s="246" t="inlineStr">
        <is>
          <t>500-2k</t>
        </is>
      </c>
      <c r="CJ60" s="246" t="inlineStr">
        <is>
          <t>100-200</t>
        </is>
      </c>
      <c r="CK60" s="246" t="inlineStr">
        <is>
          <t>3-5</t>
        </is>
      </c>
      <c r="CL60" s="246" t="inlineStr">
        <is>
          <t>N/A</t>
        </is>
      </c>
      <c r="CM60" s="246" t="inlineStr">
        <is>
          <t>N/A</t>
        </is>
      </c>
      <c r="CN60" s="246" t="inlineStr">
        <is>
          <t>&lt;200</t>
        </is>
      </c>
      <c r="CO60" s="246" t="inlineStr">
        <is>
          <t>**</t>
        </is>
      </c>
      <c r="CP60" s="246" t="inlineStr">
        <is>
          <t>**</t>
        </is>
      </c>
      <c r="CQ60" s="246" t="inlineStr">
        <is>
          <t>**</t>
        </is>
      </c>
      <c r="CR60" s="246" t="inlineStr">
        <is>
          <t>**</t>
        </is>
      </c>
      <c r="CS60" s="245" t="inlineStr">
        <is>
          <t>ALARA</t>
        </is>
      </c>
      <c r="CT60" s="245" t="inlineStr">
        <is>
          <t>ALARA</t>
        </is>
      </c>
      <c r="CU60" s="245" t="inlineStr">
        <is>
          <t>ALARA</t>
        </is>
      </c>
      <c r="CV60" s="245" t="inlineStr">
        <is>
          <t>ALARA</t>
        </is>
      </c>
    </row>
    <row r="61" ht="15" customHeight="1" s="160">
      <c r="C61" s="249" t="inlineStr">
        <is>
          <t>IDEAL DAILY INTAKE (active adult male, ~3000 kcal)</t>
        </is>
      </c>
      <c r="O61" s="319" t="n">
        <v>2800</v>
      </c>
      <c r="P61" s="319" t="n">
        <v>180</v>
      </c>
      <c r="Q61" s="320" t="n">
        <v>27</v>
      </c>
      <c r="R61" s="319" t="n">
        <v>15</v>
      </c>
      <c r="S61" s="319" t="n">
        <v>87</v>
      </c>
      <c r="T61" s="319" t="n">
        <v>13</v>
      </c>
      <c r="U61" s="321" t="n">
        <v>35</v>
      </c>
      <c r="W61" s="319" t="n">
        <v>135</v>
      </c>
      <c r="X61" s="320" t="n">
        <v>22</v>
      </c>
      <c r="Y61" s="319" t="n">
        <v>80</v>
      </c>
      <c r="Z61" s="320" t="n">
        <v>8</v>
      </c>
      <c r="AA61" s="319" t="n">
        <v>1.6</v>
      </c>
      <c r="AB61" s="320" t="n">
        <v>7</v>
      </c>
      <c r="AC61" s="252" t="n">
        <v>0</v>
      </c>
      <c r="AD61" s="320" t="n">
        <v>210</v>
      </c>
      <c r="AE61" s="320" t="n">
        <v>50</v>
      </c>
      <c r="AF61" s="252" t="n">
        <v>0</v>
      </c>
      <c r="AH61" s="320" t="n">
        <v>38</v>
      </c>
      <c r="AJ61" s="320" t="n">
        <v>550</v>
      </c>
      <c r="AK61" s="320" t="n">
        <v>1000</v>
      </c>
      <c r="AL61" s="320" t="n">
        <v>420</v>
      </c>
      <c r="AM61" s="320" t="n">
        <v>2600</v>
      </c>
      <c r="AN61" s="320" t="n">
        <v>700</v>
      </c>
      <c r="AO61" s="320" t="n">
        <v>1500</v>
      </c>
      <c r="AP61" s="320" t="n">
        <v>45</v>
      </c>
      <c r="AQ61" s="320" t="n">
        <v>12.5</v>
      </c>
      <c r="AR61" s="320" t="n">
        <v>27</v>
      </c>
      <c r="AS61" s="320" t="n">
        <v>200</v>
      </c>
      <c r="AT61" s="320" t="n">
        <v>1500</v>
      </c>
      <c r="AU61" s="320" t="n">
        <v>2.3</v>
      </c>
      <c r="AV61" s="320" t="n">
        <v>35</v>
      </c>
      <c r="AW61" s="320" t="n">
        <v>188</v>
      </c>
      <c r="AX61" s="320" t="n">
        <v>3</v>
      </c>
      <c r="AY61" s="320" t="n">
        <v>1200</v>
      </c>
      <c r="AZ61" s="321" t="n">
        <v>750</v>
      </c>
      <c r="BA61" s="319" t="n">
        <v>100</v>
      </c>
      <c r="BB61" s="319" t="n">
        <v>40</v>
      </c>
      <c r="BC61" s="320" t="n">
        <v>500</v>
      </c>
      <c r="BD61" s="320" t="n">
        <v>500</v>
      </c>
      <c r="BE61" s="319" t="n">
        <v>100</v>
      </c>
      <c r="BF61" s="320" t="n">
        <v>1.2</v>
      </c>
      <c r="BG61" s="320" t="n">
        <v>1.3</v>
      </c>
      <c r="BH61" s="320" t="n">
        <v>16</v>
      </c>
      <c r="BI61" s="320" t="n">
        <v>1.3</v>
      </c>
      <c r="BJ61" s="320" t="n">
        <v>600</v>
      </c>
      <c r="BK61" s="319" t="n">
        <v>600</v>
      </c>
      <c r="BL61" s="320" t="n">
        <v>30</v>
      </c>
      <c r="BM61" s="320" t="n">
        <v>5</v>
      </c>
      <c r="BN61" s="319" t="n">
        <v>1250</v>
      </c>
      <c r="BO61" s="319" t="n">
        <v>675</v>
      </c>
      <c r="BP61" s="319" t="n">
        <v>200</v>
      </c>
      <c r="BQ61" s="319" t="n">
        <v>200</v>
      </c>
      <c r="BR61" s="319" t="n">
        <v>125</v>
      </c>
      <c r="BS61" s="319" t="n">
        <v>100</v>
      </c>
      <c r="BT61" s="320" t="n">
        <v>100</v>
      </c>
      <c r="BU61" s="320" t="n">
        <v>7</v>
      </c>
      <c r="BV61" s="319" t="n">
        <v>30</v>
      </c>
      <c r="BW61" s="321" t="n">
        <v>5</v>
      </c>
      <c r="BX61" s="319" t="n">
        <v>10000</v>
      </c>
      <c r="BY61" s="320" t="n">
        <v>3000</v>
      </c>
      <c r="BZ61" s="319" t="n">
        <v>10</v>
      </c>
      <c r="CA61" s="320" t="n">
        <v>8</v>
      </c>
      <c r="CB61" s="320" t="n">
        <v>20</v>
      </c>
      <c r="CC61" s="319" t="n">
        <v>800</v>
      </c>
      <c r="CD61" s="320" t="n">
        <v>400</v>
      </c>
      <c r="CE61" s="320" t="n">
        <v>3</v>
      </c>
      <c r="CF61" s="320" t="n">
        <v>3</v>
      </c>
      <c r="CG61" s="319" t="n">
        <v>13</v>
      </c>
      <c r="CH61" s="320" t="n">
        <v>5</v>
      </c>
      <c r="CI61" s="319" t="n">
        <v>1500</v>
      </c>
      <c r="CJ61" s="319" t="n">
        <v>100</v>
      </c>
      <c r="CK61" s="319" t="n">
        <v>5</v>
      </c>
      <c r="CL61" s="319" t="n">
        <v>5</v>
      </c>
      <c r="CM61" s="319" t="n">
        <v>50</v>
      </c>
      <c r="CN61" s="252" t="n">
        <v>0</v>
      </c>
    </row>
    <row r="62" ht="15" customHeight="1" s="160">
      <c r="A62" s="254" t="n"/>
      <c r="B62" s="254" t="n"/>
      <c r="J62" s="254" t="n"/>
      <c r="T62" s="254" t="n"/>
      <c r="U62" s="254" t="n"/>
      <c r="V62" s="254" t="n"/>
      <c r="W62" s="254" t="n"/>
      <c r="X62" s="254" t="n"/>
      <c r="Y62" s="254" t="n"/>
      <c r="Z62" s="254" t="n"/>
      <c r="AA62" s="254" t="n"/>
      <c r="AB62" s="254" t="n"/>
      <c r="AC62" s="254" t="n"/>
      <c r="AD62" s="254" t="n"/>
      <c r="AE62" s="254" t="n"/>
      <c r="AF62" s="254" t="n"/>
      <c r="AG62" s="254" t="n"/>
      <c r="AH62" s="254" t="n"/>
      <c r="AI62" s="254" t="n"/>
      <c r="AJ62" s="254" t="n"/>
      <c r="AK62" s="254" t="n"/>
      <c r="AL62" s="254" t="n"/>
      <c r="AM62" s="254" t="n"/>
      <c r="AN62" s="254" t="n"/>
      <c r="AO62" s="254" t="n"/>
      <c r="AP62" s="254" t="n"/>
      <c r="AQ62" s="254" t="n"/>
      <c r="AR62" s="254" t="n"/>
      <c r="AS62" s="254" t="n"/>
      <c r="AT62" s="254" t="n"/>
      <c r="AU62" s="254" t="n"/>
      <c r="AV62" s="254" t="n"/>
      <c r="AW62" s="254" t="n"/>
      <c r="AX62" s="254" t="n"/>
      <c r="AY62" s="254" t="n"/>
      <c r="AZ62" s="254" t="n"/>
      <c r="BA62" s="254" t="n"/>
      <c r="BB62" s="254" t="n"/>
      <c r="BC62" s="254" t="n"/>
      <c r="BD62" s="254" t="n"/>
      <c r="BE62" s="254" t="n"/>
      <c r="BF62" s="254" t="n"/>
      <c r="BG62" s="254" t="n"/>
      <c r="BH62" s="254" t="n"/>
      <c r="BI62" s="254" t="n"/>
      <c r="BJ62" s="254" t="n"/>
      <c r="BK62" s="254" t="n"/>
      <c r="BL62" s="254" t="n"/>
      <c r="BM62" s="254" t="n"/>
      <c r="BN62" s="254" t="n"/>
      <c r="BO62" s="254" t="n"/>
      <c r="BP62" s="254" t="n"/>
      <c r="BQ62" s="254" t="n"/>
      <c r="BR62" s="254" t="n"/>
      <c r="BS62" s="254" t="n"/>
      <c r="BT62" s="254" t="n"/>
      <c r="BU62" s="254" t="n"/>
      <c r="BV62" s="254" t="n"/>
      <c r="BW62" s="254" t="n"/>
      <c r="BX62" s="254" t="n"/>
      <c r="BY62" s="254" t="n"/>
      <c r="BZ62" s="254" t="n"/>
      <c r="CA62" s="254" t="n"/>
      <c r="CB62" s="254" t="n"/>
      <c r="CC62" s="254" t="n"/>
      <c r="CD62" s="254" t="n"/>
      <c r="CE62" s="254" t="n"/>
      <c r="CF62" s="254" t="n"/>
      <c r="CG62" s="254" t="n"/>
      <c r="CH62" s="254" t="n"/>
      <c r="CI62" s="254" t="n"/>
      <c r="CJ62" s="254" t="n"/>
      <c r="CK62" s="254" t="n"/>
      <c r="CL62" s="254" t="n"/>
      <c r="CM62" s="254" t="n"/>
      <c r="CN62" s="254" t="n"/>
      <c r="CO62" s="254" t="n"/>
      <c r="CP62" s="254" t="n"/>
      <c r="CQ62" s="254" t="n"/>
      <c r="CR62" s="254" t="n"/>
      <c r="CS62" s="254" t="n"/>
      <c r="CT62" s="254" t="n"/>
      <c r="CU62" s="254" t="n"/>
      <c r="CV62" s="254" t="n"/>
      <c r="CW62" s="254" t="n"/>
      <c r="CX62" s="254" t="n"/>
      <c r="CY62" s="254" t="n"/>
      <c r="CZ62" s="254" t="n"/>
    </row>
    <row r="63" ht="15" customHeight="1" s="160">
      <c r="A63" s="254" t="n"/>
      <c r="B63" s="255" t="inlineStr">
        <is>
          <t>CELL FILL — STATUS FLAGS</t>
        </is>
      </c>
      <c r="C63" s="256" t="n"/>
      <c r="D63" s="256" t="n"/>
      <c r="E63" s="256" t="n"/>
      <c r="F63" s="256" t="n"/>
      <c r="G63" s="256" t="n"/>
      <c r="H63" s="256" t="n"/>
      <c r="I63" s="257" t="n"/>
      <c r="J63" s="254" t="n"/>
      <c r="T63" s="254" t="n"/>
      <c r="U63" s="254" t="n"/>
      <c r="V63" s="254" t="n"/>
      <c r="W63" s="254" t="n"/>
      <c r="X63" s="254" t="n"/>
      <c r="Y63" s="254" t="n"/>
      <c r="Z63" s="254" t="n"/>
      <c r="AA63" s="254" t="n"/>
      <c r="AB63" s="254" t="n"/>
      <c r="AC63" s="254" t="n"/>
      <c r="AD63" s="254" t="n"/>
      <c r="AE63" s="254" t="n"/>
      <c r="AF63" s="254" t="n"/>
      <c r="AG63" s="254" t="n"/>
      <c r="AH63" s="254" t="n"/>
      <c r="AI63" s="254" t="n"/>
      <c r="AJ63" s="254" t="n"/>
      <c r="AK63" s="254" t="n"/>
      <c r="AL63" s="254" t="n"/>
      <c r="AM63" s="254" t="n"/>
      <c r="AN63" s="254" t="n"/>
      <c r="AO63" s="254" t="n"/>
      <c r="AP63" s="254" t="n"/>
      <c r="AQ63" s="254" t="n"/>
      <c r="AR63" s="254" t="n"/>
      <c r="AS63" s="254" t="n"/>
      <c r="AT63" s="254" t="n"/>
      <c r="AU63" s="254" t="n"/>
      <c r="AV63" s="254" t="n"/>
      <c r="AW63" s="254" t="n"/>
      <c r="AX63" s="254" t="n"/>
      <c r="AY63" s="254" t="n"/>
      <c r="AZ63" s="254" t="n"/>
      <c r="BA63" s="254" t="n"/>
      <c r="BB63" s="254" t="n"/>
      <c r="BC63" s="254" t="n"/>
      <c r="BD63" s="254" t="n"/>
      <c r="BE63" s="254" t="n"/>
      <c r="BF63" s="254" t="n"/>
      <c r="BG63" s="254" t="n"/>
      <c r="BH63" s="254" t="n"/>
      <c r="BI63" s="254" t="n"/>
      <c r="BJ63" s="254" t="n"/>
      <c r="BK63" s="254" t="n"/>
      <c r="BL63" s="254" t="n"/>
      <c r="BM63" s="254" t="n"/>
      <c r="BN63" s="254" t="n"/>
      <c r="BO63" s="254" t="n"/>
      <c r="BP63" s="254" t="n"/>
      <c r="BQ63" s="254" t="n"/>
      <c r="BR63" s="254" t="n"/>
      <c r="BS63" s="254" t="n"/>
      <c r="BT63" s="254" t="n"/>
      <c r="BU63" s="254" t="n"/>
      <c r="BV63" s="254" t="n"/>
      <c r="BW63" s="254" t="n"/>
      <c r="BX63" s="254" t="n"/>
      <c r="BY63" s="254" t="n"/>
      <c r="BZ63" s="254" t="n"/>
      <c r="CA63" s="254" t="n"/>
      <c r="CB63" s="254" t="n"/>
      <c r="CC63" s="254" t="n"/>
      <c r="CD63" s="254" t="n"/>
      <c r="CE63" s="254" t="n"/>
      <c r="CF63" s="254" t="n"/>
      <c r="CG63" s="254" t="n"/>
      <c r="CH63" s="254" t="n"/>
      <c r="CI63" s="254" t="n"/>
      <c r="CJ63" s="254" t="n"/>
      <c r="CK63" s="254" t="n"/>
      <c r="CL63" s="254" t="n"/>
      <c r="CM63" s="254" t="n"/>
      <c r="CN63" s="254" t="n"/>
      <c r="CO63" s="254" t="n"/>
      <c r="CP63" s="254" t="n"/>
      <c r="CQ63" s="254" t="n"/>
      <c r="CR63" s="254" t="n"/>
      <c r="CS63" s="254" t="n"/>
      <c r="CT63" s="254" t="n"/>
      <c r="CU63" s="254" t="n"/>
      <c r="CV63" s="254" t="n"/>
      <c r="CW63" s="254" t="n"/>
      <c r="CX63" s="254" t="n"/>
      <c r="CY63" s="254" t="n"/>
      <c r="CZ63" s="254" t="n"/>
    </row>
    <row r="64" ht="15" customHeight="1" s="160">
      <c r="A64" s="254" t="n"/>
      <c r="B64" s="258" t="inlineStr">
        <is>
          <t>Unknown — value could not be verified from any source. Cell text = "Unknown" (compound present but unquantified) or "unverifiable" (presence undetermined).</t>
        </is>
      </c>
      <c r="C64" s="256" t="n"/>
      <c r="D64" s="256" t="n"/>
      <c r="E64" s="256" t="n"/>
      <c r="F64" s="256" t="n"/>
      <c r="G64" s="256" t="n"/>
      <c r="H64" s="256" t="n"/>
      <c r="I64" s="257" t="n"/>
      <c r="J64" s="254" t="n"/>
      <c r="T64" s="254" t="n"/>
      <c r="U64" s="254" t="n"/>
      <c r="V64" s="254" t="n"/>
      <c r="W64" s="254" t="n"/>
      <c r="X64" s="254" t="n"/>
      <c r="Y64" s="254" t="n"/>
      <c r="Z64" s="254" t="n"/>
      <c r="AA64" s="254" t="n"/>
      <c r="AB64" s="254" t="n"/>
      <c r="AC64" s="254" t="n"/>
      <c r="AD64" s="254" t="n"/>
      <c r="AE64" s="254" t="n"/>
      <c r="AF64" s="254" t="n"/>
      <c r="AG64" s="254" t="n"/>
      <c r="AH64" s="254" t="n"/>
      <c r="AI64" s="254" t="n"/>
      <c r="AJ64" s="254" t="n"/>
      <c r="AK64" s="254" t="n"/>
      <c r="AL64" s="254" t="n"/>
      <c r="AM64" s="254" t="n"/>
      <c r="AN64" s="254" t="n"/>
      <c r="AO64" s="254" t="n"/>
      <c r="AP64" s="254" t="n"/>
      <c r="AQ64" s="254" t="n"/>
      <c r="AR64" s="254" t="n"/>
      <c r="AS64" s="254" t="n"/>
      <c r="AT64" s="254" t="n"/>
      <c r="AU64" s="254" t="n"/>
      <c r="AV64" s="254" t="n"/>
      <c r="AW64" s="254" t="n"/>
      <c r="AX64" s="254" t="n"/>
      <c r="AY64" s="254" t="n"/>
      <c r="AZ64" s="254" t="n"/>
      <c r="BA64" s="254" t="n"/>
      <c r="BB64" s="254" t="n"/>
      <c r="BC64" s="254" t="n"/>
      <c r="BD64" s="254" t="n"/>
      <c r="BE64" s="254" t="n"/>
      <c r="BF64" s="254" t="n"/>
      <c r="BG64" s="254" t="n"/>
      <c r="BH64" s="254" t="n"/>
      <c r="BI64" s="254" t="n"/>
      <c r="BJ64" s="254" t="n"/>
      <c r="BK64" s="254" t="n"/>
      <c r="BL64" s="254" t="n"/>
      <c r="BM64" s="254" t="n"/>
      <c r="BN64" s="254" t="n"/>
      <c r="BO64" s="254" t="n"/>
      <c r="BP64" s="254" t="n"/>
      <c r="BQ64" s="254" t="n"/>
      <c r="BR64" s="254" t="n"/>
      <c r="BS64" s="254" t="n"/>
      <c r="BT64" s="254" t="n"/>
      <c r="BU64" s="254" t="n"/>
      <c r="BV64" s="254" t="n"/>
      <c r="BW64" s="254" t="n"/>
      <c r="BX64" s="254" t="n"/>
      <c r="BY64" s="254" t="n"/>
      <c r="BZ64" s="254" t="n"/>
      <c r="CA64" s="254" t="n"/>
      <c r="CB64" s="254" t="n"/>
      <c r="CC64" s="254" t="n"/>
      <c r="CD64" s="254" t="n"/>
      <c r="CE64" s="254" t="n"/>
      <c r="CF64" s="254" t="n"/>
      <c r="CG64" s="254" t="n"/>
      <c r="CH64" s="254" t="n"/>
      <c r="CI64" s="254" t="n"/>
      <c r="CJ64" s="254" t="n"/>
      <c r="CK64" s="254" t="n"/>
      <c r="CL64" s="254" t="n"/>
      <c r="CM64" s="254" t="n"/>
      <c r="CN64" s="254" t="n"/>
      <c r="CO64" s="254" t="n"/>
      <c r="CP64" s="254" t="n"/>
      <c r="CQ64" s="254" t="n"/>
      <c r="CR64" s="254" t="n"/>
      <c r="CS64" s="254" t="n"/>
      <c r="CT64" s="254" t="n"/>
      <c r="CU64" s="254" t="n"/>
      <c r="CV64" s="254" t="n"/>
      <c r="CW64" s="254" t="n"/>
      <c r="CX64" s="254" t="n"/>
      <c r="CY64" s="254" t="n"/>
      <c r="CZ64" s="254" t="n"/>
    </row>
    <row r="65" ht="15" customHeight="1" s="160">
      <c r="A65" s="254" t="n"/>
      <c r="B65" s="259" t="inlineStr">
        <is>
          <t>Trace — sub-threshold but non-zero. Do NOT round to 0.</t>
        </is>
      </c>
      <c r="C65" s="256" t="n"/>
      <c r="D65" s="256" t="n"/>
      <c r="E65" s="256" t="n"/>
      <c r="F65" s="256" t="n"/>
      <c r="G65" s="256" t="n"/>
      <c r="H65" s="256" t="n"/>
      <c r="I65" s="257" t="n"/>
      <c r="J65" s="254" t="n"/>
      <c r="T65" s="254" t="n"/>
      <c r="U65" s="254" t="n"/>
      <c r="V65" s="254" t="n"/>
      <c r="W65" s="254" t="n"/>
      <c r="X65" s="254" t="n"/>
      <c r="Y65" s="254" t="n"/>
      <c r="Z65" s="254" t="n"/>
      <c r="AA65" s="254" t="n"/>
      <c r="AB65" s="254" t="n"/>
      <c r="AC65" s="254" t="n"/>
      <c r="AD65" s="254" t="n"/>
      <c r="AE65" s="254" t="n"/>
      <c r="AF65" s="254" t="n"/>
      <c r="AG65" s="254" t="n"/>
      <c r="AH65" s="254" t="n"/>
      <c r="AI65" s="254" t="n"/>
      <c r="AJ65" s="254" t="n"/>
      <c r="AK65" s="254" t="n"/>
      <c r="AL65" s="254" t="n"/>
      <c r="AM65" s="254" t="n"/>
      <c r="AN65" s="254" t="n"/>
      <c r="AO65" s="254" t="n"/>
      <c r="AP65" s="254" t="n"/>
      <c r="AQ65" s="254" t="n"/>
      <c r="AR65" s="254" t="n"/>
      <c r="AS65" s="254" t="n"/>
      <c r="AT65" s="254" t="n"/>
      <c r="AU65" s="254" t="n"/>
      <c r="AV65" s="254" t="n"/>
      <c r="AW65" s="254" t="n"/>
      <c r="AX65" s="254" t="n"/>
      <c r="AY65" s="254" t="n"/>
      <c r="AZ65" s="254" t="n"/>
      <c r="BA65" s="254" t="n"/>
      <c r="BB65" s="254" t="n"/>
      <c r="BC65" s="254" t="n"/>
      <c r="BD65" s="254" t="n"/>
      <c r="BE65" s="254" t="n"/>
      <c r="BF65" s="254" t="n"/>
      <c r="BG65" s="254" t="n"/>
      <c r="BH65" s="254" t="n"/>
      <c r="BI65" s="254" t="n"/>
      <c r="BJ65" s="254" t="n"/>
      <c r="BK65" s="254" t="n"/>
      <c r="BL65" s="254" t="n"/>
      <c r="BM65" s="254" t="n"/>
      <c r="BN65" s="254" t="n"/>
      <c r="BO65" s="254" t="n"/>
      <c r="BP65" s="254" t="n"/>
      <c r="BQ65" s="254" t="n"/>
      <c r="BR65" s="254" t="n"/>
      <c r="BS65" s="254" t="n"/>
      <c r="BT65" s="254" t="n"/>
      <c r="BU65" s="254" t="n"/>
      <c r="BV65" s="254" t="n"/>
      <c r="BW65" s="254" t="n"/>
      <c r="BX65" s="254" t="n"/>
      <c r="BY65" s="254" t="n"/>
      <c r="BZ65" s="254" t="n"/>
      <c r="CA65" s="254" t="n"/>
      <c r="CB65" s="254" t="n"/>
      <c r="CC65" s="254" t="n"/>
      <c r="CD65" s="254" t="n"/>
      <c r="CE65" s="254" t="n"/>
      <c r="CF65" s="254" t="n"/>
      <c r="CG65" s="254" t="n"/>
      <c r="CH65" s="254" t="n"/>
      <c r="CI65" s="254" t="n"/>
      <c r="CJ65" s="254" t="n"/>
      <c r="CK65" s="254" t="n"/>
      <c r="CL65" s="254" t="n"/>
      <c r="CM65" s="254" t="n"/>
      <c r="CN65" s="254" t="n"/>
      <c r="CO65" s="254" t="n"/>
      <c r="CP65" s="254" t="n"/>
      <c r="CQ65" s="254" t="n"/>
      <c r="CR65" s="254" t="n"/>
      <c r="CS65" s="254" t="n"/>
      <c r="CT65" s="254" t="n"/>
      <c r="CU65" s="254" t="n"/>
      <c r="CV65" s="254" t="n"/>
      <c r="CW65" s="254" t="n"/>
      <c r="CX65" s="254" t="n"/>
      <c r="CY65" s="254" t="n"/>
      <c r="CZ65" s="254" t="n"/>
    </row>
    <row r="66" ht="19.5" customHeight="1" s="160">
      <c r="A66" s="254" t="n"/>
      <c r="B66" s="260" t="n"/>
      <c r="C66" s="256" t="n"/>
      <c r="D66" s="256" t="n"/>
      <c r="E66" s="256" t="n"/>
      <c r="F66" s="256" t="n"/>
      <c r="G66" s="256" t="n"/>
      <c r="H66" s="256" t="n"/>
      <c r="I66" s="257" t="n"/>
      <c r="J66" s="254" t="n"/>
      <c r="T66" s="254" t="n"/>
      <c r="U66" s="254" t="n"/>
      <c r="V66" s="254" t="n"/>
      <c r="W66" s="254" t="n"/>
      <c r="X66" s="254" t="n"/>
      <c r="Y66" s="254" t="n"/>
      <c r="Z66" s="254" t="n"/>
      <c r="AA66" s="254" t="n"/>
      <c r="AB66" s="254" t="n"/>
      <c r="AC66" s="254" t="n"/>
      <c r="AD66" s="254" t="n"/>
      <c r="AE66" s="254" t="n"/>
      <c r="AF66" s="254" t="n"/>
      <c r="AG66" s="254" t="n"/>
      <c r="AH66" s="254" t="n"/>
      <c r="AI66" s="254" t="n"/>
      <c r="AJ66" s="254" t="n"/>
      <c r="AK66" s="254" t="n"/>
      <c r="AL66" s="254" t="n"/>
      <c r="AM66" s="254" t="n"/>
      <c r="AN66" s="254" t="n"/>
      <c r="AO66" s="254" t="n"/>
      <c r="AP66" s="254" t="n"/>
      <c r="AQ66" s="254" t="n"/>
      <c r="AR66" s="254" t="n"/>
      <c r="AS66" s="254" t="n"/>
      <c r="AT66" s="254" t="n"/>
      <c r="AU66" s="254" t="n"/>
      <c r="AV66" s="254" t="n"/>
      <c r="AW66" s="254" t="n"/>
      <c r="AX66" s="254" t="n"/>
      <c r="AY66" s="254" t="n"/>
      <c r="AZ66" s="254" t="n"/>
      <c r="BA66" s="254" t="n"/>
      <c r="BB66" s="254" t="n"/>
      <c r="BC66" s="254" t="n"/>
      <c r="BD66" s="254" t="n"/>
      <c r="BE66" s="254" t="n"/>
      <c r="BF66" s="254" t="n"/>
      <c r="BG66" s="254" t="n"/>
      <c r="BH66" s="254" t="n"/>
      <c r="BI66" s="254" t="n"/>
      <c r="BJ66" s="254" t="n"/>
      <c r="BK66" s="254" t="n"/>
      <c r="BL66" s="254" t="n"/>
      <c r="BM66" s="254" t="n"/>
      <c r="BN66" s="254" t="n"/>
      <c r="BO66" s="254" t="n"/>
      <c r="BP66" s="254" t="n"/>
      <c r="BQ66" s="254" t="n"/>
      <c r="BR66" s="254" t="n"/>
      <c r="BS66" s="254" t="n"/>
      <c r="BT66" s="254" t="n"/>
      <c r="BU66" s="254" t="n"/>
      <c r="BV66" s="254" t="n"/>
      <c r="BW66" s="254" t="n"/>
      <c r="BX66" s="254" t="n"/>
      <c r="BY66" s="254" t="n"/>
      <c r="BZ66" s="254" t="n"/>
      <c r="CA66" s="254" t="n"/>
      <c r="CB66" s="254" t="n"/>
      <c r="CC66" s="254" t="n"/>
      <c r="CD66" s="254" t="n"/>
      <c r="CE66" s="254" t="n"/>
      <c r="CF66" s="254" t="n"/>
      <c r="CG66" s="254" t="n"/>
      <c r="CH66" s="254" t="n"/>
      <c r="CI66" s="254" t="n"/>
      <c r="CJ66" s="254" t="n"/>
      <c r="CK66" s="254" t="n"/>
      <c r="CL66" s="254" t="n"/>
      <c r="CM66" s="254" t="n"/>
      <c r="CN66" s="254" t="n"/>
      <c r="CO66" s="254" t="n"/>
      <c r="CP66" s="254" t="n"/>
      <c r="CQ66" s="254" t="n"/>
      <c r="CR66" s="254" t="n"/>
      <c r="CS66" s="254" t="n"/>
      <c r="CT66" s="254" t="n"/>
      <c r="CU66" s="254" t="n"/>
      <c r="CV66" s="254" t="n"/>
      <c r="CW66" s="254" t="n"/>
      <c r="CX66" s="254" t="n"/>
      <c r="CY66" s="254" t="n"/>
      <c r="CZ66" s="254" t="n"/>
    </row>
    <row r="67" ht="15" customHeight="1" s="160">
      <c r="A67" s="254" t="n"/>
      <c r="B67" s="261" t="n"/>
      <c r="C67" s="256" t="n"/>
      <c r="D67" s="256" t="n"/>
      <c r="E67" s="256" t="n"/>
      <c r="F67" s="256" t="n"/>
      <c r="G67" s="256" t="n"/>
      <c r="H67" s="256" t="n"/>
      <c r="I67" s="257" t="n"/>
      <c r="J67" s="254" t="n"/>
      <c r="T67" s="254" t="n"/>
      <c r="U67" s="254" t="n"/>
      <c r="V67" s="254" t="n"/>
      <c r="W67" s="254" t="n"/>
      <c r="X67" s="254" t="n"/>
      <c r="Y67" s="254" t="n"/>
      <c r="Z67" s="254" t="n"/>
      <c r="AA67" s="254" t="n"/>
      <c r="AB67" s="254" t="n"/>
      <c r="AC67" s="254" t="n"/>
      <c r="AD67" s="254" t="n"/>
      <c r="AE67" s="254" t="n"/>
      <c r="AF67" s="254" t="n"/>
      <c r="AG67" s="254" t="n"/>
      <c r="AH67" s="254" t="n"/>
      <c r="AI67" s="254" t="n"/>
      <c r="AJ67" s="254" t="n"/>
      <c r="AK67" s="254" t="n"/>
      <c r="AL67" s="254" t="n"/>
      <c r="AM67" s="254" t="n"/>
      <c r="AN67" s="254" t="n"/>
      <c r="AO67" s="254" t="n"/>
      <c r="AP67" s="254" t="n"/>
      <c r="AQ67" s="254" t="n"/>
      <c r="AR67" s="254" t="n"/>
      <c r="AS67" s="254" t="n"/>
      <c r="AT67" s="254" t="n"/>
      <c r="AU67" s="254" t="n"/>
      <c r="AV67" s="254" t="n"/>
      <c r="AW67" s="254" t="n"/>
      <c r="AX67" s="254" t="n"/>
      <c r="AY67" s="254" t="n"/>
      <c r="AZ67" s="254" t="n"/>
      <c r="BA67" s="254" t="n"/>
      <c r="BB67" s="254" t="n"/>
      <c r="BC67" s="254" t="n"/>
      <c r="BD67" s="254" t="n"/>
      <c r="BE67" s="254" t="n"/>
      <c r="BF67" s="254" t="n"/>
      <c r="BG67" s="254" t="n"/>
      <c r="BH67" s="254" t="n"/>
      <c r="BI67" s="254" t="n"/>
      <c r="BJ67" s="254" t="n"/>
      <c r="BK67" s="254" t="n"/>
      <c r="BL67" s="254" t="n"/>
      <c r="BM67" s="254" t="n"/>
      <c r="BN67" s="254" t="n"/>
      <c r="BO67" s="254" t="n"/>
      <c r="BP67" s="254" t="n"/>
      <c r="BQ67" s="254" t="n"/>
      <c r="BR67" s="254" t="n"/>
      <c r="BS67" s="254" t="n"/>
      <c r="BT67" s="254" t="n"/>
      <c r="BU67" s="254" t="n"/>
      <c r="BV67" s="254" t="n"/>
      <c r="BW67" s="254" t="n"/>
      <c r="BX67" s="254" t="n"/>
      <c r="BY67" s="254" t="n"/>
      <c r="BZ67" s="254" t="n"/>
      <c r="CA67" s="254" t="n"/>
      <c r="CB67" s="254" t="n"/>
      <c r="CC67" s="254" t="n"/>
      <c r="CD67" s="254" t="n"/>
      <c r="CE67" s="254" t="n"/>
      <c r="CF67" s="254" t="n"/>
      <c r="CG67" s="254" t="n"/>
      <c r="CH67" s="254" t="n"/>
      <c r="CI67" s="254" t="n"/>
      <c r="CJ67" s="254" t="n"/>
      <c r="CK67" s="254" t="n"/>
      <c r="CL67" s="254" t="n"/>
      <c r="CM67" s="254" t="n"/>
      <c r="CN67" s="254" t="n"/>
      <c r="CO67" s="254" t="n"/>
      <c r="CP67" s="254" t="n"/>
      <c r="CQ67" s="254" t="n"/>
      <c r="CR67" s="254" t="n"/>
      <c r="CS67" s="254" t="n"/>
      <c r="CT67" s="254" t="n"/>
      <c r="CU67" s="254" t="n"/>
      <c r="CV67" s="254" t="n"/>
      <c r="CW67" s="254" t="n"/>
      <c r="CX67" s="254" t="n"/>
      <c r="CY67" s="254" t="n"/>
      <c r="CZ67" s="254" t="n"/>
    </row>
    <row r="68" ht="15" customHeight="1" s="160">
      <c r="A68" s="254" t="n"/>
      <c r="B68" s="261" t="n"/>
      <c r="C68" s="256" t="n"/>
      <c r="D68" s="256" t="n"/>
      <c r="E68" s="256" t="n"/>
      <c r="F68" s="256" t="n"/>
      <c r="G68" s="256" t="n"/>
      <c r="H68" s="256" t="n"/>
      <c r="I68" s="257" t="n"/>
      <c r="J68" s="254" t="n"/>
      <c r="T68" s="254" t="n"/>
      <c r="U68" s="254" t="n"/>
      <c r="V68" s="254" t="n"/>
      <c r="W68" s="254" t="n"/>
      <c r="X68" s="254" t="n"/>
      <c r="Y68" s="254" t="n"/>
      <c r="Z68" s="254" t="n"/>
      <c r="AA68" s="254" t="n"/>
      <c r="AB68" s="254" t="n"/>
      <c r="AC68" s="254" t="n"/>
      <c r="AD68" s="254" t="n"/>
      <c r="AE68" s="254" t="n"/>
      <c r="AF68" s="254" t="n"/>
      <c r="AG68" s="254" t="n"/>
      <c r="AH68" s="254" t="n"/>
      <c r="AI68" s="254" t="n"/>
      <c r="AJ68" s="254" t="n"/>
      <c r="AK68" s="254" t="n"/>
      <c r="AL68" s="254" t="n"/>
      <c r="AM68" s="254" t="n"/>
      <c r="AN68" s="254" t="n"/>
      <c r="AO68" s="254" t="n"/>
      <c r="AP68" s="254" t="n"/>
      <c r="AQ68" s="254" t="n"/>
      <c r="AR68" s="254" t="n"/>
      <c r="AS68" s="254" t="n"/>
      <c r="AT68" s="254" t="n"/>
      <c r="AU68" s="254" t="n"/>
      <c r="AV68" s="254" t="n"/>
      <c r="AW68" s="254" t="n"/>
      <c r="AX68" s="254" t="n"/>
      <c r="AY68" s="254" t="n"/>
      <c r="AZ68" s="254" t="n"/>
      <c r="BA68" s="254" t="n"/>
      <c r="BB68" s="254" t="n"/>
      <c r="BC68" s="254" t="n"/>
      <c r="BD68" s="254" t="n"/>
      <c r="BE68" s="254" t="n"/>
      <c r="BF68" s="254" t="n"/>
      <c r="BG68" s="254" t="n"/>
      <c r="BH68" s="254" t="n"/>
      <c r="BI68" s="254" t="n"/>
      <c r="BJ68" s="254" t="n"/>
      <c r="BK68" s="254" t="n"/>
      <c r="BL68" s="254" t="n"/>
      <c r="BM68" s="254" t="n"/>
      <c r="BN68" s="254" t="n"/>
      <c r="BO68" s="254" t="n"/>
      <c r="BP68" s="254" t="n"/>
      <c r="BQ68" s="254" t="n"/>
      <c r="BR68" s="254" t="n"/>
      <c r="BS68" s="254" t="n"/>
      <c r="BT68" s="254" t="n"/>
      <c r="BU68" s="254" t="n"/>
      <c r="BV68" s="254" t="n"/>
      <c r="BW68" s="254" t="n"/>
      <c r="BX68" s="254" t="n"/>
      <c r="BY68" s="254" t="n"/>
      <c r="BZ68" s="254" t="n"/>
      <c r="CA68" s="254" t="n"/>
      <c r="CB68" s="254" t="n"/>
      <c r="CC68" s="254" t="n"/>
      <c r="CD68" s="254" t="n"/>
      <c r="CE68" s="254" t="n"/>
      <c r="CF68" s="254" t="n"/>
      <c r="CG68" s="254" t="n"/>
      <c r="CH68" s="254" t="n"/>
      <c r="CI68" s="254" t="n"/>
      <c r="CJ68" s="254" t="n"/>
      <c r="CK68" s="254" t="n"/>
      <c r="CL68" s="254" t="n"/>
      <c r="CM68" s="254" t="n"/>
      <c r="CN68" s="254" t="n"/>
      <c r="CO68" s="254" t="n"/>
      <c r="CP68" s="254" t="n"/>
      <c r="CQ68" s="254" t="n"/>
      <c r="CR68" s="254" t="n"/>
      <c r="CS68" s="254" t="n"/>
      <c r="CT68" s="254" t="n"/>
      <c r="CU68" s="254" t="n"/>
      <c r="CV68" s="254" t="n"/>
      <c r="CW68" s="254" t="n"/>
      <c r="CX68" s="254" t="n"/>
      <c r="CY68" s="254" t="n"/>
      <c r="CZ68" s="254" t="n"/>
    </row>
    <row r="69" ht="15" customHeight="1" s="160">
      <c r="A69" s="254" t="n"/>
      <c r="B69" s="254" t="n"/>
      <c r="J69" s="254" t="n"/>
      <c r="T69" s="254" t="n"/>
      <c r="U69" s="254" t="n"/>
      <c r="V69" s="254" t="n"/>
      <c r="W69" s="254" t="n"/>
      <c r="X69" s="254" t="n"/>
      <c r="Y69" s="254" t="n"/>
      <c r="Z69" s="254" t="n"/>
      <c r="AA69" s="254" t="n"/>
      <c r="AB69" s="254" t="n"/>
      <c r="AC69" s="254" t="n"/>
      <c r="AD69" s="254" t="n"/>
      <c r="AE69" s="254" t="n"/>
      <c r="AF69" s="254" t="n"/>
      <c r="AG69" s="254" t="n"/>
      <c r="AH69" s="254" t="n"/>
      <c r="AI69" s="254" t="n"/>
      <c r="AJ69" s="254" t="n"/>
      <c r="AK69" s="254" t="n"/>
      <c r="AL69" s="254" t="n"/>
      <c r="AM69" s="254" t="n"/>
      <c r="AN69" s="254" t="n"/>
      <c r="AO69" s="254" t="n"/>
      <c r="AP69" s="254" t="n"/>
      <c r="AQ69" s="254" t="n"/>
      <c r="AR69" s="254" t="n"/>
      <c r="AS69" s="254" t="n"/>
      <c r="AT69" s="254" t="n"/>
      <c r="AU69" s="254" t="n"/>
      <c r="AV69" s="254" t="n"/>
      <c r="AW69" s="254" t="n"/>
      <c r="AX69" s="254" t="n"/>
      <c r="AY69" s="254" t="n"/>
      <c r="AZ69" s="254" t="n"/>
      <c r="BA69" s="254" t="n"/>
      <c r="BB69" s="254" t="n"/>
      <c r="BC69" s="254" t="n"/>
      <c r="BD69" s="254" t="n"/>
      <c r="BE69" s="254" t="n"/>
      <c r="BF69" s="254" t="n"/>
      <c r="BG69" s="254" t="n"/>
      <c r="BH69" s="254" t="n"/>
      <c r="BI69" s="254" t="n"/>
      <c r="BJ69" s="254" t="n"/>
      <c r="BK69" s="254" t="n"/>
      <c r="BL69" s="254" t="n"/>
      <c r="BM69" s="254" t="n"/>
      <c r="BN69" s="254" t="n"/>
      <c r="BO69" s="254" t="n"/>
      <c r="BP69" s="254" t="n"/>
      <c r="BQ69" s="254" t="n"/>
      <c r="BR69" s="254" t="n"/>
      <c r="BS69" s="254" t="n"/>
      <c r="BT69" s="254" t="n"/>
      <c r="BU69" s="254" t="n"/>
      <c r="BV69" s="254" t="n"/>
      <c r="BW69" s="254" t="n"/>
      <c r="BX69" s="254" t="n"/>
      <c r="BY69" s="254" t="n"/>
      <c r="BZ69" s="254" t="n"/>
      <c r="CA69" s="254" t="n"/>
      <c r="CB69" s="254" t="n"/>
      <c r="CC69" s="254" t="n"/>
      <c r="CD69" s="254" t="n"/>
      <c r="CE69" s="254" t="n"/>
      <c r="CF69" s="254" t="n"/>
      <c r="CG69" s="254" t="n"/>
      <c r="CH69" s="254" t="n"/>
      <c r="CI69" s="254" t="n"/>
      <c r="CJ69" s="254" t="n"/>
      <c r="CK69" s="254" t="n"/>
      <c r="CL69" s="254" t="n"/>
      <c r="CM69" s="254" t="n"/>
      <c r="CN69" s="254" t="n"/>
      <c r="CO69" s="254" t="n"/>
      <c r="CP69" s="254" t="n"/>
      <c r="CQ69" s="254" t="n"/>
      <c r="CR69" s="254" t="n"/>
      <c r="CS69" s="254" t="n"/>
      <c r="CT69" s="254" t="n"/>
      <c r="CU69" s="254" t="n"/>
      <c r="CV69" s="254" t="n"/>
      <c r="CW69" s="254" t="n"/>
      <c r="CX69" s="254" t="n"/>
      <c r="CY69" s="254" t="n"/>
      <c r="CZ69" s="254" t="n"/>
    </row>
    <row r="70" ht="15" customHeight="1" s="160">
      <c r="A70" s="254" t="n"/>
      <c r="B70" s="255" t="inlineStr">
        <is>
          <t>CELL BORDER — SOURCE TIER (thick line)</t>
        </is>
      </c>
      <c r="C70" s="256" t="n"/>
      <c r="D70" s="256" t="n"/>
      <c r="E70" s="256" t="n"/>
      <c r="F70" s="256" t="n"/>
      <c r="G70" s="256" t="n"/>
      <c r="H70" s="256" t="n"/>
      <c r="I70" s="257" t="n"/>
      <c r="J70" s="254" t="n"/>
      <c r="T70" s="254" t="n"/>
      <c r="U70" s="254" t="n"/>
      <c r="V70" s="254" t="n"/>
      <c r="W70" s="254" t="n"/>
      <c r="X70" s="254" t="n"/>
      <c r="Y70" s="254" t="n"/>
      <c r="Z70" s="254" t="n"/>
      <c r="AA70" s="254" t="n"/>
      <c r="AB70" s="254" t="n"/>
      <c r="AC70" s="254" t="n"/>
      <c r="AD70" s="254" t="n"/>
      <c r="AE70" s="254" t="n"/>
      <c r="AF70" s="254" t="n"/>
      <c r="AG70" s="254" t="n"/>
      <c r="AH70" s="254" t="n"/>
      <c r="AI70" s="254" t="n"/>
      <c r="AJ70" s="254" t="n"/>
      <c r="AK70" s="254" t="n"/>
      <c r="AL70" s="254" t="n"/>
      <c r="AM70" s="254" t="n"/>
      <c r="AN70" s="254" t="n"/>
      <c r="AO70" s="254" t="n"/>
      <c r="AP70" s="254" t="n"/>
      <c r="AQ70" s="254" t="n"/>
      <c r="AR70" s="254" t="n"/>
      <c r="AS70" s="254" t="n"/>
      <c r="AT70" s="254" t="n"/>
      <c r="AU70" s="254" t="n"/>
      <c r="AV70" s="254" t="n"/>
      <c r="AW70" s="254" t="n"/>
      <c r="AX70" s="254" t="n"/>
      <c r="AY70" s="254" t="n"/>
      <c r="AZ70" s="254" t="n"/>
      <c r="BA70" s="254" t="n"/>
      <c r="BB70" s="254" t="n"/>
      <c r="BC70" s="254" t="n"/>
      <c r="BD70" s="254" t="n"/>
      <c r="BE70" s="254" t="n"/>
      <c r="BF70" s="254" t="n"/>
      <c r="BG70" s="254" t="n"/>
      <c r="BH70" s="254" t="n"/>
      <c r="BI70" s="254" t="n"/>
      <c r="BJ70" s="254" t="n"/>
      <c r="BK70" s="254" t="n"/>
      <c r="BL70" s="254" t="n"/>
      <c r="BM70" s="254" t="n"/>
      <c r="BN70" s="254" t="n"/>
      <c r="BO70" s="254" t="n"/>
      <c r="BP70" s="254" t="n"/>
      <c r="BQ70" s="254" t="n"/>
      <c r="BR70" s="254" t="n"/>
      <c r="BS70" s="254" t="n"/>
      <c r="BT70" s="254" t="n"/>
      <c r="BU70" s="254" t="n"/>
      <c r="BV70" s="254" t="n"/>
      <c r="BW70" s="254" t="n"/>
      <c r="BX70" s="254" t="n"/>
      <c r="BY70" s="254" t="n"/>
      <c r="BZ70" s="254" t="n"/>
      <c r="CA70" s="254" t="n"/>
      <c r="CB70" s="254" t="n"/>
      <c r="CC70" s="254" t="n"/>
      <c r="CD70" s="254" t="n"/>
      <c r="CE70" s="254" t="n"/>
      <c r="CF70" s="254" t="n"/>
      <c r="CG70" s="254" t="n"/>
      <c r="CH70" s="254" t="n"/>
      <c r="CI70" s="254" t="n"/>
      <c r="CJ70" s="254" t="n"/>
      <c r="CK70" s="254" t="n"/>
      <c r="CL70" s="254" t="n"/>
      <c r="CM70" s="254" t="n"/>
      <c r="CN70" s="254" t="n"/>
      <c r="CO70" s="254" t="n"/>
      <c r="CP70" s="254" t="n"/>
      <c r="CQ70" s="254" t="n"/>
      <c r="CR70" s="254" t="n"/>
      <c r="CS70" s="254" t="n"/>
      <c r="CT70" s="254" t="n"/>
      <c r="CU70" s="254" t="n"/>
      <c r="CV70" s="254" t="n"/>
      <c r="CW70" s="254" t="n"/>
      <c r="CX70" s="254" t="n"/>
      <c r="CY70" s="254" t="n"/>
      <c r="CZ70" s="254" t="n"/>
    </row>
    <row r="71" ht="15" customHeight="1" s="160">
      <c r="A71" s="254" t="n"/>
      <c r="B71" s="264" t="inlineStr">
        <is>
          <t>GREEN border — Exact product match: brand label, CoA, spec sheet</t>
        </is>
      </c>
      <c r="C71" s="265" t="n"/>
      <c r="D71" s="265" t="n"/>
      <c r="E71" s="265" t="n"/>
      <c r="F71" s="265" t="n"/>
      <c r="G71" s="265" t="n"/>
      <c r="H71" s="265" t="n"/>
      <c r="I71" s="266" t="n"/>
      <c r="J71" s="254" t="n"/>
      <c r="T71" s="254" t="n"/>
      <c r="U71" s="254" t="n"/>
      <c r="V71" s="254" t="n"/>
      <c r="W71" s="254" t="n"/>
      <c r="X71" s="254" t="n"/>
      <c r="Y71" s="254" t="n"/>
      <c r="Z71" s="254" t="n"/>
      <c r="AA71" s="254" t="n"/>
      <c r="AB71" s="254" t="n"/>
      <c r="AC71" s="254" t="n"/>
      <c r="AD71" s="254" t="n"/>
      <c r="AE71" s="254" t="n"/>
      <c r="AF71" s="254" t="n"/>
      <c r="AG71" s="254" t="n"/>
      <c r="AH71" s="254" t="n"/>
      <c r="AI71" s="254" t="n"/>
      <c r="AJ71" s="254" t="n"/>
      <c r="AK71" s="254" t="n"/>
      <c r="AL71" s="254" t="n"/>
      <c r="AM71" s="254" t="n"/>
      <c r="AN71" s="254" t="n"/>
      <c r="AO71" s="254" t="n"/>
      <c r="AP71" s="254" t="n"/>
      <c r="AQ71" s="254" t="n"/>
      <c r="AR71" s="254" t="n"/>
      <c r="AS71" s="254" t="n"/>
      <c r="AT71" s="254" t="n"/>
      <c r="AU71" s="254" t="n"/>
      <c r="AV71" s="254" t="n"/>
      <c r="AW71" s="254" t="n"/>
      <c r="AX71" s="254" t="n"/>
      <c r="AY71" s="254" t="n"/>
      <c r="AZ71" s="254" t="n"/>
      <c r="BA71" s="254" t="n"/>
      <c r="BB71" s="254" t="n"/>
      <c r="BC71" s="254" t="n"/>
      <c r="BD71" s="254" t="n"/>
      <c r="BE71" s="254" t="n"/>
      <c r="BF71" s="254" t="n"/>
      <c r="BG71" s="254" t="n"/>
      <c r="BH71" s="254" t="n"/>
      <c r="BI71" s="254" t="n"/>
      <c r="BJ71" s="254" t="n"/>
      <c r="BK71" s="254" t="n"/>
      <c r="BL71" s="254" t="n"/>
      <c r="BM71" s="254" t="n"/>
      <c r="BN71" s="254" t="n"/>
      <c r="BO71" s="254" t="n"/>
      <c r="BP71" s="254" t="n"/>
      <c r="BQ71" s="254" t="n"/>
      <c r="BR71" s="254" t="n"/>
      <c r="BS71" s="254" t="n"/>
      <c r="BT71" s="254" t="n"/>
      <c r="BU71" s="254" t="n"/>
      <c r="BV71" s="254" t="n"/>
      <c r="BW71" s="254" t="n"/>
      <c r="BX71" s="254" t="n"/>
      <c r="BY71" s="254" t="n"/>
      <c r="BZ71" s="254" t="n"/>
      <c r="CA71" s="254" t="n"/>
      <c r="CB71" s="254" t="n"/>
      <c r="CC71" s="254" t="n"/>
      <c r="CD71" s="254" t="n"/>
      <c r="CE71" s="254" t="n"/>
      <c r="CF71" s="254" t="n"/>
      <c r="CG71" s="254" t="n"/>
      <c r="CH71" s="254" t="n"/>
      <c r="CI71" s="254" t="n"/>
      <c r="CJ71" s="254" t="n"/>
      <c r="CK71" s="254" t="n"/>
      <c r="CL71" s="254" t="n"/>
      <c r="CM71" s="254" t="n"/>
      <c r="CN71" s="254" t="n"/>
      <c r="CO71" s="254" t="n"/>
      <c r="CP71" s="254" t="n"/>
      <c r="CQ71" s="254" t="n"/>
      <c r="CR71" s="254" t="n"/>
      <c r="CS71" s="254" t="n"/>
      <c r="CT71" s="254" t="n"/>
      <c r="CU71" s="254" t="n"/>
      <c r="CV71" s="254" t="n"/>
      <c r="CW71" s="254" t="n"/>
      <c r="CX71" s="254" t="n"/>
      <c r="CY71" s="254" t="n"/>
      <c r="CZ71" s="254" t="n"/>
    </row>
    <row r="72" ht="15" customHeight="1" s="160">
      <c r="A72" s="254" t="n"/>
      <c r="B72" s="267" t="inlineStr">
        <is>
          <t>TEAL border — Near-equivalent: same food subcategory (e.g. raw lentils → lentil flour; raw avocado → frozen avocado; grass-fed whole milk study → Alexandre grass-fed milk)</t>
        </is>
      </c>
      <c r="C72" s="268" t="n"/>
      <c r="D72" s="268" t="n"/>
      <c r="E72" s="268" t="n"/>
      <c r="F72" s="268" t="n"/>
      <c r="G72" s="268" t="n"/>
      <c r="H72" s="268" t="n"/>
      <c r="I72" s="269" t="n"/>
      <c r="J72" s="254" t="n"/>
      <c r="K72" s="254" t="n"/>
      <c r="L72" s="254" t="n"/>
      <c r="M72" s="254" t="n"/>
      <c r="N72" s="254" t="n"/>
      <c r="O72" s="254" t="n"/>
      <c r="P72" s="254" t="n"/>
      <c r="Q72" s="254" t="n"/>
      <c r="R72" s="254" t="n"/>
      <c r="S72" s="254" t="n"/>
      <c r="T72" s="254" t="n"/>
      <c r="U72" s="254" t="n"/>
      <c r="V72" s="254" t="n"/>
      <c r="W72" s="254" t="n"/>
      <c r="X72" s="254" t="n"/>
      <c r="Y72" s="254" t="n"/>
      <c r="Z72" s="254" t="n"/>
      <c r="AA72" s="254" t="n"/>
      <c r="AB72" s="254" t="n"/>
      <c r="AC72" s="254" t="n"/>
      <c r="AD72" s="254" t="n"/>
      <c r="AE72" s="254" t="n"/>
      <c r="AF72" s="254" t="n"/>
      <c r="AG72" s="254" t="n"/>
      <c r="AH72" s="254" t="n"/>
      <c r="AI72" s="254" t="n"/>
      <c r="AJ72" s="254" t="n"/>
      <c r="AK72" s="254" t="n"/>
      <c r="AL72" s="254" t="n"/>
      <c r="AM72" s="254" t="n"/>
      <c r="AN72" s="254" t="n"/>
      <c r="AO72" s="254" t="n"/>
      <c r="AP72" s="254" t="n"/>
      <c r="AQ72" s="254" t="n"/>
      <c r="AR72" s="254" t="n"/>
      <c r="AS72" s="254" t="n"/>
      <c r="AT72" s="254" t="n"/>
      <c r="AU72" s="254" t="n"/>
      <c r="AV72" s="254" t="n"/>
      <c r="AW72" s="254" t="n"/>
      <c r="AX72" s="254" t="n"/>
      <c r="AY72" s="254" t="n"/>
      <c r="AZ72" s="254" t="n"/>
      <c r="BA72" s="254" t="n"/>
      <c r="BB72" s="254" t="n"/>
      <c r="BC72" s="254" t="n"/>
      <c r="BD72" s="254" t="n"/>
      <c r="BE72" s="254" t="n"/>
      <c r="BF72" s="254" t="n"/>
      <c r="BG72" s="254" t="n"/>
      <c r="BH72" s="254" t="n"/>
      <c r="BI72" s="254" t="n"/>
      <c r="BJ72" s="254" t="n"/>
      <c r="BK72" s="254" t="n"/>
      <c r="BL72" s="254" t="n"/>
      <c r="BM72" s="254" t="n"/>
      <c r="BN72" s="254" t="n"/>
      <c r="BO72" s="254" t="n"/>
      <c r="BP72" s="254" t="n"/>
      <c r="BQ72" s="254" t="n"/>
      <c r="BR72" s="254" t="n"/>
      <c r="BS72" s="254" t="n"/>
      <c r="BT72" s="254" t="n"/>
      <c r="BU72" s="254" t="n"/>
      <c r="BV72" s="254" t="n"/>
      <c r="BW72" s="254" t="n"/>
      <c r="BX72" s="254" t="n"/>
      <c r="BY72" s="254" t="n"/>
      <c r="BZ72" s="254" t="n"/>
      <c r="CA72" s="254" t="n"/>
      <c r="CB72" s="254" t="n"/>
      <c r="CC72" s="254" t="n"/>
      <c r="CD72" s="254" t="n"/>
      <c r="CE72" s="254" t="n"/>
      <c r="CF72" s="254" t="n"/>
      <c r="CG72" s="254" t="n"/>
      <c r="CH72" s="254" t="n"/>
      <c r="CI72" s="254" t="n"/>
      <c r="CJ72" s="254" t="n"/>
      <c r="CK72" s="254" t="n"/>
      <c r="CL72" s="254" t="n"/>
      <c r="CM72" s="254" t="n"/>
      <c r="CN72" s="254" t="n"/>
      <c r="CO72" s="254" t="n"/>
      <c r="CP72" s="254" t="n"/>
      <c r="CQ72" s="254" t="n"/>
      <c r="CR72" s="254" t="n"/>
      <c r="CS72" s="254" t="n"/>
      <c r="CT72" s="254" t="n"/>
      <c r="CU72" s="254" t="n"/>
      <c r="CV72" s="254" t="n"/>
      <c r="CW72" s="254" t="n"/>
      <c r="CX72" s="254" t="n"/>
      <c r="CY72" s="254" t="n"/>
      <c r="CZ72" s="254" t="n"/>
    </row>
    <row r="73" ht="15" customHeight="1" s="160">
      <c r="A73" s="254" t="n"/>
      <c r="B73" s="270" t="inlineStr">
        <is>
          <t>YELLOW border — Generic USDA category OR math-heavy derivation (fat-adjusted, weighted blend, midpoint of range)</t>
        </is>
      </c>
      <c r="C73" s="271" t="n"/>
      <c r="D73" s="271" t="n"/>
      <c r="E73" s="271" t="n"/>
      <c r="F73" s="271" t="n"/>
      <c r="G73" s="271" t="n"/>
      <c r="H73" s="271" t="n"/>
      <c r="I73" s="272" t="n"/>
      <c r="J73" s="254" t="n"/>
      <c r="K73" s="254" t="n"/>
      <c r="L73" s="254" t="n"/>
      <c r="M73" s="254" t="n"/>
      <c r="N73" s="254" t="n"/>
      <c r="O73" s="254" t="n"/>
      <c r="P73" s="254" t="n"/>
      <c r="Q73" s="254" t="n"/>
      <c r="R73" s="254" t="n"/>
      <c r="S73" s="254" t="n"/>
      <c r="T73" s="254" t="n"/>
      <c r="U73" s="254" t="n"/>
      <c r="V73" s="254" t="n"/>
      <c r="W73" s="254" t="n"/>
      <c r="X73" s="254" t="n"/>
      <c r="Y73" s="254" t="n"/>
      <c r="Z73" s="254" t="n"/>
      <c r="AA73" s="254" t="n"/>
      <c r="AB73" s="254" t="n"/>
      <c r="AC73" s="254" t="n"/>
      <c r="AD73" s="254" t="n"/>
      <c r="AE73" s="254" t="n"/>
      <c r="AF73" s="254" t="n"/>
      <c r="AG73" s="254" t="n"/>
      <c r="AH73" s="254" t="n"/>
      <c r="AI73" s="254" t="n"/>
      <c r="AJ73" s="254" t="n"/>
      <c r="AK73" s="254" t="n"/>
      <c r="AL73" s="254" t="n"/>
      <c r="AM73" s="254" t="n"/>
      <c r="AN73" s="254" t="n"/>
      <c r="AO73" s="254" t="n"/>
      <c r="AP73" s="254" t="n"/>
      <c r="AQ73" s="254" t="n"/>
      <c r="AR73" s="254" t="n"/>
      <c r="AS73" s="254" t="n"/>
      <c r="AT73" s="254" t="n"/>
      <c r="AU73" s="254" t="n"/>
      <c r="AV73" s="254" t="n"/>
      <c r="AW73" s="254" t="n"/>
      <c r="AX73" s="254" t="n"/>
      <c r="AY73" s="254" t="n"/>
      <c r="AZ73" s="254" t="n"/>
      <c r="BA73" s="254" t="n"/>
      <c r="BB73" s="254" t="n"/>
      <c r="BC73" s="254" t="n"/>
      <c r="BD73" s="254" t="n"/>
      <c r="BE73" s="254" t="n"/>
      <c r="BF73" s="254" t="n"/>
      <c r="BG73" s="254" t="n"/>
      <c r="BH73" s="254" t="n"/>
      <c r="BI73" s="254" t="n"/>
      <c r="BJ73" s="254" t="n"/>
      <c r="BK73" s="254" t="n"/>
      <c r="BL73" s="254" t="n"/>
      <c r="BM73" s="254" t="n"/>
      <c r="BN73" s="254" t="n"/>
      <c r="BO73" s="254" t="n"/>
      <c r="BP73" s="254" t="n"/>
      <c r="BQ73" s="254" t="n"/>
      <c r="BR73" s="254" t="n"/>
      <c r="BS73" s="254" t="n"/>
      <c r="BT73" s="254" t="n"/>
      <c r="BU73" s="254" t="n"/>
      <c r="BV73" s="254" t="n"/>
      <c r="BW73" s="254" t="n"/>
      <c r="BX73" s="254" t="n"/>
      <c r="BY73" s="254" t="n"/>
      <c r="BZ73" s="254" t="n"/>
      <c r="CA73" s="254" t="n"/>
      <c r="CB73" s="254" t="n"/>
      <c r="CC73" s="254" t="n"/>
      <c r="CD73" s="254" t="n"/>
      <c r="CE73" s="254" t="n"/>
      <c r="CF73" s="254" t="n"/>
      <c r="CG73" s="254" t="n"/>
      <c r="CH73" s="254" t="n"/>
      <c r="CI73" s="254" t="n"/>
      <c r="CJ73" s="254" t="n"/>
      <c r="CK73" s="254" t="n"/>
      <c r="CL73" s="254" t="n"/>
      <c r="CM73" s="254" t="n"/>
      <c r="CN73" s="254" t="n"/>
      <c r="CO73" s="254" t="n"/>
      <c r="CP73" s="254" t="n"/>
      <c r="CQ73" s="254" t="n"/>
      <c r="CR73" s="254" t="n"/>
      <c r="CS73" s="254" t="n"/>
      <c r="CT73" s="254" t="n"/>
      <c r="CU73" s="254" t="n"/>
      <c r="CV73" s="254" t="n"/>
      <c r="CW73" s="254" t="n"/>
      <c r="CX73" s="254" t="n"/>
      <c r="CY73" s="254" t="n"/>
      <c r="CZ73" s="254" t="n"/>
    </row>
    <row r="74" ht="19.5" customHeight="1" s="160">
      <c r="A74" s="254" t="n"/>
      <c r="B74" s="273" t="inlineStr">
        <is>
          <t>Estimates/composites/fat-adjusted/blend/midpoint = YELLOW border (still a value). Only mark Unknown (RED fill) if NO source of any kind applies.</t>
        </is>
      </c>
      <c r="C74" s="256" t="n"/>
      <c r="D74" s="256" t="n"/>
      <c r="E74" s="256" t="n"/>
      <c r="F74" s="256" t="n"/>
      <c r="G74" s="256" t="n"/>
      <c r="H74" s="256" t="n"/>
      <c r="I74" s="257" t="n"/>
      <c r="J74" s="254" t="n"/>
      <c r="K74" s="254" t="n"/>
      <c r="L74" s="254" t="n"/>
      <c r="M74" s="254" t="n"/>
      <c r="N74" s="254" t="n"/>
      <c r="O74" s="254" t="n"/>
      <c r="P74" s="254" t="n"/>
      <c r="Q74" s="254" t="n"/>
      <c r="R74" s="254" t="n"/>
      <c r="S74" s="254" t="n"/>
      <c r="T74" s="254" t="n"/>
      <c r="U74" s="254" t="n"/>
      <c r="V74" s="254" t="n"/>
      <c r="W74" s="254" t="n"/>
      <c r="X74" s="254" t="n"/>
      <c r="Y74" s="254" t="n"/>
      <c r="Z74" s="254" t="n"/>
      <c r="AA74" s="254" t="n"/>
      <c r="AB74" s="254" t="n"/>
      <c r="AC74" s="254" t="n"/>
      <c r="AD74" s="254" t="n"/>
      <c r="AE74" s="254" t="n"/>
      <c r="AF74" s="254" t="n"/>
      <c r="AG74" s="254" t="n"/>
      <c r="AH74" s="254" t="n"/>
      <c r="AI74" s="254" t="n"/>
      <c r="AJ74" s="254" t="n"/>
      <c r="AK74" s="254" t="n"/>
      <c r="AL74" s="254" t="n"/>
      <c r="AM74" s="254" t="n"/>
      <c r="AN74" s="254" t="n"/>
      <c r="AO74" s="254" t="n"/>
      <c r="AP74" s="254" t="n"/>
      <c r="AQ74" s="254" t="n"/>
      <c r="AR74" s="254" t="n"/>
      <c r="AS74" s="254" t="n"/>
      <c r="AT74" s="254" t="n"/>
      <c r="AU74" s="254" t="n"/>
      <c r="AV74" s="254" t="n"/>
      <c r="AW74" s="254" t="n"/>
      <c r="AX74" s="254" t="n"/>
      <c r="AY74" s="254" t="n"/>
      <c r="AZ74" s="254" t="n"/>
      <c r="BA74" s="254" t="n"/>
      <c r="BB74" s="254" t="n"/>
      <c r="BC74" s="254" t="n"/>
      <c r="BD74" s="254" t="n"/>
      <c r="BE74" s="254" t="n"/>
      <c r="BF74" s="254" t="n"/>
      <c r="BG74" s="254" t="n"/>
      <c r="BH74" s="254" t="n"/>
      <c r="BI74" s="254" t="n"/>
      <c r="BJ74" s="254" t="n"/>
      <c r="BK74" s="254" t="n"/>
      <c r="BL74" s="254" t="n"/>
      <c r="BM74" s="254" t="n"/>
      <c r="BN74" s="254" t="n"/>
      <c r="BO74" s="254" t="n"/>
      <c r="BP74" s="254" t="n"/>
      <c r="BQ74" s="254" t="n"/>
      <c r="BR74" s="254" t="n"/>
      <c r="BS74" s="254" t="n"/>
      <c r="BT74" s="254" t="n"/>
      <c r="BU74" s="254" t="n"/>
      <c r="BV74" s="254" t="n"/>
      <c r="BW74" s="254" t="n"/>
      <c r="BX74" s="254" t="n"/>
      <c r="BY74" s="254" t="n"/>
      <c r="BZ74" s="254" t="n"/>
      <c r="CA74" s="254" t="n"/>
      <c r="CB74" s="254" t="n"/>
      <c r="CC74" s="254" t="n"/>
      <c r="CD74" s="254" t="n"/>
      <c r="CE74" s="254" t="n"/>
      <c r="CF74" s="254" t="n"/>
      <c r="CG74" s="254" t="n"/>
      <c r="CH74" s="254" t="n"/>
      <c r="CI74" s="254" t="n"/>
      <c r="CJ74" s="254" t="n"/>
      <c r="CK74" s="254" t="n"/>
      <c r="CL74" s="254" t="n"/>
      <c r="CM74" s="254" t="n"/>
      <c r="CN74" s="254" t="n"/>
      <c r="CO74" s="254" t="n"/>
      <c r="CP74" s="254" t="n"/>
      <c r="CQ74" s="254" t="n"/>
      <c r="CR74" s="254" t="n"/>
      <c r="CS74" s="254" t="n"/>
      <c r="CT74" s="254" t="n"/>
      <c r="CU74" s="254" t="n"/>
      <c r="CV74" s="254" t="n"/>
      <c r="CW74" s="254" t="n"/>
      <c r="CX74" s="254" t="n"/>
      <c r="CY74" s="254" t="n"/>
      <c r="CZ74" s="254" t="n"/>
    </row>
    <row r="75" ht="15" customHeight="1" s="160">
      <c r="A75" s="254" t="n"/>
      <c r="B75" s="254" t="n"/>
      <c r="J75" s="254" t="n"/>
      <c r="K75" s="254" t="n"/>
      <c r="L75" s="254" t="n"/>
      <c r="M75" s="254" t="n"/>
      <c r="N75" s="254" t="n"/>
      <c r="O75" s="254" t="n"/>
      <c r="P75" s="254" t="n"/>
      <c r="Q75" s="254" t="n"/>
      <c r="R75" s="254" t="n"/>
      <c r="S75" s="254" t="n"/>
      <c r="T75" s="254" t="n"/>
      <c r="U75" s="254" t="n"/>
      <c r="V75" s="254" t="n"/>
      <c r="W75" s="254" t="n"/>
      <c r="X75" s="254" t="n"/>
      <c r="Y75" s="254" t="n"/>
      <c r="Z75" s="254" t="n"/>
      <c r="AA75" s="254" t="n"/>
      <c r="AB75" s="254" t="n"/>
      <c r="AC75" s="254" t="n"/>
      <c r="AD75" s="254" t="n"/>
      <c r="AE75" s="254" t="n"/>
      <c r="AF75" s="254" t="n"/>
      <c r="AG75" s="254" t="n"/>
      <c r="AH75" s="254" t="n"/>
      <c r="AI75" s="254" t="n"/>
      <c r="AJ75" s="254" t="n"/>
      <c r="AK75" s="254" t="n"/>
      <c r="AL75" s="254" t="n"/>
      <c r="AM75" s="254" t="n"/>
      <c r="AN75" s="254" t="n"/>
      <c r="AO75" s="254" t="n"/>
      <c r="AP75" s="254" t="n"/>
      <c r="AQ75" s="254" t="n"/>
      <c r="AR75" s="254" t="n"/>
      <c r="AS75" s="254" t="n"/>
      <c r="AT75" s="254" t="n"/>
      <c r="AU75" s="254" t="n"/>
      <c r="AV75" s="254" t="n"/>
      <c r="AW75" s="254" t="n"/>
      <c r="AX75" s="254" t="n"/>
      <c r="AY75" s="254" t="n"/>
      <c r="AZ75" s="254" t="n"/>
      <c r="BA75" s="254" t="n"/>
      <c r="BB75" s="254" t="n"/>
      <c r="BC75" s="254" t="n"/>
      <c r="BD75" s="254" t="n"/>
      <c r="BE75" s="254" t="n"/>
      <c r="BF75" s="254" t="n"/>
      <c r="BG75" s="254" t="n"/>
      <c r="BH75" s="254" t="n"/>
      <c r="BI75" s="254" t="n"/>
      <c r="BJ75" s="254" t="n"/>
      <c r="BK75" s="254" t="n"/>
      <c r="BL75" s="254" t="n"/>
      <c r="BM75" s="254" t="n"/>
      <c r="BN75" s="254" t="n"/>
      <c r="BO75" s="254" t="n"/>
      <c r="BP75" s="254" t="n"/>
      <c r="BQ75" s="254" t="n"/>
      <c r="BR75" s="254" t="n"/>
      <c r="BS75" s="254" t="n"/>
      <c r="BT75" s="254" t="n"/>
      <c r="BU75" s="254" t="n"/>
      <c r="BV75" s="254" t="n"/>
      <c r="BW75" s="254" t="n"/>
      <c r="BX75" s="254" t="n"/>
      <c r="BY75" s="254" t="n"/>
      <c r="BZ75" s="254" t="n"/>
      <c r="CA75" s="254" t="n"/>
      <c r="CB75" s="254" t="n"/>
      <c r="CC75" s="254" t="n"/>
      <c r="CD75" s="254" t="n"/>
      <c r="CE75" s="254" t="n"/>
      <c r="CF75" s="254" t="n"/>
      <c r="CG75" s="254" t="n"/>
      <c r="CH75" s="254" t="n"/>
      <c r="CI75" s="254" t="n"/>
      <c r="CJ75" s="254" t="n"/>
      <c r="CK75" s="254" t="n"/>
      <c r="CL75" s="254" t="n"/>
      <c r="CM75" s="254" t="n"/>
      <c r="CN75" s="254" t="n"/>
      <c r="CO75" s="254" t="n"/>
      <c r="CP75" s="254" t="n"/>
      <c r="CQ75" s="254" t="n"/>
      <c r="CR75" s="254" t="n"/>
      <c r="CS75" s="254" t="n"/>
      <c r="CT75" s="254" t="n"/>
      <c r="CU75" s="254" t="n"/>
      <c r="CV75" s="254" t="n"/>
      <c r="CW75" s="254" t="n"/>
      <c r="CX75" s="254" t="n"/>
      <c r="CY75" s="254" t="n"/>
      <c r="CZ75" s="254" t="n"/>
    </row>
    <row r="76" ht="15" customHeight="1" s="160">
      <c r="A76" s="254" t="n"/>
      <c r="B76" s="274" t="inlineStr">
        <is>
          <t>TOTALS ROWS — DYNAMIC STATUS</t>
        </is>
      </c>
      <c r="C76" s="256" t="n"/>
      <c r="D76" s="256" t="n"/>
      <c r="E76" s="256" t="n"/>
      <c r="F76" s="256" t="n"/>
      <c r="G76" s="256" t="n"/>
      <c r="H76" s="256" t="n"/>
      <c r="I76" s="257" t="n"/>
      <c r="J76" s="254" t="n"/>
      <c r="K76" s="254" t="n"/>
      <c r="L76" s="254" t="n"/>
      <c r="M76" s="254" t="n"/>
      <c r="N76" s="254" t="n"/>
      <c r="O76" s="254" t="n"/>
      <c r="P76" s="254" t="n"/>
      <c r="Q76" s="254" t="n"/>
      <c r="R76" s="254" t="n"/>
      <c r="S76" s="254" t="n"/>
      <c r="T76" s="254" t="n"/>
      <c r="U76" s="254" t="n"/>
      <c r="V76" s="254" t="n"/>
      <c r="W76" s="254" t="n"/>
      <c r="X76" s="254" t="n"/>
      <c r="Y76" s="254" t="n"/>
      <c r="Z76" s="254" t="n"/>
      <c r="AA76" s="254" t="n"/>
      <c r="AB76" s="254" t="n"/>
      <c r="AC76" s="254" t="n"/>
      <c r="AD76" s="254" t="n"/>
      <c r="AE76" s="254" t="n"/>
      <c r="AF76" s="254" t="n"/>
      <c r="AG76" s="254" t="n"/>
      <c r="AH76" s="254" t="n"/>
      <c r="AI76" s="254" t="n"/>
      <c r="AJ76" s="254" t="n"/>
      <c r="AK76" s="254" t="n"/>
      <c r="AL76" s="254" t="n"/>
      <c r="AM76" s="254" t="n"/>
      <c r="AN76" s="254" t="n"/>
      <c r="AO76" s="254" t="n"/>
      <c r="AP76" s="254" t="n"/>
      <c r="AQ76" s="254" t="n"/>
      <c r="AR76" s="254" t="n"/>
      <c r="AS76" s="254" t="n"/>
      <c r="AT76" s="254" t="n"/>
      <c r="AU76" s="254" t="n"/>
      <c r="AV76" s="254" t="n"/>
      <c r="AW76" s="254" t="n"/>
      <c r="AX76" s="254" t="n"/>
      <c r="AY76" s="254" t="n"/>
      <c r="AZ76" s="254" t="n"/>
      <c r="BA76" s="254" t="n"/>
      <c r="BB76" s="254" t="n"/>
      <c r="BC76" s="254" t="n"/>
      <c r="BD76" s="254" t="n"/>
      <c r="BE76" s="254" t="n"/>
      <c r="BF76" s="254" t="n"/>
      <c r="BG76" s="254" t="n"/>
      <c r="BH76" s="254" t="n"/>
      <c r="BI76" s="254" t="n"/>
      <c r="BJ76" s="254" t="n"/>
      <c r="BK76" s="254" t="n"/>
      <c r="BL76" s="254" t="n"/>
      <c r="BM76" s="254" t="n"/>
      <c r="BN76" s="254" t="n"/>
      <c r="BO76" s="254" t="n"/>
      <c r="BP76" s="254" t="n"/>
      <c r="BQ76" s="254" t="n"/>
      <c r="BR76" s="254" t="n"/>
      <c r="BS76" s="254" t="n"/>
      <c r="BT76" s="254" t="n"/>
      <c r="BU76" s="254" t="n"/>
      <c r="BV76" s="254" t="n"/>
      <c r="BW76" s="254" t="n"/>
      <c r="BX76" s="254" t="n"/>
      <c r="BY76" s="254" t="n"/>
      <c r="BZ76" s="254" t="n"/>
      <c r="CA76" s="254" t="n"/>
      <c r="CB76" s="254" t="n"/>
      <c r="CC76" s="254" t="n"/>
      <c r="CD76" s="254" t="n"/>
      <c r="CE76" s="254" t="n"/>
      <c r="CF76" s="254" t="n"/>
      <c r="CG76" s="254" t="n"/>
      <c r="CH76" s="254" t="n"/>
      <c r="CI76" s="254" t="n"/>
      <c r="CJ76" s="254" t="n"/>
      <c r="CK76" s="254" t="n"/>
      <c r="CL76" s="254" t="n"/>
      <c r="CM76" s="254" t="n"/>
      <c r="CN76" s="254" t="n"/>
      <c r="CO76" s="254" t="n"/>
      <c r="CP76" s="254" t="n"/>
      <c r="CQ76" s="254" t="n"/>
      <c r="CR76" s="254" t="n"/>
      <c r="CS76" s="254" t="n"/>
      <c r="CT76" s="254" t="n"/>
      <c r="CU76" s="254" t="n"/>
      <c r="CV76" s="254" t="n"/>
      <c r="CW76" s="254" t="n"/>
      <c r="CX76" s="254" t="n"/>
      <c r="CY76" s="254" t="n"/>
      <c r="CZ76" s="254" t="n"/>
    </row>
    <row r="77" ht="15" customHeight="1" s="160">
      <c r="A77" s="254" t="n"/>
      <c r="B77" s="275" t="inlineStr">
        <is>
          <t>On target — within recommended range</t>
        </is>
      </c>
      <c r="C77" s="256" t="n"/>
      <c r="D77" s="256" t="n"/>
      <c r="E77" s="256" t="n"/>
      <c r="F77" s="256" t="n"/>
      <c r="G77" s="256" t="n"/>
      <c r="H77" s="256" t="n"/>
      <c r="I77" s="257" t="n"/>
      <c r="J77" s="254" t="n"/>
      <c r="K77" s="254" t="n"/>
      <c r="L77" s="254" t="n"/>
      <c r="M77" s="254" t="n"/>
      <c r="N77" s="254" t="n"/>
      <c r="O77" s="254" t="n"/>
      <c r="P77" s="254" t="n"/>
      <c r="Q77" s="254" t="n"/>
      <c r="R77" s="254" t="n"/>
      <c r="S77" s="254" t="n"/>
      <c r="T77" s="254" t="n"/>
      <c r="U77" s="254" t="n"/>
      <c r="V77" s="254" t="n"/>
      <c r="W77" s="254" t="n"/>
      <c r="X77" s="254" t="n"/>
      <c r="Y77" s="254" t="n"/>
      <c r="Z77" s="254" t="n"/>
      <c r="AA77" s="254" t="n"/>
      <c r="AB77" s="254" t="n"/>
      <c r="AC77" s="254" t="n"/>
      <c r="AD77" s="254" t="n"/>
      <c r="AE77" s="254" t="n"/>
      <c r="AF77" s="254" t="n"/>
      <c r="AG77" s="254" t="n"/>
      <c r="AH77" s="254" t="n"/>
      <c r="AI77" s="254" t="n"/>
      <c r="AJ77" s="254" t="n"/>
      <c r="AK77" s="254" t="n"/>
      <c r="AL77" s="254" t="n"/>
      <c r="AM77" s="254" t="n"/>
      <c r="AN77" s="254" t="n"/>
      <c r="AO77" s="254" t="n"/>
      <c r="AP77" s="254" t="n"/>
      <c r="AQ77" s="254" t="n"/>
      <c r="AR77" s="254" t="n"/>
      <c r="AS77" s="254" t="n"/>
      <c r="AT77" s="254" t="n"/>
      <c r="AU77" s="254" t="n"/>
      <c r="AV77" s="254" t="n"/>
      <c r="AW77" s="254" t="n"/>
      <c r="AX77" s="254" t="n"/>
      <c r="AY77" s="254" t="n"/>
      <c r="AZ77" s="254" t="n"/>
      <c r="BA77" s="254" t="n"/>
      <c r="BB77" s="254" t="n"/>
      <c r="BC77" s="254" t="n"/>
      <c r="BD77" s="254" t="n"/>
      <c r="BE77" s="254" t="n"/>
      <c r="BF77" s="254" t="n"/>
      <c r="BG77" s="254" t="n"/>
      <c r="BH77" s="254" t="n"/>
      <c r="BI77" s="254" t="n"/>
      <c r="BJ77" s="254" t="n"/>
      <c r="BK77" s="254" t="n"/>
      <c r="BL77" s="254" t="n"/>
      <c r="BM77" s="254" t="n"/>
      <c r="BN77" s="254" t="n"/>
      <c r="BO77" s="254" t="n"/>
      <c r="BP77" s="254" t="n"/>
      <c r="BQ77" s="254" t="n"/>
      <c r="BR77" s="254" t="n"/>
      <c r="BS77" s="254" t="n"/>
      <c r="BT77" s="254" t="n"/>
      <c r="BU77" s="254" t="n"/>
      <c r="BV77" s="254" t="n"/>
      <c r="BW77" s="254" t="n"/>
      <c r="BX77" s="254" t="n"/>
      <c r="BY77" s="254" t="n"/>
      <c r="BZ77" s="254" t="n"/>
      <c r="CA77" s="254" t="n"/>
      <c r="CB77" s="254" t="n"/>
      <c r="CC77" s="254" t="n"/>
      <c r="CD77" s="254" t="n"/>
      <c r="CE77" s="254" t="n"/>
      <c r="CF77" s="254" t="n"/>
      <c r="CG77" s="254" t="n"/>
      <c r="CH77" s="254" t="n"/>
      <c r="CI77" s="254" t="n"/>
      <c r="CJ77" s="254" t="n"/>
      <c r="CK77" s="254" t="n"/>
      <c r="CL77" s="254" t="n"/>
      <c r="CM77" s="254" t="n"/>
      <c r="CN77" s="254" t="n"/>
      <c r="CO77" s="254" t="n"/>
      <c r="CP77" s="254" t="n"/>
      <c r="CQ77" s="254" t="n"/>
      <c r="CR77" s="254" t="n"/>
      <c r="CS77" s="254" t="n"/>
      <c r="CT77" s="254" t="n"/>
      <c r="CU77" s="254" t="n"/>
      <c r="CV77" s="254" t="n"/>
      <c r="CW77" s="254" t="n"/>
      <c r="CX77" s="254" t="n"/>
      <c r="CY77" s="254" t="n"/>
      <c r="CZ77" s="254" t="n"/>
    </row>
    <row r="78" ht="15" customHeight="1" s="160">
      <c r="A78" s="254" t="n"/>
      <c r="B78" s="276" t="inlineStr">
        <is>
          <t>Over target — above recommendation but below UL (tolerable)</t>
        </is>
      </c>
      <c r="C78" s="256" t="n"/>
      <c r="D78" s="256" t="n"/>
      <c r="E78" s="256" t="n"/>
      <c r="F78" s="256" t="n"/>
      <c r="G78" s="256" t="n"/>
      <c r="H78" s="256" t="n"/>
      <c r="I78" s="257" t="n"/>
      <c r="J78" s="254" t="n"/>
      <c r="K78" s="254" t="n"/>
      <c r="L78" s="254" t="n"/>
      <c r="M78" s="254" t="n"/>
      <c r="N78" s="254" t="n"/>
      <c r="O78" s="254" t="n"/>
      <c r="P78" s="254" t="n"/>
      <c r="Q78" s="254" t="n"/>
      <c r="R78" s="254" t="n"/>
      <c r="S78" s="254" t="n"/>
      <c r="T78" s="254" t="n"/>
      <c r="U78" s="254" t="n"/>
      <c r="V78" s="254" t="n"/>
      <c r="W78" s="254" t="n"/>
      <c r="X78" s="254" t="n"/>
      <c r="Y78" s="254" t="n"/>
      <c r="Z78" s="254" t="n"/>
      <c r="AA78" s="254" t="n"/>
      <c r="AB78" s="254" t="n"/>
      <c r="AC78" s="254" t="n"/>
      <c r="AD78" s="254" t="n"/>
      <c r="AE78" s="254" t="n"/>
      <c r="AF78" s="254" t="n"/>
      <c r="AG78" s="254" t="n"/>
      <c r="AH78" s="254" t="n"/>
      <c r="AI78" s="254" t="n"/>
      <c r="AJ78" s="254" t="n"/>
      <c r="AK78" s="254" t="n"/>
      <c r="AL78" s="254" t="n"/>
      <c r="AM78" s="254" t="n"/>
      <c r="AN78" s="254" t="n"/>
      <c r="AO78" s="254" t="n"/>
      <c r="AP78" s="254" t="n"/>
      <c r="AQ78" s="254" t="n"/>
      <c r="AR78" s="254" t="n"/>
      <c r="AS78" s="254" t="n"/>
      <c r="AT78" s="254" t="n"/>
      <c r="AU78" s="254" t="n"/>
      <c r="AV78" s="254" t="n"/>
      <c r="AW78" s="254" t="n"/>
      <c r="AX78" s="254" t="n"/>
      <c r="AY78" s="254" t="n"/>
      <c r="AZ78" s="254" t="n"/>
      <c r="BA78" s="254" t="n"/>
      <c r="BB78" s="254" t="n"/>
      <c r="BC78" s="254" t="n"/>
      <c r="BD78" s="254" t="n"/>
      <c r="BE78" s="254" t="n"/>
      <c r="BF78" s="254" t="n"/>
      <c r="BG78" s="254" t="n"/>
      <c r="BH78" s="254" t="n"/>
      <c r="BI78" s="254" t="n"/>
      <c r="BJ78" s="254" t="n"/>
      <c r="BK78" s="254" t="n"/>
      <c r="BL78" s="254" t="n"/>
      <c r="BM78" s="254" t="n"/>
      <c r="BN78" s="254" t="n"/>
      <c r="BO78" s="254" t="n"/>
      <c r="BP78" s="254" t="n"/>
      <c r="BQ78" s="254" t="n"/>
      <c r="BR78" s="254" t="n"/>
      <c r="BS78" s="254" t="n"/>
      <c r="BT78" s="254" t="n"/>
      <c r="BU78" s="254" t="n"/>
      <c r="BV78" s="254" t="n"/>
      <c r="BW78" s="254" t="n"/>
      <c r="BX78" s="254" t="n"/>
      <c r="BY78" s="254" t="n"/>
      <c r="BZ78" s="254" t="n"/>
      <c r="CA78" s="254" t="n"/>
      <c r="CB78" s="254" t="n"/>
      <c r="CC78" s="254" t="n"/>
      <c r="CD78" s="254" t="n"/>
      <c r="CE78" s="254" t="n"/>
      <c r="CF78" s="254" t="n"/>
      <c r="CG78" s="254" t="n"/>
      <c r="CH78" s="254" t="n"/>
      <c r="CI78" s="254" t="n"/>
      <c r="CJ78" s="254" t="n"/>
      <c r="CK78" s="254" t="n"/>
      <c r="CL78" s="254" t="n"/>
      <c r="CM78" s="254" t="n"/>
      <c r="CN78" s="254" t="n"/>
      <c r="CO78" s="254" t="n"/>
      <c r="CP78" s="254" t="n"/>
      <c r="CQ78" s="254" t="n"/>
      <c r="CR78" s="254" t="n"/>
      <c r="CS78" s="254" t="n"/>
      <c r="CT78" s="254" t="n"/>
      <c r="CU78" s="254" t="n"/>
      <c r="CV78" s="254" t="n"/>
      <c r="CW78" s="254" t="n"/>
      <c r="CX78" s="254" t="n"/>
      <c r="CY78" s="254" t="n"/>
      <c r="CZ78" s="254" t="n"/>
    </row>
    <row r="79" ht="15" customHeight="1" s="160">
      <c r="A79" s="254" t="n"/>
      <c r="B79" s="277" t="inlineStr">
        <is>
          <t>Missing target, approaching UL, or health concern</t>
        </is>
      </c>
      <c r="C79" s="256" t="n"/>
      <c r="D79" s="256" t="n"/>
      <c r="E79" s="256" t="n"/>
      <c r="F79" s="256" t="n"/>
      <c r="G79" s="256" t="n"/>
      <c r="H79" s="256" t="n"/>
      <c r="I79" s="257" t="n"/>
      <c r="J79" s="254" t="n"/>
      <c r="K79" s="254" t="n"/>
      <c r="L79" s="254" t="n"/>
      <c r="M79" s="254" t="n"/>
      <c r="N79" s="254" t="n"/>
      <c r="O79" s="254" t="n"/>
      <c r="P79" s="254" t="n"/>
      <c r="Q79" s="254" t="n"/>
      <c r="R79" s="254" t="n"/>
      <c r="S79" s="254" t="n"/>
      <c r="T79" s="254" t="n"/>
      <c r="U79" s="254" t="n"/>
      <c r="V79" s="254" t="n"/>
      <c r="W79" s="254" t="n"/>
      <c r="X79" s="254" t="n"/>
      <c r="Y79" s="254" t="n"/>
      <c r="Z79" s="254" t="n"/>
      <c r="AA79" s="254" t="n"/>
      <c r="AB79" s="254" t="n"/>
      <c r="AC79" s="254" t="n"/>
      <c r="AD79" s="254" t="n"/>
      <c r="AE79" s="254" t="n"/>
      <c r="AF79" s="254" t="n"/>
      <c r="AG79" s="254" t="n"/>
      <c r="AH79" s="254" t="n"/>
      <c r="AI79" s="254" t="n"/>
      <c r="AJ79" s="254" t="n"/>
      <c r="AK79" s="254" t="n"/>
      <c r="AL79" s="254" t="n"/>
      <c r="AM79" s="254" t="n"/>
      <c r="AN79" s="254" t="n"/>
      <c r="AO79" s="254" t="n"/>
      <c r="AP79" s="254" t="n"/>
      <c r="AQ79" s="254" t="n"/>
      <c r="AR79" s="254" t="n"/>
      <c r="AS79" s="254" t="n"/>
      <c r="AT79" s="254" t="n"/>
      <c r="AU79" s="254" t="n"/>
      <c r="AV79" s="254" t="n"/>
      <c r="AW79" s="254" t="n"/>
      <c r="AX79" s="254" t="n"/>
      <c r="AY79" s="254" t="n"/>
      <c r="AZ79" s="254" t="n"/>
      <c r="BA79" s="254" t="n"/>
      <c r="BB79" s="254" t="n"/>
      <c r="BC79" s="254" t="n"/>
      <c r="BD79" s="254" t="n"/>
      <c r="BE79" s="254" t="n"/>
      <c r="BF79" s="254" t="n"/>
      <c r="BG79" s="254" t="n"/>
      <c r="BH79" s="254" t="n"/>
      <c r="BI79" s="254" t="n"/>
      <c r="BJ79" s="254" t="n"/>
      <c r="BK79" s="254" t="n"/>
      <c r="BL79" s="254" t="n"/>
      <c r="BM79" s="254" t="n"/>
      <c r="BN79" s="254" t="n"/>
      <c r="BO79" s="254" t="n"/>
      <c r="BP79" s="254" t="n"/>
      <c r="BQ79" s="254" t="n"/>
      <c r="BR79" s="254" t="n"/>
      <c r="BS79" s="254" t="n"/>
      <c r="BT79" s="254" t="n"/>
      <c r="BU79" s="254" t="n"/>
      <c r="BV79" s="254" t="n"/>
      <c r="BW79" s="254" t="n"/>
      <c r="BX79" s="254" t="n"/>
      <c r="BY79" s="254" t="n"/>
      <c r="BZ79" s="254" t="n"/>
      <c r="CA79" s="254" t="n"/>
      <c r="CB79" s="254" t="n"/>
      <c r="CC79" s="254" t="n"/>
      <c r="CD79" s="254" t="n"/>
      <c r="CE79" s="254" t="n"/>
      <c r="CF79" s="254" t="n"/>
      <c r="CG79" s="254" t="n"/>
      <c r="CH79" s="254" t="n"/>
      <c r="CI79" s="254" t="n"/>
      <c r="CJ79" s="254" t="n"/>
      <c r="CK79" s="254" t="n"/>
      <c r="CL79" s="254" t="n"/>
      <c r="CM79" s="254" t="n"/>
      <c r="CN79" s="254" t="n"/>
      <c r="CO79" s="254" t="n"/>
      <c r="CP79" s="254" t="n"/>
      <c r="CQ79" s="254" t="n"/>
      <c r="CR79" s="254" t="n"/>
      <c r="CS79" s="254" t="n"/>
      <c r="CT79" s="254" t="n"/>
      <c r="CU79" s="254" t="n"/>
      <c r="CV79" s="254" t="n"/>
      <c r="CW79" s="254" t="n"/>
      <c r="CX79" s="254" t="n"/>
      <c r="CY79" s="254" t="n"/>
      <c r="CZ79" s="254" t="n"/>
    </row>
    <row r="80" ht="15" customHeight="1" s="160">
      <c r="A80" s="254" t="n"/>
      <c r="B80" s="278" t="inlineStr">
        <is>
          <t>No target defined — informational only</t>
        </is>
      </c>
      <c r="C80" s="256" t="n"/>
      <c r="D80" s="256" t="n"/>
      <c r="E80" s="256" t="n"/>
      <c r="F80" s="256" t="n"/>
      <c r="G80" s="256" t="n"/>
      <c r="H80" s="256" t="n"/>
      <c r="I80" s="257" t="n"/>
      <c r="J80" s="254" t="n"/>
      <c r="K80" s="254" t="n"/>
      <c r="L80" s="254" t="n"/>
      <c r="M80" s="254" t="n"/>
      <c r="N80" s="254" t="n"/>
      <c r="O80" s="254" t="n"/>
      <c r="P80" s="254" t="n"/>
      <c r="Q80" s="254" t="n"/>
      <c r="R80" s="254" t="n"/>
      <c r="S80" s="254" t="n"/>
      <c r="T80" s="254" t="n"/>
      <c r="U80" s="254" t="n"/>
      <c r="V80" s="254" t="n"/>
      <c r="W80" s="254" t="n"/>
      <c r="X80" s="254" t="n"/>
      <c r="Y80" s="254" t="n"/>
      <c r="Z80" s="254" t="n"/>
      <c r="AA80" s="254" t="n"/>
      <c r="AB80" s="254" t="n"/>
      <c r="AC80" s="254" t="n"/>
      <c r="AD80" s="254" t="n"/>
      <c r="AE80" s="254" t="n"/>
      <c r="AF80" s="254" t="n"/>
      <c r="AG80" s="254" t="n"/>
      <c r="AH80" s="254" t="n"/>
      <c r="AI80" s="254" t="n"/>
      <c r="AJ80" s="254" t="n"/>
      <c r="AK80" s="254" t="n"/>
      <c r="AL80" s="254" t="n"/>
      <c r="AM80" s="254" t="n"/>
      <c r="AN80" s="254" t="n"/>
      <c r="AO80" s="254" t="n"/>
      <c r="AP80" s="254" t="n"/>
      <c r="AQ80" s="254" t="n"/>
      <c r="AR80" s="254" t="n"/>
      <c r="AS80" s="254" t="n"/>
      <c r="AT80" s="254" t="n"/>
      <c r="AU80" s="254" t="n"/>
      <c r="AV80" s="254" t="n"/>
      <c r="AW80" s="254" t="n"/>
      <c r="AX80" s="254" t="n"/>
      <c r="AY80" s="254" t="n"/>
      <c r="AZ80" s="254" t="n"/>
      <c r="BA80" s="254" t="n"/>
      <c r="BB80" s="254" t="n"/>
      <c r="BC80" s="254" t="n"/>
      <c r="BD80" s="254" t="n"/>
      <c r="BE80" s="254" t="n"/>
      <c r="BF80" s="254" t="n"/>
      <c r="BG80" s="254" t="n"/>
      <c r="BH80" s="254" t="n"/>
      <c r="BI80" s="254" t="n"/>
      <c r="BJ80" s="254" t="n"/>
      <c r="BK80" s="254" t="n"/>
      <c r="BL80" s="254" t="n"/>
      <c r="BM80" s="254" t="n"/>
      <c r="BN80" s="254" t="n"/>
      <c r="BO80" s="254" t="n"/>
      <c r="BP80" s="254" t="n"/>
      <c r="BQ80" s="254" t="n"/>
      <c r="BR80" s="254" t="n"/>
      <c r="BS80" s="254" t="n"/>
      <c r="BT80" s="254" t="n"/>
      <c r="BU80" s="254" t="n"/>
      <c r="BV80" s="254" t="n"/>
      <c r="BW80" s="254" t="n"/>
      <c r="BX80" s="254" t="n"/>
      <c r="BY80" s="254" t="n"/>
      <c r="BZ80" s="254" t="n"/>
      <c r="CA80" s="254" t="n"/>
      <c r="CB80" s="254" t="n"/>
      <c r="CC80" s="254" t="n"/>
      <c r="CD80" s="254" t="n"/>
      <c r="CE80" s="254" t="n"/>
      <c r="CF80" s="254" t="n"/>
      <c r="CG80" s="254" t="n"/>
      <c r="CH80" s="254" t="n"/>
      <c r="CI80" s="254" t="n"/>
      <c r="CJ80" s="254" t="n"/>
      <c r="CK80" s="254" t="n"/>
      <c r="CL80" s="254" t="n"/>
      <c r="CM80" s="254" t="n"/>
      <c r="CN80" s="254" t="n"/>
      <c r="CO80" s="254" t="n"/>
      <c r="CP80" s="254" t="n"/>
      <c r="CQ80" s="254" t="n"/>
      <c r="CR80" s="254" t="n"/>
      <c r="CS80" s="254" t="n"/>
      <c r="CT80" s="254" t="n"/>
      <c r="CU80" s="254" t="n"/>
      <c r="CV80" s="254" t="n"/>
      <c r="CW80" s="254" t="n"/>
      <c r="CX80" s="254" t="n"/>
      <c r="CY80" s="254" t="n"/>
      <c r="CZ80" s="254" t="n"/>
    </row>
    <row r="81" ht="118.75" customHeight="1" s="160">
      <c r="A81" s="254" t="n"/>
      <c r="B81" s="254" t="n"/>
      <c r="C81" s="254" t="n"/>
      <c r="D81" s="254" t="n"/>
      <c r="E81" s="254" t="n"/>
      <c r="F81" s="254" t="n"/>
      <c r="G81" s="254" t="n"/>
      <c r="H81" s="254" t="n"/>
      <c r="I81" s="254" t="n"/>
      <c r="J81" s="254" t="n"/>
      <c r="K81" s="254" t="n"/>
      <c r="L81" s="254" t="n"/>
      <c r="M81" s="254" t="n"/>
      <c r="N81" s="254" t="n"/>
      <c r="O81" s="254" t="n"/>
      <c r="P81" s="254" t="n"/>
      <c r="Q81" s="254" t="n"/>
      <c r="R81" s="254" t="n"/>
      <c r="S81" s="254" t="n"/>
      <c r="T81" s="254" t="n"/>
      <c r="U81" s="254" t="n"/>
      <c r="V81" s="254" t="n"/>
      <c r="W81" s="254" t="n"/>
      <c r="X81" s="254" t="n"/>
      <c r="Y81" s="254" t="n"/>
      <c r="Z81" s="254" t="n"/>
      <c r="AA81" s="254" t="n"/>
      <c r="AB81" s="254" t="n"/>
      <c r="AC81" s="254" t="n"/>
      <c r="AD81" s="254" t="n"/>
      <c r="AE81" s="254" t="n"/>
      <c r="AF81" s="254" t="n"/>
      <c r="AG81" s="254" t="n"/>
      <c r="AH81" s="254" t="n"/>
      <c r="AI81" s="254" t="n"/>
      <c r="AJ81" s="254" t="n"/>
      <c r="AK81" s="254" t="n"/>
      <c r="AL81" s="254" t="n"/>
      <c r="AM81" s="254" t="n"/>
      <c r="AN81" s="254" t="n"/>
      <c r="AO81" s="254" t="n"/>
      <c r="AP81" s="254" t="n"/>
      <c r="AQ81" s="254" t="n"/>
      <c r="AR81" s="254" t="n"/>
      <c r="AS81" s="254" t="n"/>
      <c r="AT81" s="254" t="n"/>
      <c r="AU81" s="254" t="n"/>
      <c r="AV81" s="254" t="n"/>
      <c r="AW81" s="254" t="n"/>
      <c r="AX81" s="254" t="n"/>
      <c r="AY81" s="254" t="n"/>
      <c r="AZ81" s="254" t="n"/>
      <c r="BA81" s="254" t="n"/>
      <c r="BB81" s="254" t="n"/>
      <c r="BC81" s="254" t="n"/>
      <c r="BD81" s="254" t="n"/>
      <c r="BE81" s="254" t="n"/>
      <c r="BF81" s="254" t="n"/>
      <c r="BG81" s="254" t="n"/>
      <c r="BH81" s="254" t="n"/>
      <c r="BI81" s="254" t="n"/>
      <c r="BJ81" s="254" t="n"/>
      <c r="BK81" s="254" t="n"/>
      <c r="BL81" s="254" t="n"/>
      <c r="BM81" s="254" t="n"/>
      <c r="BN81" s="254" t="n"/>
      <c r="BO81" s="254" t="n"/>
      <c r="BP81" s="254" t="n"/>
      <c r="BQ81" s="254" t="n"/>
      <c r="BR81" s="254" t="n"/>
      <c r="BS81" s="254" t="n"/>
      <c r="BT81" s="254" t="n"/>
      <c r="BU81" s="254" t="n"/>
      <c r="BV81" s="254" t="n"/>
      <c r="BW81" s="254" t="n"/>
      <c r="BX81" s="254" t="n"/>
      <c r="BY81" s="254" t="n"/>
      <c r="BZ81" s="254" t="n"/>
      <c r="CA81" s="254" t="n"/>
      <c r="CB81" s="254" t="n"/>
      <c r="CC81" s="254" t="n"/>
      <c r="CD81" s="254" t="n"/>
      <c r="CE81" s="254" t="n"/>
      <c r="CF81" s="254" t="n"/>
      <c r="CG81" s="254" t="n"/>
      <c r="CH81" s="254" t="n"/>
      <c r="CI81" s="254" t="n"/>
      <c r="CJ81" s="254" t="n"/>
      <c r="CK81" s="254" t="n"/>
      <c r="CL81" s="254" t="n"/>
      <c r="CM81" s="254" t="n"/>
      <c r="CN81" s="254" t="n"/>
      <c r="CO81" s="254" t="n"/>
      <c r="CP81" s="254" t="n"/>
      <c r="CQ81" s="254" t="n"/>
      <c r="CR81" s="254" t="n"/>
      <c r="CS81" s="254" t="n"/>
      <c r="CT81" s="254" t="n"/>
      <c r="CU81" s="254" t="n"/>
      <c r="CV81" s="254" t="n"/>
      <c r="CW81" s="254" t="n"/>
      <c r="CX81" s="254" t="n"/>
      <c r="CY81" s="254" t="n"/>
      <c r="CZ81" s="254" t="n"/>
    </row>
    <row r="82" ht="82.7" customHeight="1" s="160"/>
    <row r="83" ht="15" customHeight="1" s="160"/>
  </sheetData>
  <mergeCells count="35">
    <mergeCell ref="BI6:BX6"/>
    <mergeCell ref="B75:I75"/>
    <mergeCell ref="J66:S66"/>
    <mergeCell ref="B2:CK2"/>
    <mergeCell ref="I6:AB6"/>
    <mergeCell ref="B6:H6"/>
    <mergeCell ref="B72:I72"/>
    <mergeCell ref="B66:I66"/>
    <mergeCell ref="B71:I71"/>
    <mergeCell ref="J71:S71"/>
    <mergeCell ref="B77:I77"/>
    <mergeCell ref="AR6:BF6"/>
    <mergeCell ref="J64:S64"/>
    <mergeCell ref="B67:I67"/>
    <mergeCell ref="J67:S67"/>
    <mergeCell ref="CH6:CK6"/>
    <mergeCell ref="B73:I73"/>
    <mergeCell ref="AC6:AQ6"/>
    <mergeCell ref="B78:I78"/>
    <mergeCell ref="B69:I69"/>
    <mergeCell ref="BG6:BH6"/>
    <mergeCell ref="J69:S69"/>
    <mergeCell ref="B5:CK5"/>
    <mergeCell ref="B45:CK45"/>
    <mergeCell ref="B65:I65"/>
    <mergeCell ref="B74:I74"/>
    <mergeCell ref="B68:I68"/>
    <mergeCell ref="B64:I64"/>
    <mergeCell ref="J65:S65"/>
    <mergeCell ref="BY6:CG6"/>
    <mergeCell ref="J70:S70"/>
    <mergeCell ref="B3:CK3"/>
    <mergeCell ref="B76:I76"/>
    <mergeCell ref="B80:I80"/>
    <mergeCell ref="B79:I79"/>
  </mergeCells>
  <conditionalFormatting sqref="J58">
    <cfRule type="expression" rank="0" priority="2" equalAverage="0" aboveAverage="0" dxfId="0" text="" percent="0" bottom="0">
      <formula>AND(ISNUMBER(J58),J58&lt;2700)</formula>
    </cfRule>
    <cfRule type="expression" rank="0" priority="3" equalAverage="0" aboveAverage="0" dxfId="1" text="" percent="0" bottom="0">
      <formula>AND(ISNUMBER(J58),J58&gt;3300)</formula>
    </cfRule>
    <cfRule type="expression" rank="0" priority="4" equalAverage="0" aboveAverage="0" dxfId="2" text="" percent="0" bottom="0">
      <formula>AND(ISNUMBER(J58),J58&gt;=2700,J58&lt;=3300)</formula>
    </cfRule>
  </conditionalFormatting>
  <conditionalFormatting sqref="K58">
    <cfRule type="expression" rank="0" priority="5" equalAverage="0" aboveAverage="0" dxfId="0" text="" percent="0" bottom="0">
      <formula>AND(ISNUMBER(K58),K58&lt;180)</formula>
    </cfRule>
    <cfRule type="expression" rank="0" priority="6" equalAverage="0" aboveAverage="0" dxfId="1" text="" percent="0" bottom="0">
      <formula>AND(ISNUMBER(K58),K58&gt;200)</formula>
    </cfRule>
    <cfRule type="expression" rank="0" priority="7" equalAverage="0" aboveAverage="0" dxfId="2" text="" percent="0" bottom="0">
      <formula>AND(ISNUMBER(K58),K58&gt;=180,K58&lt;=200)</formula>
    </cfRule>
  </conditionalFormatting>
  <conditionalFormatting sqref="R58">
    <cfRule type="expression" rank="0" priority="8" equalAverage="0" aboveAverage="0" dxfId="0" text="" percent="0" bottom="0">
      <formula>AND(ISNUMBER(R58),R58&lt;120)</formula>
    </cfRule>
    <cfRule type="expression" rank="0" priority="9" equalAverage="0" aboveAverage="0" dxfId="1" text="" percent="0" bottom="0">
      <formula>AND(ISNUMBER(R58),R58&gt;190)</formula>
    </cfRule>
    <cfRule type="expression" rank="0" priority="10" equalAverage="0" aboveAverage="0" dxfId="2" text="" percent="0" bottom="0">
      <formula>AND(ISNUMBER(R58),R58&gt;=120,R58&lt;=190)</formula>
    </cfRule>
  </conditionalFormatting>
  <conditionalFormatting sqref="S58">
    <cfRule type="expression" rank="0" priority="11" equalAverage="0" aboveAverage="0" dxfId="1" text="" percent="0" bottom="0">
      <formula>AND(ISNUMBER(S58),S58&gt;22)</formula>
    </cfRule>
    <cfRule type="expression" rank="0" priority="12" equalAverage="0" aboveAverage="0" dxfId="2" text="" percent="0" bottom="0">
      <formula>AND(ISNUMBER(S58),S58&lt;=22)</formula>
    </cfRule>
  </conditionalFormatting>
  <conditionalFormatting sqref="T58">
    <cfRule type="expression" rank="0" priority="13" equalAverage="0" aboveAverage="0" dxfId="0" text="" percent="0" bottom="0">
      <formula>AND(ISNUMBER(T58),T58&lt;40)</formula>
    </cfRule>
    <cfRule type="expression" rank="0" priority="14" equalAverage="0" aboveAverage="0" dxfId="1" text="" percent="0" bottom="0">
      <formula>AND(ISNUMBER(T58),T58&gt;70)</formula>
    </cfRule>
    <cfRule type="expression" rank="0" priority="15" equalAverage="0" aboveAverage="0" dxfId="2" text="" percent="0" bottom="0">
      <formula>AND(ISNUMBER(T58),T58&gt;=40,T58&lt;=70)</formula>
    </cfRule>
  </conditionalFormatting>
  <conditionalFormatting sqref="U58">
    <cfRule type="expression" rank="0" priority="16" equalAverage="0" aboveAverage="0" dxfId="0" text="" percent="0" bottom="0">
      <formula>AND(ISNUMBER(U58),U58&lt;12)</formula>
    </cfRule>
    <cfRule type="expression" rank="0" priority="17" equalAverage="0" aboveAverage="0" dxfId="1" text="" percent="0" bottom="0">
      <formula>AND(ISNUMBER(U58),U58&gt;22)</formula>
    </cfRule>
    <cfRule type="expression" rank="0" priority="18" equalAverage="0" aboveAverage="0" dxfId="2" text="" percent="0" bottom="0">
      <formula>AND(ISNUMBER(U58),U58&gt;=12,U58&lt;=22)</formula>
    </cfRule>
  </conditionalFormatting>
  <conditionalFormatting sqref="V58">
    <cfRule type="expression" rank="0" priority="19" equalAverage="0" aboveAverage="0" dxfId="0" text="" percent="0" bottom="0">
      <formula>AND(ISNUMBER(V58),V58&lt;1.6)</formula>
    </cfRule>
    <cfRule type="expression" rank="0" priority="20" equalAverage="0" aboveAverage="0" dxfId="2" text="" percent="0" bottom="0">
      <formula>AND(ISNUMBER(V58),V58&gt;=1.6)</formula>
    </cfRule>
  </conditionalFormatting>
  <conditionalFormatting sqref="W58">
    <cfRule type="expression" rank="0" priority="21" equalAverage="0" aboveAverage="0" dxfId="1" text="" percent="0" bottom="0">
      <formula>AND(ISNUMBER(W58),W58&gt;15)</formula>
    </cfRule>
    <cfRule type="expression" rank="0" priority="22" equalAverage="0" aboveAverage="0" dxfId="2" text="" percent="0" bottom="0">
      <formula>AND(ISNUMBER(W58),W58&lt;=15)</formula>
    </cfRule>
  </conditionalFormatting>
  <conditionalFormatting sqref="X58">
    <cfRule type="expression" rank="0" priority="23" equalAverage="0" aboveAverage="0" dxfId="1" text="" percent="0" bottom="0">
      <formula>AND(ISNUMBER(X58),X58&gt;1)</formula>
    </cfRule>
    <cfRule type="expression" rank="0" priority="24" equalAverage="0" aboveAverage="0" dxfId="2" text="" percent="0" bottom="0">
      <formula>AND(ISNUMBER(X58),X58&lt;=1)</formula>
    </cfRule>
  </conditionalFormatting>
  <conditionalFormatting sqref="Y58">
    <cfRule type="expression" rank="0" priority="25" equalAverage="0" aboveAverage="0" dxfId="0" text="" percent="0" bottom="0">
      <formula>AND(ISNUMBER(Y58),Y58&lt;190)</formula>
    </cfRule>
    <cfRule type="expression" rank="0" priority="26" equalAverage="0" aboveAverage="0" dxfId="1" text="" percent="0" bottom="0">
      <formula>AND(ISNUMBER(Y58),Y58&gt;230)</formula>
    </cfRule>
    <cfRule type="expression" rank="0" priority="27" equalAverage="0" aboveAverage="0" dxfId="2" text="" percent="0" bottom="0">
      <formula>AND(ISNUMBER(Y58),Y58&gt;=190,Y58&lt;=230)</formula>
    </cfRule>
  </conditionalFormatting>
  <conditionalFormatting sqref="Z58">
    <cfRule type="expression" rank="0" priority="28" equalAverage="0" aboveAverage="0" dxfId="1" text="" percent="0" bottom="0">
      <formula>AND(ISNUMBER(Z58),Z58&gt;100)</formula>
    </cfRule>
    <cfRule type="expression" rank="0" priority="29" equalAverage="0" aboveAverage="0" dxfId="2" text="" percent="0" bottom="0">
      <formula>AND(ISNUMBER(Z58),Z58&lt;=100)</formula>
    </cfRule>
  </conditionalFormatting>
  <conditionalFormatting sqref="AB58">
    <cfRule type="expression" rank="0" priority="30" equalAverage="0" aboveAverage="0" dxfId="0" text="" percent="0" bottom="0">
      <formula>AND(ISNUMBER(AB58),AB58&lt;70)</formula>
    </cfRule>
    <cfRule type="expression" rank="0" priority="31" equalAverage="0" aboveAverage="0" dxfId="1" text="" percent="0" bottom="0">
      <formula>AND(ISNUMBER(AB58),AB58&gt;110)</formula>
    </cfRule>
    <cfRule type="expression" rank="0" priority="32" equalAverage="0" aboveAverage="0" dxfId="2" text="" percent="0" bottom="0">
      <formula>AND(ISNUMBER(AB58),AB58&gt;=70,AB58&lt;=110)</formula>
    </cfRule>
  </conditionalFormatting>
  <conditionalFormatting sqref="AC58">
    <cfRule type="expression" rank="0" priority="33" equalAverage="0" aboveAverage="0" dxfId="0" text="" percent="0" bottom="0">
      <formula>AND(ISNUMBER(AC58),AC58&lt;28)</formula>
    </cfRule>
    <cfRule type="expression" rank="0" priority="34" equalAverage="0" aboveAverage="0" dxfId="1" text="" percent="0" bottom="0">
      <formula>AND(ISNUMBER(AC58),AC58&gt;38)</formula>
    </cfRule>
    <cfRule type="expression" rank="0" priority="35" equalAverage="0" aboveAverage="0" dxfId="2" text="" percent="0" bottom="0">
      <formula>AND(ISNUMBER(AC58),AC58&gt;=28,AC58&lt;=38)</formula>
    </cfRule>
  </conditionalFormatting>
  <conditionalFormatting sqref="AD58">
    <cfRule type="expression" rank="0" priority="36" equalAverage="0" aboveAverage="0" dxfId="0" text="" percent="0" bottom="0">
      <formula>AND(ISNUMBER(AD58),AD58&lt;160)</formula>
    </cfRule>
    <cfRule type="expression" rank="0" priority="37" equalAverage="0" aboveAverage="0" dxfId="1" text="" percent="0" bottom="0">
      <formula>AND(ISNUMBER(AD58),AD58&gt;180)</formula>
    </cfRule>
    <cfRule type="expression" rank="0" priority="38" equalAverage="0" aboveAverage="0" dxfId="2" text="" percent="0" bottom="0">
      <formula>AND(ISNUMBER(AD58),AD58&gt;=160,AD58&lt;=180)</formula>
    </cfRule>
  </conditionalFormatting>
  <conditionalFormatting sqref="AE58">
    <cfRule type="expression" rank="0" priority="39" equalAverage="0" aboveAverage="0" dxfId="0" text="" percent="0" bottom="0">
      <formula>AND(ISNUMBER(AE58),AE58&gt;3500)</formula>
    </cfRule>
    <cfRule type="expression" rank="0" priority="40" equalAverage="0" aboveAverage="0" dxfId="0" text="" percent="0" bottom="0">
      <formula>AND(ISNUMBER(AE58),AE58&lt;500)</formula>
    </cfRule>
    <cfRule type="expression" rank="0" priority="41" equalAverage="0" aboveAverage="0" dxfId="1" text="" percent="0" bottom="0">
      <formula>AND(ISNUMBER(AE58),AE58&gt;600,AE58&lt;=3500)</formula>
    </cfRule>
    <cfRule type="expression" rank="0" priority="42" equalAverage="0" aboveAverage="0" dxfId="2" text="" percent="0" bottom="0">
      <formula>AND(ISNUMBER(AE58),AE58&gt;=500,AE58&lt;=600)</formula>
    </cfRule>
  </conditionalFormatting>
  <conditionalFormatting sqref="AF58">
    <cfRule type="expression" rank="0" priority="43" equalAverage="0" aboveAverage="0" dxfId="0" text="" percent="0" bottom="0">
      <formula>AND(ISNUMBER(AF58),AF58&gt;2500)</formula>
    </cfRule>
    <cfRule type="expression" rank="0" priority="44" equalAverage="0" aboveAverage="0" dxfId="0" text="" percent="0" bottom="0">
      <formula>AND(ISNUMBER(AF58),AF58&lt;1000)</formula>
    </cfRule>
    <cfRule type="expression" rank="0" priority="45" equalAverage="0" aboveAverage="0" dxfId="1" text="" percent="0" bottom="0">
      <formula>AND(ISNUMBER(AF58),AF58&gt;1500,AF58&lt;=2500)</formula>
    </cfRule>
    <cfRule type="expression" rank="0" priority="46" equalAverage="0" aboveAverage="0" dxfId="2" text="" percent="0" bottom="0">
      <formula>AND(ISNUMBER(AF58),AF58&gt;=1000,AF58&lt;=1500)</formula>
    </cfRule>
  </conditionalFormatting>
  <conditionalFormatting sqref="AG58">
    <cfRule type="expression" rank="0" priority="47" equalAverage="0" aboveAverage="0" dxfId="0" text="" percent="0" bottom="0">
      <formula>AND(ISNUMBER(AG58),AG58&lt;350)</formula>
    </cfRule>
    <cfRule type="expression" rank="0" priority="48" equalAverage="0" aboveAverage="0" dxfId="1" text="" percent="0" bottom="0">
      <formula>AND(ISNUMBER(AG58),AG58&gt;500)</formula>
    </cfRule>
    <cfRule type="expression" rank="0" priority="49" equalAverage="0" aboveAverage="0" dxfId="2" text="" percent="0" bottom="0">
      <formula>AND(ISNUMBER(AG58),AG58&gt;=350,AG58&lt;=500)</formula>
    </cfRule>
  </conditionalFormatting>
  <conditionalFormatting sqref="AH58">
    <cfRule type="expression" rank="0" priority="50" equalAverage="0" aboveAverage="0" dxfId="0" text="" percent="0" bottom="0">
      <formula>AND(ISNUMBER(AH58),AH58&lt;2400)</formula>
    </cfRule>
    <cfRule type="expression" rank="0" priority="51" equalAverage="0" aboveAverage="0" dxfId="1" text="" percent="0" bottom="0">
      <formula>AND(ISNUMBER(AH58),AH58&gt;3500)</formula>
    </cfRule>
    <cfRule type="expression" rank="0" priority="52" equalAverage="0" aboveAverage="0" dxfId="2" text="" percent="0" bottom="0">
      <formula>AND(ISNUMBER(AH58),AH58&gt;=2400,AH58&lt;=3500)</formula>
    </cfRule>
  </conditionalFormatting>
  <conditionalFormatting sqref="AI58">
    <cfRule type="expression" rank="0" priority="53" equalAverage="0" aboveAverage="0" dxfId="0" text="" percent="0" bottom="0">
      <formula>AND(ISNUMBER(AI58),AI58&gt;4000)</formula>
    </cfRule>
    <cfRule type="expression" rank="0" priority="54" equalAverage="0" aboveAverage="0" dxfId="0" text="" percent="0" bottom="0">
      <formula>AND(ISNUMBER(AI58),AI58&lt;700)</formula>
    </cfRule>
    <cfRule type="expression" rank="0" priority="55" equalAverage="0" aboveAverage="0" dxfId="1" text="" percent="0" bottom="0">
      <formula>AND(ISNUMBER(AI58),AI58&gt;1300,AI58&lt;=4000)</formula>
    </cfRule>
    <cfRule type="expression" rank="0" priority="56" equalAverage="0" aboveAverage="0" dxfId="2" text="" percent="0" bottom="0">
      <formula>AND(ISNUMBER(AI58),AI58&gt;=700,AI58&lt;=1300)</formula>
    </cfRule>
  </conditionalFormatting>
  <conditionalFormatting sqref="AJ58">
    <cfRule type="expression" rank="0" priority="57" equalAverage="0" aboveAverage="0" dxfId="0" text="" percent="0" bottom="0">
      <formula>AND(ISNUMBER(AJ58),AJ58&gt;2300)</formula>
    </cfRule>
    <cfRule type="expression" rank="0" priority="58" equalAverage="0" aboveAverage="0" dxfId="0" text="" percent="0" bottom="0">
      <formula>AND(ISNUMBER(AJ58),AJ58&lt;1300)</formula>
    </cfRule>
    <cfRule type="expression" rank="0" priority="59" equalAverage="0" aboveAverage="0" dxfId="1" text="" percent="0" bottom="0">
      <formula>AND(ISNUMBER(AJ58),AJ58&gt;2300,AJ58&lt;=2300)</formula>
    </cfRule>
    <cfRule type="expression" rank="0" priority="60" equalAverage="0" aboveAverage="0" dxfId="2" text="" percent="0" bottom="0">
      <formula>AND(ISNUMBER(AJ58),AJ58&gt;=1300,AJ58&lt;=2300)</formula>
    </cfRule>
  </conditionalFormatting>
  <conditionalFormatting sqref="AK58">
    <cfRule type="expression" rank="0" priority="61" equalAverage="0" aboveAverage="0" dxfId="0" text="" percent="0" bottom="0">
      <formula>AND(ISNUMBER(AK58),AK58&gt;2000)</formula>
    </cfRule>
    <cfRule type="expression" rank="0" priority="62" equalAverage="0" aboveAverage="0" dxfId="0" text="" percent="0" bottom="0">
      <formula>AND(ISNUMBER(AK58),AK58&lt;45)</formula>
    </cfRule>
    <cfRule type="expression" rank="0" priority="63" equalAverage="0" aboveAverage="0" dxfId="1" text="" percent="0" bottom="0">
      <formula>AND(ISNUMBER(AK58),AK58&gt;200,AK58&lt;=2000)</formula>
    </cfRule>
    <cfRule type="expression" rank="0" priority="64" equalAverage="0" aboveAverage="0" dxfId="2" text="" percent="0" bottom="0">
      <formula>AND(ISNUMBER(AK58),AK58&gt;=45,AK58&lt;=200)</formula>
    </cfRule>
  </conditionalFormatting>
  <conditionalFormatting sqref="AL58">
    <cfRule type="expression" rank="0" priority="65" equalAverage="0" aboveAverage="0" dxfId="0" text="" percent="0" bottom="0">
      <formula>AND(ISNUMBER(AL58),AL58&gt;45)</formula>
    </cfRule>
    <cfRule type="expression" rank="0" priority="66" equalAverage="0" aboveAverage="0" dxfId="0" text="" percent="0" bottom="0">
      <formula>AND(ISNUMBER(AL58),AL58&lt;8)</formula>
    </cfRule>
    <cfRule type="expression" rank="0" priority="67" equalAverage="0" aboveAverage="0" dxfId="1" text="" percent="0" bottom="0">
      <formula>AND(ISNUMBER(AL58),AL58&gt;20,AL58&lt;=45)</formula>
    </cfRule>
    <cfRule type="expression" rank="0" priority="68" equalAverage="0" aboveAverage="0" dxfId="2" text="" percent="0" bottom="0">
      <formula>AND(ISNUMBER(AL58),AL58&gt;=8,AL58&lt;=20)</formula>
    </cfRule>
  </conditionalFormatting>
  <conditionalFormatting sqref="AM58">
    <cfRule type="expression" rank="0" priority="69" equalAverage="0" aboveAverage="0" dxfId="0" text="" percent="0" bottom="0">
      <formula>AND(ISNUMBER(AM58),AM58&gt;40)</formula>
    </cfRule>
    <cfRule type="expression" rank="0" priority="70" equalAverage="0" aboveAverage="0" dxfId="0" text="" percent="0" bottom="0">
      <formula>AND(ISNUMBER(AM58),AM58&lt;8)</formula>
    </cfRule>
    <cfRule type="expression" rank="0" priority="71" equalAverage="0" aboveAverage="0" dxfId="1" text="" percent="0" bottom="0">
      <formula>AND(ISNUMBER(AM58),AM58&gt;11,AM58&lt;=40)</formula>
    </cfRule>
    <cfRule type="expression" rank="0" priority="72" equalAverage="0" aboveAverage="0" dxfId="2" text="" percent="0" bottom="0">
      <formula>AND(ISNUMBER(AM58),AM58&gt;=8,AM58&lt;=11)</formula>
    </cfRule>
  </conditionalFormatting>
  <conditionalFormatting sqref="AN58">
    <cfRule type="expression" rank="0" priority="73" equalAverage="0" aboveAverage="0" dxfId="0" text="" percent="0" bottom="0">
      <formula>AND(ISNUMBER(AN58),AN58&gt;400)</formula>
    </cfRule>
    <cfRule type="expression" rank="0" priority="74" equalAverage="0" aboveAverage="0" dxfId="0" text="" percent="0" bottom="0">
      <formula>AND(ISNUMBER(AN58),AN58&lt;55)</formula>
    </cfRule>
    <cfRule type="expression" rank="0" priority="75" equalAverage="0" aboveAverage="0" dxfId="1" text="" percent="0" bottom="0">
      <formula>AND(ISNUMBER(AN58),AN58&gt;200,AN58&lt;=400)</formula>
    </cfRule>
    <cfRule type="expression" rank="0" priority="76" equalAverage="0" aboveAverage="0" dxfId="2" text="" percent="0" bottom="0">
      <formula>AND(ISNUMBER(AN58),AN58&gt;=55,AN58&lt;=200)</formula>
    </cfRule>
  </conditionalFormatting>
  <conditionalFormatting sqref="AO58">
    <cfRule type="expression" rank="0" priority="77" equalAverage="0" aboveAverage="0" dxfId="0" text="" percent="0" bottom="0">
      <formula>AND(ISNUMBER(AO58),AO58&gt;10000)</formula>
    </cfRule>
    <cfRule type="expression" rank="0" priority="78" equalAverage="0" aboveAverage="0" dxfId="0" text="" percent="0" bottom="0">
      <formula>AND(ISNUMBER(AO58),AO58&lt;800)</formula>
    </cfRule>
    <cfRule type="expression" rank="0" priority="79" equalAverage="0" aboveAverage="0" dxfId="1" text="" percent="0" bottom="0">
      <formula>AND(ISNUMBER(AO58),AO58&gt;1200,AO58&lt;=10000)</formula>
    </cfRule>
    <cfRule type="expression" rank="0" priority="80" equalAverage="0" aboveAverage="0" dxfId="2" text="" percent="0" bottom="0">
      <formula>AND(ISNUMBER(AO58),AO58&gt;=800,AO58&lt;=1200)</formula>
    </cfRule>
  </conditionalFormatting>
  <conditionalFormatting sqref="AP58">
    <cfRule type="expression" rank="0" priority="81" equalAverage="0" aboveAverage="0" dxfId="0" text="" percent="0" bottom="0">
      <formula>AND(ISNUMBER(AP58),AP58&gt;11)</formula>
    </cfRule>
    <cfRule type="expression" rank="0" priority="82" equalAverage="0" aboveAverage="0" dxfId="0" text="" percent="0" bottom="0">
      <formula>AND(ISNUMBER(AP58),AP58&lt;2.3)</formula>
    </cfRule>
    <cfRule type="expression" rank="0" priority="83" equalAverage="0" aboveAverage="0" dxfId="1" text="" percent="0" bottom="0">
      <formula>AND(ISNUMBER(AP58),AP58&gt;5,AP58&lt;=11)</formula>
    </cfRule>
    <cfRule type="expression" rank="0" priority="84" equalAverage="0" aboveAverage="0" dxfId="2" text="" percent="0" bottom="0">
      <formula>AND(ISNUMBER(AP58),AP58&gt;=2.3,AP58&lt;=5)</formula>
    </cfRule>
  </conditionalFormatting>
  <conditionalFormatting sqref="AQ58">
    <cfRule type="expression" rank="0" priority="85" equalAverage="0" aboveAverage="0" dxfId="0" text="" percent="0" bottom="0">
      <formula>AND(ISNUMBER(AQ58),AQ58&lt;35)</formula>
    </cfRule>
    <cfRule type="expression" rank="0" priority="86" equalAverage="0" aboveAverage="0" dxfId="1" text="" percent="0" bottom="0">
      <formula>AND(ISNUMBER(AQ58),AQ58&gt;200)</formula>
    </cfRule>
    <cfRule type="expression" rank="0" priority="87" equalAverage="0" aboveAverage="0" dxfId="2" text="" percent="0" bottom="0">
      <formula>AND(ISNUMBER(AQ58),AQ58&gt;=35,AQ58&lt;=200)</formula>
    </cfRule>
  </conditionalFormatting>
  <conditionalFormatting sqref="AR58">
    <cfRule type="expression" rank="0" priority="88" equalAverage="0" aboveAverage="0" dxfId="0" text="" percent="0" bottom="0">
      <formula>AND(ISNUMBER(AR58),AR58&gt;1100)</formula>
    </cfRule>
    <cfRule type="expression" rank="0" priority="89" equalAverage="0" aboveAverage="0" dxfId="0" text="" percent="0" bottom="0">
      <formula>AND(ISNUMBER(AR58),AR58&lt;150)</formula>
    </cfRule>
    <cfRule type="expression" rank="0" priority="90" equalAverage="0" aboveAverage="0" dxfId="1" text="" percent="0" bottom="0">
      <formula>AND(ISNUMBER(AR58),AR58&gt;500,AR58&lt;=1100)</formula>
    </cfRule>
    <cfRule type="expression" rank="0" priority="91" equalAverage="0" aboveAverage="0" dxfId="2" text="" percent="0" bottom="0">
      <formula>AND(ISNUMBER(AR58),AR58&gt;=150,AR58&lt;=500)</formula>
    </cfRule>
  </conditionalFormatting>
  <conditionalFormatting sqref="AS58">
    <cfRule type="expression" rank="0" priority="92" equalAverage="0" aboveAverage="0" dxfId="0" text="" percent="0" bottom="0">
      <formula>AND(ISNUMBER(AS58),AS58&gt;20)</formula>
    </cfRule>
    <cfRule type="expression" rank="0" priority="93" equalAverage="0" aboveAverage="0" dxfId="0" text="" percent="0" bottom="0">
      <formula>AND(ISNUMBER(AS58),AS58&lt;1)</formula>
    </cfRule>
    <cfRule type="expression" rank="0" priority="94" equalAverage="0" aboveAverage="0" dxfId="1" text="" percent="0" bottom="0">
      <formula>AND(ISNUMBER(AS58),AS58&gt;4,AS58&lt;=20)</formula>
    </cfRule>
    <cfRule type="expression" rank="0" priority="95" equalAverage="0" aboveAverage="0" dxfId="2" text="" percent="0" bottom="0">
      <formula>AND(ISNUMBER(AS58),AS58&gt;=1,AS58&lt;=4)</formula>
    </cfRule>
  </conditionalFormatting>
  <conditionalFormatting sqref="AT58">
    <cfRule type="expression" rank="0" priority="96" equalAverage="0" aboveAverage="0" dxfId="0" text="" percent="0" bottom="0">
      <formula>AND(ISNUMBER(AT58),AT58&gt;3000)</formula>
    </cfRule>
    <cfRule type="expression" rank="0" priority="97" equalAverage="0" aboveAverage="0" dxfId="0" text="" percent="0" bottom="0">
      <formula>AND(ISNUMBER(AT58),AT58&lt;900)</formula>
    </cfRule>
    <cfRule type="expression" rank="0" priority="98" equalAverage="0" aboveAverage="0" dxfId="1" text="" percent="0" bottom="0">
      <formula>AND(ISNUMBER(AT58),AT58&gt;1500,AT58&lt;=3000)</formula>
    </cfRule>
    <cfRule type="expression" rank="0" priority="99" equalAverage="0" aboveAverage="0" dxfId="2" text="" percent="0" bottom="0">
      <formula>AND(ISNUMBER(AT58),AT58&gt;=900,AT58&lt;=1500)</formula>
    </cfRule>
  </conditionalFormatting>
  <conditionalFormatting sqref="AU58">
    <cfRule type="expression" rank="0" priority="100" equalAverage="0" aboveAverage="0" dxfId="0" text="" percent="0" bottom="0">
      <formula>AND(ISNUMBER(AU58),AU58&gt;2000)</formula>
    </cfRule>
    <cfRule type="expression" rank="0" priority="101" equalAverage="0" aboveAverage="0" dxfId="0" text="" percent="0" bottom="0">
      <formula>AND(ISNUMBER(AU58),AU58&lt;90)</formula>
    </cfRule>
    <cfRule type="expression" rank="0" priority="102" equalAverage="0" aboveAverage="0" dxfId="1" text="" percent="0" bottom="0">
      <formula>AND(ISNUMBER(AU58),AU58&gt;250,AU58&lt;=2000)</formula>
    </cfRule>
    <cfRule type="expression" rank="0" priority="103" equalAverage="0" aboveAverage="0" dxfId="2" text="" percent="0" bottom="0">
      <formula>AND(ISNUMBER(AU58),AU58&gt;=90,AU58&lt;=250)</formula>
    </cfRule>
  </conditionalFormatting>
  <conditionalFormatting sqref="AV58">
    <cfRule type="expression" rank="0" priority="104" equalAverage="0" aboveAverage="0" dxfId="0" text="" percent="0" bottom="0">
      <formula>AND(ISNUMBER(AV58),AV58&gt;100)</formula>
    </cfRule>
    <cfRule type="expression" rank="0" priority="105" equalAverage="0" aboveAverage="0" dxfId="0" text="" percent="0" bottom="0">
      <formula>AND(ISNUMBER(AV58),AV58&lt;15)</formula>
    </cfRule>
    <cfRule type="expression" rank="0" priority="106" equalAverage="0" aboveAverage="0" dxfId="1" text="" percent="0" bottom="0">
      <formula>AND(ISNUMBER(AV58),AV58&gt;80,AV58&lt;=100)</formula>
    </cfRule>
    <cfRule type="expression" rank="0" priority="107" equalAverage="0" aboveAverage="0" dxfId="2" text="" percent="0" bottom="0">
      <formula>AND(ISNUMBER(AV58),AV58&gt;=15,AV58&lt;=80)</formula>
    </cfRule>
  </conditionalFormatting>
  <conditionalFormatting sqref="AW58">
    <cfRule type="expression" rank="0" priority="108" equalAverage="0" aboveAverage="0" dxfId="0" text="" percent="0" bottom="0">
      <formula>AND(ISNUMBER(AW58),AW58&gt;1000)</formula>
    </cfRule>
    <cfRule type="expression" rank="0" priority="109" equalAverage="0" aboveAverage="0" dxfId="0" text="" percent="0" bottom="0">
      <formula>AND(ISNUMBER(AW58),AW58&lt;15)</formula>
    </cfRule>
    <cfRule type="expression" rank="0" priority="110" equalAverage="0" aboveAverage="0" dxfId="1" text="" percent="0" bottom="0">
      <formula>AND(ISNUMBER(AW58),AW58&gt;30,AW58&lt;=1000)</formula>
    </cfRule>
    <cfRule type="expression" rank="0" priority="111" equalAverage="0" aboveAverage="0" dxfId="2" text="" percent="0" bottom="0">
      <formula>AND(ISNUMBER(AW58),AW58&gt;=15,AW58&lt;=30)</formula>
    </cfRule>
  </conditionalFormatting>
  <conditionalFormatting sqref="AX58">
    <cfRule type="expression" rank="0" priority="112" equalAverage="0" aboveAverage="0" dxfId="0" text="" percent="0" bottom="0">
      <formula>AND(ISNUMBER(AX58),AX58&lt;120)</formula>
    </cfRule>
    <cfRule type="expression" rank="0" priority="113" equalAverage="0" aboveAverage="0" dxfId="1" text="" percent="0" bottom="0">
      <formula>AND(ISNUMBER(AX58),AX58&gt;400)</formula>
    </cfRule>
    <cfRule type="expression" rank="0" priority="114" equalAverage="0" aboveAverage="0" dxfId="2" text="" percent="0" bottom="0">
      <formula>AND(ISNUMBER(AX58),AX58&gt;=120,AX58&lt;=400)</formula>
    </cfRule>
  </conditionalFormatting>
  <conditionalFormatting sqref="AY58">
    <cfRule type="expression" rank="0" priority="115" equalAverage="0" aboveAverage="0" dxfId="0" text="" percent="0" bottom="0">
      <formula>AND(ISNUMBER(AY58),AY58&lt;90)</formula>
    </cfRule>
    <cfRule type="expression" rank="0" priority="116" equalAverage="0" aboveAverage="0" dxfId="1" text="" percent="0" bottom="0">
      <formula>AND(ISNUMBER(AY58),AY58&gt;200)</formula>
    </cfRule>
    <cfRule type="expression" rank="0" priority="117" equalAverage="0" aboveAverage="0" dxfId="2" text="" percent="0" bottom="0">
      <formula>AND(ISNUMBER(AY58),AY58&gt;=90,AY58&lt;=200)</formula>
    </cfRule>
  </conditionalFormatting>
  <conditionalFormatting sqref="AZ58">
    <cfRule type="expression" rank="0" priority="118" equalAverage="0" aboveAverage="0" dxfId="0" text="" percent="0" bottom="0">
      <formula>AND(ISNUMBER(AZ58),AZ58&lt;90)</formula>
    </cfRule>
    <cfRule type="expression" rank="0" priority="119" equalAverage="0" aboveAverage="0" dxfId="1" text="" percent="0" bottom="0">
      <formula>AND(ISNUMBER(AZ58),AZ58&gt;200)</formula>
    </cfRule>
    <cfRule type="expression" rank="0" priority="120" equalAverage="0" aboveAverage="0" dxfId="2" text="" percent="0" bottom="0">
      <formula>AND(ISNUMBER(AZ58),AZ58&gt;=90,AZ58&lt;=200)</formula>
    </cfRule>
  </conditionalFormatting>
  <conditionalFormatting sqref="L58">
    <cfRule type="expression" rank="0" priority="121" equalAverage="0" aboveAverage="0" dxfId="3" text="" percent="0" bottom="0">
      <formula>ISNUMBER(L58)</formula>
    </cfRule>
  </conditionalFormatting>
  <conditionalFormatting sqref="M58">
    <cfRule type="expression" rank="0" priority="122" equalAverage="0" aboveAverage="0" dxfId="3" text="" percent="0" bottom="0">
      <formula>ISNUMBER(M58)</formula>
    </cfRule>
  </conditionalFormatting>
  <conditionalFormatting sqref="N58">
    <cfRule type="expression" rank="0" priority="123" equalAverage="0" aboveAverage="0" dxfId="3" text="" percent="0" bottom="0">
      <formula>ISNUMBER(N58)</formula>
    </cfRule>
  </conditionalFormatting>
  <conditionalFormatting sqref="O58">
    <cfRule type="expression" rank="0" priority="124" equalAverage="0" aboveAverage="0" dxfId="3" text="" percent="0" bottom="0">
      <formula>ISNUMBER(O58)</formula>
    </cfRule>
  </conditionalFormatting>
  <conditionalFormatting sqref="P58">
    <cfRule type="expression" rank="0" priority="125" equalAverage="0" aboveAverage="0" dxfId="3" text="" percent="0" bottom="0">
      <formula>ISNUMBER(P58)</formula>
    </cfRule>
  </conditionalFormatting>
  <conditionalFormatting sqref="Q58">
    <cfRule type="expression" rank="0" priority="126" equalAverage="0" aboveAverage="0" dxfId="3" text="" percent="0" bottom="0">
      <formula>ISNUMBER(Q58)</formula>
    </cfRule>
  </conditionalFormatting>
  <conditionalFormatting sqref="AA58">
    <cfRule type="expression" rank="0" priority="127" equalAverage="0" aboveAverage="0" dxfId="3" text="" percent="0" bottom="0">
      <formula>ISNUMBER(AA58)</formula>
    </cfRule>
  </conditionalFormatting>
  <conditionalFormatting sqref="BA58">
    <cfRule type="expression" rank="0" priority="128" equalAverage="0" aboveAverage="0" dxfId="3" text="" percent="0" bottom="0">
      <formula>ISNUMBER(BA58)</formula>
    </cfRule>
  </conditionalFormatting>
  <conditionalFormatting sqref="BB58">
    <cfRule type="expression" rank="0" priority="129" equalAverage="0" aboveAverage="0" dxfId="3" text="" percent="0" bottom="0">
      <formula>ISNUMBER(BB58)</formula>
    </cfRule>
  </conditionalFormatting>
  <conditionalFormatting sqref="BC58">
    <cfRule type="expression" rank="0" priority="130" equalAverage="0" aboveAverage="0" dxfId="3" text="" percent="0" bottom="0">
      <formula>ISNUMBER(BC58)</formula>
    </cfRule>
  </conditionalFormatting>
  <conditionalFormatting sqref="BD58">
    <cfRule type="expression" rank="0" priority="131" equalAverage="0" aboveAverage="0" dxfId="3" text="" percent="0" bottom="0">
      <formula>ISNUMBER(BD58)</formula>
    </cfRule>
  </conditionalFormatting>
  <conditionalFormatting sqref="BE58">
    <cfRule type="expression" rank="0" priority="132" equalAverage="0" aboveAverage="0" dxfId="3" text="" percent="0" bottom="0">
      <formula>ISNUMBER(BE58)</formula>
    </cfRule>
  </conditionalFormatting>
  <conditionalFormatting sqref="BF58">
    <cfRule type="expression" rank="0" priority="133" equalAverage="0" aboveAverage="0" dxfId="3" text="" percent="0" bottom="0">
      <formula>ISNUMBER(BF58)</formula>
    </cfRule>
  </conditionalFormatting>
  <conditionalFormatting sqref="BG58">
    <cfRule type="expression" rank="0" priority="134" equalAverage="0" aboveAverage="0" dxfId="3" text="" percent="0" bottom="0">
      <formula>ISNUMBER(BG58)</formula>
    </cfRule>
  </conditionalFormatting>
  <conditionalFormatting sqref="BH58">
    <cfRule type="expression" rank="0" priority="135" equalAverage="0" aboveAverage="0" dxfId="3" text="" percent="0" bottom="0">
      <formula>ISNUMBER(BH58)</formula>
    </cfRule>
  </conditionalFormatting>
  <conditionalFormatting sqref="BI58">
    <cfRule type="expression" rank="0" priority="136" equalAverage="0" aboveAverage="0" dxfId="3" text="" percent="0" bottom="0">
      <formula>ISNUMBER(BI58)</formula>
    </cfRule>
  </conditionalFormatting>
  <conditionalFormatting sqref="BJ58">
    <cfRule type="expression" rank="0" priority="137" equalAverage="0" aboveAverage="0" dxfId="3" text="" percent="0" bottom="0">
      <formula>ISNUMBER(BJ58)</formula>
    </cfRule>
  </conditionalFormatting>
  <conditionalFormatting sqref="BK58">
    <cfRule type="expression" rank="0" priority="138" equalAverage="0" aboveAverage="0" dxfId="3" text="" percent="0" bottom="0">
      <formula>ISNUMBER(BK58)</formula>
    </cfRule>
  </conditionalFormatting>
  <conditionalFormatting sqref="BL58">
    <cfRule type="expression" rank="0" priority="139" equalAverage="0" aboveAverage="0" dxfId="3" text="" percent="0" bottom="0">
      <formula>ISNUMBER(BL58)</formula>
    </cfRule>
  </conditionalFormatting>
  <conditionalFormatting sqref="BM58">
    <cfRule type="expression" rank="0" priority="140" equalAverage="0" aboveAverage="0" dxfId="3" text="" percent="0" bottom="0">
      <formula>ISNUMBER(BM58)</formula>
    </cfRule>
  </conditionalFormatting>
  <conditionalFormatting sqref="BN58">
    <cfRule type="expression" rank="0" priority="141" equalAverage="0" aboveAverage="0" dxfId="3" text="" percent="0" bottom="0">
      <formula>ISNUMBER(BN58)</formula>
    </cfRule>
  </conditionalFormatting>
  <conditionalFormatting sqref="BO58">
    <cfRule type="expression" rank="0" priority="142" equalAverage="0" aboveAverage="0" dxfId="3" text="" percent="0" bottom="0">
      <formula>ISNUMBER(BO58)</formula>
    </cfRule>
  </conditionalFormatting>
  <conditionalFormatting sqref="BP58">
    <cfRule type="expression" rank="0" priority="143" equalAverage="0" aboveAverage="0" dxfId="3" text="" percent="0" bottom="0">
      <formula>ISNUMBER(BP58)</formula>
    </cfRule>
  </conditionalFormatting>
  <conditionalFormatting sqref="BQ58">
    <cfRule type="expression" rank="0" priority="144" equalAverage="0" aboveAverage="0" dxfId="3" text="" percent="0" bottom="0">
      <formula>ISNUMBER(BQ58)</formula>
    </cfRule>
  </conditionalFormatting>
  <conditionalFormatting sqref="BR58">
    <cfRule type="expression" rank="0" priority="145" equalAverage="0" aboveAverage="0" dxfId="3" text="" percent="0" bottom="0">
      <formula>ISNUMBER(BR58)</formula>
    </cfRule>
  </conditionalFormatting>
  <conditionalFormatting sqref="BS58">
    <cfRule type="expression" rank="0" priority="146" equalAverage="0" aboveAverage="0" dxfId="3" text="" percent="0" bottom="0">
      <formula>ISNUMBER(BS58)</formula>
    </cfRule>
  </conditionalFormatting>
  <conditionalFormatting sqref="BT58">
    <cfRule type="expression" rank="0" priority="147" equalAverage="0" aboveAverage="0" dxfId="3" text="" percent="0" bottom="0">
      <formula>ISNUMBER(BT58)</formula>
    </cfRule>
  </conditionalFormatting>
  <conditionalFormatting sqref="BU58">
    <cfRule type="expression" rank="0" priority="148" equalAverage="0" aboveAverage="0" dxfId="3" text="" percent="0" bottom="0">
      <formula>ISNUMBER(BU58)</formula>
    </cfRule>
  </conditionalFormatting>
  <conditionalFormatting sqref="BV58">
    <cfRule type="expression" rank="0" priority="149" equalAverage="0" aboveAverage="0" dxfId="3" text="" percent="0" bottom="0">
      <formula>ISNUMBER(BV58)</formula>
    </cfRule>
  </conditionalFormatting>
  <conditionalFormatting sqref="BW58">
    <cfRule type="expression" rank="0" priority="150" equalAverage="0" aboveAverage="0" dxfId="3" text="" percent="0" bottom="0">
      <formula>ISNUMBER(BW58)</formula>
    </cfRule>
  </conditionalFormatting>
  <conditionalFormatting sqref="BX58">
    <cfRule type="expression" rank="0" priority="151" equalAverage="0" aboveAverage="0" dxfId="3" text="" percent="0" bottom="0">
      <formula>ISNUMBER(BX58)</formula>
    </cfRule>
  </conditionalFormatting>
  <conditionalFormatting sqref="BY58">
    <cfRule type="expression" rank="0" priority="152" equalAverage="0" aboveAverage="0" dxfId="3" text="" percent="0" bottom="0">
      <formula>ISNUMBER(BY58)</formula>
    </cfRule>
  </conditionalFormatting>
  <conditionalFormatting sqref="BZ58">
    <cfRule type="expression" rank="0" priority="153" equalAverage="0" aboveAverage="0" dxfId="3" text="" percent="0" bottom="0">
      <formula>ISNUMBER(BZ58)</formula>
    </cfRule>
  </conditionalFormatting>
  <conditionalFormatting sqref="CA58">
    <cfRule type="expression" rank="0" priority="154" equalAverage="0" aboveAverage="0" dxfId="3" text="" percent="0" bottom="0">
      <formula>ISNUMBER(CA58)</formula>
    </cfRule>
  </conditionalFormatting>
  <conditionalFormatting sqref="CB58">
    <cfRule type="expression" rank="0" priority="155" equalAverage="0" aboveAverage="0" dxfId="3" text="" percent="0" bottom="0">
      <formula>ISNUMBER(CB58)</formula>
    </cfRule>
  </conditionalFormatting>
  <conditionalFormatting sqref="CC58">
    <cfRule type="expression" rank="0" priority="156" equalAverage="0" aboveAverage="0" dxfId="3" text="" percent="0" bottom="0">
      <formula>ISNUMBER(CC58)</formula>
    </cfRule>
  </conditionalFormatting>
  <conditionalFormatting sqref="CD58">
    <cfRule type="expression" rank="0" priority="157" equalAverage="0" aboveAverage="0" dxfId="3" text="" percent="0" bottom="0">
      <formula>ISNUMBER(CD58)</formula>
    </cfRule>
  </conditionalFormatting>
  <conditionalFormatting sqref="CE58">
    <cfRule type="expression" rank="0" priority="158" equalAverage="0" aboveAverage="0" dxfId="3" text="" percent="0" bottom="0">
      <formula>ISNUMBER(CE58)</formula>
    </cfRule>
  </conditionalFormatting>
  <conditionalFormatting sqref="CF58">
    <cfRule type="expression" rank="0" priority="159" equalAverage="0" aboveAverage="0" dxfId="3" text="" percent="0" bottom="0">
      <formula>ISNUMBER(CF58)</formula>
    </cfRule>
  </conditionalFormatting>
  <conditionalFormatting sqref="CG58">
    <cfRule type="expression" rank="0" priority="160" equalAverage="0" aboveAverage="0" dxfId="3" text="" percent="0" bottom="0">
      <formula>ISNUMBER(CG58)</formula>
    </cfRule>
  </conditionalFormatting>
  <conditionalFormatting sqref="CH58">
    <cfRule type="expression" rank="0" priority="161" equalAverage="0" aboveAverage="0" dxfId="3" text="" percent="0" bottom="0">
      <formula>ISNUMBER(CH58)</formula>
    </cfRule>
  </conditionalFormatting>
  <conditionalFormatting sqref="CI58">
    <cfRule type="expression" rank="0" priority="162" equalAverage="0" aboveAverage="0" dxfId="3" text="" percent="0" bottom="0">
      <formula>ISNUMBER(CI58)</formula>
    </cfRule>
  </conditionalFormatting>
  <conditionalFormatting sqref="CJ58">
    <cfRule type="expression" rank="0" priority="163" equalAverage="0" aboveAverage="0" dxfId="3" text="" percent="0" bottom="0">
      <formula>ISNUMBER(CJ58)</formula>
    </cfRule>
  </conditionalFormatting>
  <conditionalFormatting sqref="CK58">
    <cfRule type="expression" rank="0" priority="164" equalAverage="0" aboveAverage="0" dxfId="3" text="" percent="0" bottom="0">
      <formula>ISNUMBER(CK58)</formula>
    </cfRule>
  </conditionalFormatting>
  <conditionalFormatting sqref="CL58">
    <cfRule type="expression" rank="0" priority="165" equalAverage="0" aboveAverage="0" dxfId="3" text="" percent="0" bottom="0">
      <formula>ISNUMBER(CL58)</formula>
    </cfRule>
  </conditionalFormatting>
  <conditionalFormatting sqref="CM58">
    <cfRule type="expression" rank="0" priority="166" equalAverage="0" aboveAverage="0" dxfId="3" text="" percent="0" bottom="0">
      <formula>ISNUMBER(CM58)</formula>
    </cfRule>
  </conditionalFormatting>
  <conditionalFormatting sqref="J43">
    <cfRule type="expression" rank="0" priority="167" equalAverage="0" aboveAverage="0" dxfId="0" text="" percent="0" bottom="0">
      <formula>AND(ISNUMBER(J43),J43&lt;2700)</formula>
    </cfRule>
    <cfRule type="expression" rank="0" priority="168" equalAverage="0" aboveAverage="0" dxfId="1" text="" percent="0" bottom="0">
      <formula>AND(ISNUMBER(J43),J43&gt;3300)</formula>
    </cfRule>
    <cfRule type="expression" rank="0" priority="169" equalAverage="0" aboveAverage="0" dxfId="2" text="" percent="0" bottom="0">
      <formula>AND(ISNUMBER(J43),J43&gt;=2700,J43&lt;=3300)</formula>
    </cfRule>
  </conditionalFormatting>
  <conditionalFormatting sqref="K43">
    <cfRule type="expression" rank="0" priority="170" equalAverage="0" aboveAverage="0" dxfId="0" text="" percent="0" bottom="0">
      <formula>AND(ISNUMBER(K43),K43&lt;180)</formula>
    </cfRule>
    <cfRule type="expression" rank="0" priority="171" equalAverage="0" aboveAverage="0" dxfId="1" text="" percent="0" bottom="0">
      <formula>AND(ISNUMBER(K43),K43&gt;200)</formula>
    </cfRule>
    <cfRule type="expression" rank="0" priority="172" equalAverage="0" aboveAverage="0" dxfId="2" text="" percent="0" bottom="0">
      <formula>AND(ISNUMBER(K43),K43&gt;=180,K43&lt;=200)</formula>
    </cfRule>
  </conditionalFormatting>
  <conditionalFormatting sqref="R43">
    <cfRule type="expression" rank="0" priority="173" equalAverage="0" aboveAverage="0" dxfId="0" text="" percent="0" bottom="0">
      <formula>AND(ISNUMBER(R43),R43&lt;120)</formula>
    </cfRule>
    <cfRule type="expression" rank="0" priority="174" equalAverage="0" aboveAverage="0" dxfId="1" text="" percent="0" bottom="0">
      <formula>AND(ISNUMBER(R43),R43&gt;190)</formula>
    </cfRule>
    <cfRule type="expression" rank="0" priority="175" equalAverage="0" aboveAverage="0" dxfId="2" text="" percent="0" bottom="0">
      <formula>AND(ISNUMBER(R43),R43&gt;=120,R43&lt;=190)</formula>
    </cfRule>
  </conditionalFormatting>
  <conditionalFormatting sqref="S43">
    <cfRule type="expression" rank="0" priority="176" equalAverage="0" aboveAverage="0" dxfId="1" text="" percent="0" bottom="0">
      <formula>AND(ISNUMBER(S43),S43&gt;22)</formula>
    </cfRule>
    <cfRule type="expression" rank="0" priority="177" equalAverage="0" aboveAverage="0" dxfId="2" text="" percent="0" bottom="0">
      <formula>AND(ISNUMBER(S43),S43&lt;=22)</formula>
    </cfRule>
  </conditionalFormatting>
  <conditionalFormatting sqref="T43">
    <cfRule type="expression" rank="0" priority="178" equalAverage="0" aboveAverage="0" dxfId="0" text="" percent="0" bottom="0">
      <formula>AND(ISNUMBER(T43),T43&lt;40)</formula>
    </cfRule>
    <cfRule type="expression" rank="0" priority="179" equalAverage="0" aboveAverage="0" dxfId="1" text="" percent="0" bottom="0">
      <formula>AND(ISNUMBER(T43),T43&gt;70)</formula>
    </cfRule>
    <cfRule type="expression" rank="0" priority="180" equalAverage="0" aboveAverage="0" dxfId="2" text="" percent="0" bottom="0">
      <formula>AND(ISNUMBER(T43),T43&gt;=40,T43&lt;=70)</formula>
    </cfRule>
  </conditionalFormatting>
  <conditionalFormatting sqref="U43">
    <cfRule type="expression" rank="0" priority="181" equalAverage="0" aboveAverage="0" dxfId="0" text="" percent="0" bottom="0">
      <formula>AND(ISNUMBER(U43),U43&lt;12)</formula>
    </cfRule>
    <cfRule type="expression" rank="0" priority="182" equalAverage="0" aboveAverage="0" dxfId="1" text="" percent="0" bottom="0">
      <formula>AND(ISNUMBER(U43),U43&gt;22)</formula>
    </cfRule>
    <cfRule type="expression" rank="0" priority="183" equalAverage="0" aboveAverage="0" dxfId="2" text="" percent="0" bottom="0">
      <formula>AND(ISNUMBER(U43),U43&gt;=12,U43&lt;=22)</formula>
    </cfRule>
  </conditionalFormatting>
  <conditionalFormatting sqref="V43">
    <cfRule type="expression" rank="0" priority="184" equalAverage="0" aboveAverage="0" dxfId="0" text="" percent="0" bottom="0">
      <formula>AND(ISNUMBER(V43),V43&lt;1.6)</formula>
    </cfRule>
    <cfRule type="expression" rank="0" priority="185" equalAverage="0" aboveAverage="0" dxfId="2" text="" percent="0" bottom="0">
      <formula>AND(ISNUMBER(V43),V43&gt;=1.6)</formula>
    </cfRule>
  </conditionalFormatting>
  <conditionalFormatting sqref="W43">
    <cfRule type="expression" rank="0" priority="186" equalAverage="0" aboveAverage="0" dxfId="1" text="" percent="0" bottom="0">
      <formula>AND(ISNUMBER(W43),W43&gt;15)</formula>
    </cfRule>
    <cfRule type="expression" rank="0" priority="187" equalAverage="0" aboveAverage="0" dxfId="2" text="" percent="0" bottom="0">
      <formula>AND(ISNUMBER(W43),W43&lt;=15)</formula>
    </cfRule>
  </conditionalFormatting>
  <conditionalFormatting sqref="X43">
    <cfRule type="expression" rank="0" priority="188" equalAverage="0" aboveAverage="0" dxfId="1" text="" percent="0" bottom="0">
      <formula>AND(ISNUMBER(X43),X43&gt;1)</formula>
    </cfRule>
    <cfRule type="expression" rank="0" priority="189" equalAverage="0" aboveAverage="0" dxfId="2" text="" percent="0" bottom="0">
      <formula>AND(ISNUMBER(X43),X43&lt;=1)</formula>
    </cfRule>
  </conditionalFormatting>
  <conditionalFormatting sqref="Y43">
    <cfRule type="expression" rank="0" priority="190" equalAverage="0" aboveAverage="0" dxfId="0" text="" percent="0" bottom="0">
      <formula>AND(ISNUMBER(Y43),Y43&lt;190)</formula>
    </cfRule>
    <cfRule type="expression" rank="0" priority="191" equalAverage="0" aboveAverage="0" dxfId="1" text="" percent="0" bottom="0">
      <formula>AND(ISNUMBER(Y43),Y43&gt;230)</formula>
    </cfRule>
    <cfRule type="expression" rank="0" priority="192" equalAverage="0" aboveAverage="0" dxfId="2" text="" percent="0" bottom="0">
      <formula>AND(ISNUMBER(Y43),Y43&gt;=190,Y43&lt;=230)</formula>
    </cfRule>
  </conditionalFormatting>
  <conditionalFormatting sqref="Z43">
    <cfRule type="expression" rank="0" priority="193" equalAverage="0" aboveAverage="0" dxfId="1" text="" percent="0" bottom="0">
      <formula>AND(ISNUMBER(Z43),Z43&gt;100)</formula>
    </cfRule>
    <cfRule type="expression" rank="0" priority="194" equalAverage="0" aboveAverage="0" dxfId="2" text="" percent="0" bottom="0">
      <formula>AND(ISNUMBER(Z43),Z43&lt;=100)</formula>
    </cfRule>
  </conditionalFormatting>
  <conditionalFormatting sqref="AB43">
    <cfRule type="expression" rank="0" priority="195" equalAverage="0" aboveAverage="0" dxfId="0" text="" percent="0" bottom="0">
      <formula>AND(ISNUMBER(AB43),AB43&lt;70)</formula>
    </cfRule>
    <cfRule type="expression" rank="0" priority="196" equalAverage="0" aboveAverage="0" dxfId="1" text="" percent="0" bottom="0">
      <formula>AND(ISNUMBER(AB43),AB43&gt;110)</formula>
    </cfRule>
    <cfRule type="expression" rank="0" priority="197" equalAverage="0" aboveAverage="0" dxfId="2" text="" percent="0" bottom="0">
      <formula>AND(ISNUMBER(AB43),AB43&gt;=70,AB43&lt;=110)</formula>
    </cfRule>
  </conditionalFormatting>
  <conditionalFormatting sqref="AC43">
    <cfRule type="expression" rank="0" priority="198" equalAverage="0" aboveAverage="0" dxfId="0" text="" percent="0" bottom="0">
      <formula>AND(ISNUMBER(AC43),AC43&lt;28)</formula>
    </cfRule>
    <cfRule type="expression" rank="0" priority="199" equalAverage="0" aboveAverage="0" dxfId="1" text="" percent="0" bottom="0">
      <formula>AND(ISNUMBER(AC43),AC43&gt;38)</formula>
    </cfRule>
    <cfRule type="expression" rank="0" priority="200" equalAverage="0" aboveAverage="0" dxfId="2" text="" percent="0" bottom="0">
      <formula>AND(ISNUMBER(AC43),AC43&gt;=28,AC43&lt;=38)</formula>
    </cfRule>
  </conditionalFormatting>
  <conditionalFormatting sqref="AD43">
    <cfRule type="expression" rank="0" priority="201" equalAverage="0" aboveAverage="0" dxfId="0" text="" percent="0" bottom="0">
      <formula>AND(ISNUMBER(AD43),AD43&lt;160)</formula>
    </cfRule>
    <cfRule type="expression" rank="0" priority="202" equalAverage="0" aboveAverage="0" dxfId="1" text="" percent="0" bottom="0">
      <formula>AND(ISNUMBER(AD43),AD43&gt;180)</formula>
    </cfRule>
    <cfRule type="expression" rank="0" priority="203" equalAverage="0" aboveAverage="0" dxfId="2" text="" percent="0" bottom="0">
      <formula>AND(ISNUMBER(AD43),AD43&gt;=160,AD43&lt;=180)</formula>
    </cfRule>
  </conditionalFormatting>
  <conditionalFormatting sqref="AE43">
    <cfRule type="expression" rank="0" priority="204" equalAverage="0" aboveAverage="0" dxfId="0" text="" percent="0" bottom="0">
      <formula>AND(ISNUMBER(AE43),AE43&gt;3500)</formula>
    </cfRule>
    <cfRule type="expression" rank="0" priority="205" equalAverage="0" aboveAverage="0" dxfId="0" text="" percent="0" bottom="0">
      <formula>AND(ISNUMBER(AE43),AE43&lt;500)</formula>
    </cfRule>
    <cfRule type="expression" rank="0" priority="206" equalAverage="0" aboveAverage="0" dxfId="1" text="" percent="0" bottom="0">
      <formula>AND(ISNUMBER(AE43),AE43&gt;600,AE43&lt;=3500)</formula>
    </cfRule>
    <cfRule type="expression" rank="0" priority="207" equalAverage="0" aboveAverage="0" dxfId="2" text="" percent="0" bottom="0">
      <formula>AND(ISNUMBER(AE43),AE43&gt;=500,AE43&lt;=600)</formula>
    </cfRule>
  </conditionalFormatting>
  <conditionalFormatting sqref="AF43">
    <cfRule type="expression" rank="0" priority="208" equalAverage="0" aboveAverage="0" dxfId="0" text="" percent="0" bottom="0">
      <formula>AND(ISNUMBER(AF43),AF43&gt;2500)</formula>
    </cfRule>
    <cfRule type="expression" rank="0" priority="209" equalAverage="0" aboveAverage="0" dxfId="0" text="" percent="0" bottom="0">
      <formula>AND(ISNUMBER(AF43),AF43&lt;1000)</formula>
    </cfRule>
    <cfRule type="expression" rank="0" priority="210" equalAverage="0" aboveAverage="0" dxfId="1" text="" percent="0" bottom="0">
      <formula>AND(ISNUMBER(AF43),AF43&gt;1500,AF43&lt;=2500)</formula>
    </cfRule>
    <cfRule type="expression" rank="0" priority="211" equalAverage="0" aboveAverage="0" dxfId="2" text="" percent="0" bottom="0">
      <formula>AND(ISNUMBER(AF43),AF43&gt;=1000,AF43&lt;=1500)</formula>
    </cfRule>
  </conditionalFormatting>
  <conditionalFormatting sqref="AG43">
    <cfRule type="expression" rank="0" priority="212" equalAverage="0" aboveAverage="0" dxfId="0" text="" percent="0" bottom="0">
      <formula>AND(ISNUMBER(AG43),AG43&lt;350)</formula>
    </cfRule>
    <cfRule type="expression" rank="0" priority="213" equalAverage="0" aboveAverage="0" dxfId="1" text="" percent="0" bottom="0">
      <formula>AND(ISNUMBER(AG43),AG43&gt;500)</formula>
    </cfRule>
    <cfRule type="expression" rank="0" priority="214" equalAverage="0" aboveAverage="0" dxfId="2" text="" percent="0" bottom="0">
      <formula>AND(ISNUMBER(AG43),AG43&gt;=350,AG43&lt;=500)</formula>
    </cfRule>
  </conditionalFormatting>
  <conditionalFormatting sqref="AH43">
    <cfRule type="expression" rank="0" priority="215" equalAverage="0" aboveAverage="0" dxfId="0" text="" percent="0" bottom="0">
      <formula>AND(ISNUMBER(AH43),AH43&lt;2400)</formula>
    </cfRule>
    <cfRule type="expression" rank="0" priority="216" equalAverage="0" aboveAverage="0" dxfId="1" text="" percent="0" bottom="0">
      <formula>AND(ISNUMBER(AH43),AH43&gt;3500)</formula>
    </cfRule>
    <cfRule type="expression" rank="0" priority="217" equalAverage="0" aboveAverage="0" dxfId="2" text="" percent="0" bottom="0">
      <formula>AND(ISNUMBER(AH43),AH43&gt;=2400,AH43&lt;=3500)</formula>
    </cfRule>
  </conditionalFormatting>
  <conditionalFormatting sqref="AI43">
    <cfRule type="expression" rank="0" priority="218" equalAverage="0" aboveAverage="0" dxfId="0" text="" percent="0" bottom="0">
      <formula>AND(ISNUMBER(AI43),AI43&gt;4000)</formula>
    </cfRule>
    <cfRule type="expression" rank="0" priority="219" equalAverage="0" aboveAverage="0" dxfId="0" text="" percent="0" bottom="0">
      <formula>AND(ISNUMBER(AI43),AI43&lt;700)</formula>
    </cfRule>
    <cfRule type="expression" rank="0" priority="220" equalAverage="0" aboveAverage="0" dxfId="1" text="" percent="0" bottom="0">
      <formula>AND(ISNUMBER(AI43),AI43&gt;1300,AI43&lt;=4000)</formula>
    </cfRule>
    <cfRule type="expression" rank="0" priority="221" equalAverage="0" aboveAverage="0" dxfId="2" text="" percent="0" bottom="0">
      <formula>AND(ISNUMBER(AI43),AI43&gt;=700,AI43&lt;=1300)</formula>
    </cfRule>
  </conditionalFormatting>
  <conditionalFormatting sqref="AJ43">
    <cfRule type="expression" rank="0" priority="222" equalAverage="0" aboveAverage="0" dxfId="0" text="" percent="0" bottom="0">
      <formula>AND(ISNUMBER(AJ43),AJ43&gt;2300)</formula>
    </cfRule>
    <cfRule type="expression" rank="0" priority="223" equalAverage="0" aboveAverage="0" dxfId="0" text="" percent="0" bottom="0">
      <formula>AND(ISNUMBER(AJ43),AJ43&lt;1300)</formula>
    </cfRule>
    <cfRule type="expression" rank="0" priority="224" equalAverage="0" aboveAverage="0" dxfId="1" text="" percent="0" bottom="0">
      <formula>AND(ISNUMBER(AJ43),AJ43&gt;2300,AJ43&lt;=2300)</formula>
    </cfRule>
    <cfRule type="expression" rank="0" priority="225" equalAverage="0" aboveAverage="0" dxfId="2" text="" percent="0" bottom="0">
      <formula>AND(ISNUMBER(AJ43),AJ43&gt;=1300,AJ43&lt;=2300)</formula>
    </cfRule>
  </conditionalFormatting>
  <conditionalFormatting sqref="AK43">
    <cfRule type="expression" rank="0" priority="226" equalAverage="0" aboveAverage="0" dxfId="0" text="" percent="0" bottom="0">
      <formula>AND(ISNUMBER(AK43),AK43&gt;2000)</formula>
    </cfRule>
    <cfRule type="expression" rank="0" priority="227" equalAverage="0" aboveAverage="0" dxfId="0" text="" percent="0" bottom="0">
      <formula>AND(ISNUMBER(AK43),AK43&lt;45)</formula>
    </cfRule>
    <cfRule type="expression" rank="0" priority="228" equalAverage="0" aboveAverage="0" dxfId="1" text="" percent="0" bottom="0">
      <formula>AND(ISNUMBER(AK43),AK43&gt;200,AK43&lt;=2000)</formula>
    </cfRule>
    <cfRule type="expression" rank="0" priority="229" equalAverage="0" aboveAverage="0" dxfId="2" text="" percent="0" bottom="0">
      <formula>AND(ISNUMBER(AK43),AK43&gt;=45,AK43&lt;=200)</formula>
    </cfRule>
  </conditionalFormatting>
  <conditionalFormatting sqref="AL43">
    <cfRule type="expression" rank="0" priority="230" equalAverage="0" aboveAverage="0" dxfId="0" text="" percent="0" bottom="0">
      <formula>AND(ISNUMBER(AL43),AL43&gt;45)</formula>
    </cfRule>
    <cfRule type="expression" rank="0" priority="231" equalAverage="0" aboveAverage="0" dxfId="0" text="" percent="0" bottom="0">
      <formula>AND(ISNUMBER(AL43),AL43&lt;8)</formula>
    </cfRule>
    <cfRule type="expression" rank="0" priority="232" equalAverage="0" aboveAverage="0" dxfId="1" text="" percent="0" bottom="0">
      <formula>AND(ISNUMBER(AL43),AL43&gt;20,AL43&lt;=45)</formula>
    </cfRule>
    <cfRule type="expression" rank="0" priority="233" equalAverage="0" aboveAverage="0" dxfId="2" text="" percent="0" bottom="0">
      <formula>AND(ISNUMBER(AL43),AL43&gt;=8,AL43&lt;=20)</formula>
    </cfRule>
  </conditionalFormatting>
  <conditionalFormatting sqref="AM43">
    <cfRule type="expression" rank="0" priority="234" equalAverage="0" aboveAverage="0" dxfId="0" text="" percent="0" bottom="0">
      <formula>AND(ISNUMBER(AM43),AM43&gt;40)</formula>
    </cfRule>
    <cfRule type="expression" rank="0" priority="235" equalAverage="0" aboveAverage="0" dxfId="0" text="" percent="0" bottom="0">
      <formula>AND(ISNUMBER(AM43),AM43&lt;8)</formula>
    </cfRule>
    <cfRule type="expression" rank="0" priority="236" equalAverage="0" aboveAverage="0" dxfId="1" text="" percent="0" bottom="0">
      <formula>AND(ISNUMBER(AM43),AM43&gt;11,AM43&lt;=40)</formula>
    </cfRule>
    <cfRule type="expression" rank="0" priority="237" equalAverage="0" aboveAverage="0" dxfId="2" text="" percent="0" bottom="0">
      <formula>AND(ISNUMBER(AM43),AM43&gt;=8,AM43&lt;=11)</formula>
    </cfRule>
  </conditionalFormatting>
  <conditionalFormatting sqref="AN43">
    <cfRule type="expression" rank="0" priority="238" equalAverage="0" aboveAverage="0" dxfId="0" text="" percent="0" bottom="0">
      <formula>AND(ISNUMBER(AN43),AN43&gt;400)</formula>
    </cfRule>
    <cfRule type="expression" rank="0" priority="239" equalAverage="0" aboveAverage="0" dxfId="0" text="" percent="0" bottom="0">
      <formula>AND(ISNUMBER(AN43),AN43&lt;55)</formula>
    </cfRule>
    <cfRule type="expression" rank="0" priority="240" equalAverage="0" aboveAverage="0" dxfId="1" text="" percent="0" bottom="0">
      <formula>AND(ISNUMBER(AN43),AN43&gt;200,AN43&lt;=400)</formula>
    </cfRule>
    <cfRule type="expression" rank="0" priority="241" equalAverage="0" aboveAverage="0" dxfId="2" text="" percent="0" bottom="0">
      <formula>AND(ISNUMBER(AN43),AN43&gt;=55,AN43&lt;=200)</formula>
    </cfRule>
  </conditionalFormatting>
  <conditionalFormatting sqref="AO43">
    <cfRule type="expression" rank="0" priority="242" equalAverage="0" aboveAverage="0" dxfId="0" text="" percent="0" bottom="0">
      <formula>AND(ISNUMBER(AO43),AO43&gt;10000)</formula>
    </cfRule>
    <cfRule type="expression" rank="0" priority="243" equalAverage="0" aboveAverage="0" dxfId="0" text="" percent="0" bottom="0">
      <formula>AND(ISNUMBER(AO43),AO43&lt;800)</formula>
    </cfRule>
    <cfRule type="expression" rank="0" priority="244" equalAverage="0" aboveAverage="0" dxfId="1" text="" percent="0" bottom="0">
      <formula>AND(ISNUMBER(AO43),AO43&gt;1200,AO43&lt;=10000)</formula>
    </cfRule>
    <cfRule type="expression" rank="0" priority="245" equalAverage="0" aboveAverage="0" dxfId="2" text="" percent="0" bottom="0">
      <formula>AND(ISNUMBER(AO43),AO43&gt;=800,AO43&lt;=1200)</formula>
    </cfRule>
  </conditionalFormatting>
  <conditionalFormatting sqref="AP43">
    <cfRule type="expression" rank="0" priority="246" equalAverage="0" aboveAverage="0" dxfId="0" text="" percent="0" bottom="0">
      <formula>AND(ISNUMBER(AP43),AP43&gt;11)</formula>
    </cfRule>
    <cfRule type="expression" rank="0" priority="247" equalAverage="0" aboveAverage="0" dxfId="0" text="" percent="0" bottom="0">
      <formula>AND(ISNUMBER(AP43),AP43&lt;2.3)</formula>
    </cfRule>
    <cfRule type="expression" rank="0" priority="248" equalAverage="0" aboveAverage="0" dxfId="1" text="" percent="0" bottom="0">
      <formula>AND(ISNUMBER(AP43),AP43&gt;5,AP43&lt;=11)</formula>
    </cfRule>
    <cfRule type="expression" rank="0" priority="249" equalAverage="0" aboveAverage="0" dxfId="2" text="" percent="0" bottom="0">
      <formula>AND(ISNUMBER(AP43),AP43&gt;=2.3,AP43&lt;=5)</formula>
    </cfRule>
  </conditionalFormatting>
  <conditionalFormatting sqref="AQ43">
    <cfRule type="expression" rank="0" priority="250" equalAverage="0" aboveAverage="0" dxfId="0" text="" percent="0" bottom="0">
      <formula>AND(ISNUMBER(AQ43),AQ43&lt;35)</formula>
    </cfRule>
    <cfRule type="expression" rank="0" priority="251" equalAverage="0" aboveAverage="0" dxfId="1" text="" percent="0" bottom="0">
      <formula>AND(ISNUMBER(AQ43),AQ43&gt;200)</formula>
    </cfRule>
    <cfRule type="expression" rank="0" priority="252" equalAverage="0" aboveAverage="0" dxfId="2" text="" percent="0" bottom="0">
      <formula>AND(ISNUMBER(AQ43),AQ43&gt;=35,AQ43&lt;=200)</formula>
    </cfRule>
  </conditionalFormatting>
  <conditionalFormatting sqref="AR43">
    <cfRule type="expression" rank="0" priority="253" equalAverage="0" aboveAverage="0" dxfId="0" text="" percent="0" bottom="0">
      <formula>AND(ISNUMBER(AR43),AR43&gt;1100)</formula>
    </cfRule>
    <cfRule type="expression" rank="0" priority="254" equalAverage="0" aboveAverage="0" dxfId="0" text="" percent="0" bottom="0">
      <formula>AND(ISNUMBER(AR43),AR43&lt;150)</formula>
    </cfRule>
    <cfRule type="expression" rank="0" priority="255" equalAverage="0" aboveAverage="0" dxfId="1" text="" percent="0" bottom="0">
      <formula>AND(ISNUMBER(AR43),AR43&gt;500,AR43&lt;=1100)</formula>
    </cfRule>
    <cfRule type="expression" rank="0" priority="256" equalAverage="0" aboveAverage="0" dxfId="2" text="" percent="0" bottom="0">
      <formula>AND(ISNUMBER(AR43),AR43&gt;=150,AR43&lt;=500)</formula>
    </cfRule>
  </conditionalFormatting>
  <conditionalFormatting sqref="AS43">
    <cfRule type="expression" rank="0" priority="257" equalAverage="0" aboveAverage="0" dxfId="0" text="" percent="0" bottom="0">
      <formula>AND(ISNUMBER(AS43),AS43&gt;20)</formula>
    </cfRule>
    <cfRule type="expression" rank="0" priority="258" equalAverage="0" aboveAverage="0" dxfId="0" text="" percent="0" bottom="0">
      <formula>AND(ISNUMBER(AS43),AS43&lt;1)</formula>
    </cfRule>
    <cfRule type="expression" rank="0" priority="259" equalAverage="0" aboveAverage="0" dxfId="1" text="" percent="0" bottom="0">
      <formula>AND(ISNUMBER(AS43),AS43&gt;4,AS43&lt;=20)</formula>
    </cfRule>
    <cfRule type="expression" rank="0" priority="260" equalAverage="0" aboveAverage="0" dxfId="2" text="" percent="0" bottom="0">
      <formula>AND(ISNUMBER(AS43),AS43&gt;=1,AS43&lt;=4)</formula>
    </cfRule>
  </conditionalFormatting>
  <conditionalFormatting sqref="AT43">
    <cfRule type="expression" rank="0" priority="261" equalAverage="0" aboveAverage="0" dxfId="0" text="" percent="0" bottom="0">
      <formula>AND(ISNUMBER(AT43),AT43&gt;3000)</formula>
    </cfRule>
    <cfRule type="expression" rank="0" priority="262" equalAverage="0" aboveAverage="0" dxfId="0" text="" percent="0" bottom="0">
      <formula>AND(ISNUMBER(AT43),AT43&lt;900)</formula>
    </cfRule>
    <cfRule type="expression" rank="0" priority="263" equalAverage="0" aboveAverage="0" dxfId="1" text="" percent="0" bottom="0">
      <formula>AND(ISNUMBER(AT43),AT43&gt;1500,AT43&lt;=3000)</formula>
    </cfRule>
    <cfRule type="expression" rank="0" priority="264" equalAverage="0" aboveAverage="0" dxfId="2" text="" percent="0" bottom="0">
      <formula>AND(ISNUMBER(AT43),AT43&gt;=900,AT43&lt;=1500)</formula>
    </cfRule>
  </conditionalFormatting>
  <conditionalFormatting sqref="AU43">
    <cfRule type="expression" rank="0" priority="265" equalAverage="0" aboveAverage="0" dxfId="0" text="" percent="0" bottom="0">
      <formula>AND(ISNUMBER(AU43),AU43&gt;2000)</formula>
    </cfRule>
    <cfRule type="expression" rank="0" priority="266" equalAverage="0" aboveAverage="0" dxfId="0" text="" percent="0" bottom="0">
      <formula>AND(ISNUMBER(AU43),AU43&lt;90)</formula>
    </cfRule>
    <cfRule type="expression" rank="0" priority="267" equalAverage="0" aboveAverage="0" dxfId="1" text="" percent="0" bottom="0">
      <formula>AND(ISNUMBER(AU43),AU43&gt;250,AU43&lt;=2000)</formula>
    </cfRule>
    <cfRule type="expression" rank="0" priority="268" equalAverage="0" aboveAverage="0" dxfId="2" text="" percent="0" bottom="0">
      <formula>AND(ISNUMBER(AU43),AU43&gt;=90,AU43&lt;=250)</formula>
    </cfRule>
  </conditionalFormatting>
  <conditionalFormatting sqref="AV43">
    <cfRule type="expression" rank="0" priority="269" equalAverage="0" aboveAverage="0" dxfId="0" text="" percent="0" bottom="0">
      <formula>AND(ISNUMBER(AV43),AV43&gt;100)</formula>
    </cfRule>
    <cfRule type="expression" rank="0" priority="270" equalAverage="0" aboveAverage="0" dxfId="0" text="" percent="0" bottom="0">
      <formula>AND(ISNUMBER(AV43),AV43&lt;15)</formula>
    </cfRule>
    <cfRule type="expression" rank="0" priority="271" equalAverage="0" aboveAverage="0" dxfId="1" text="" percent="0" bottom="0">
      <formula>AND(ISNUMBER(AV43),AV43&gt;80,AV43&lt;=100)</formula>
    </cfRule>
    <cfRule type="expression" rank="0" priority="272" equalAverage="0" aboveAverage="0" dxfId="2" text="" percent="0" bottom="0">
      <formula>AND(ISNUMBER(AV43),AV43&gt;=15,AV43&lt;=80)</formula>
    </cfRule>
  </conditionalFormatting>
  <conditionalFormatting sqref="AW43">
    <cfRule type="expression" rank="0" priority="273" equalAverage="0" aboveAverage="0" dxfId="0" text="" percent="0" bottom="0">
      <formula>AND(ISNUMBER(AW43),AW43&gt;1000)</formula>
    </cfRule>
    <cfRule type="expression" rank="0" priority="274" equalAverage="0" aboveAverage="0" dxfId="0" text="" percent="0" bottom="0">
      <formula>AND(ISNUMBER(AW43),AW43&lt;15)</formula>
    </cfRule>
    <cfRule type="expression" rank="0" priority="275" equalAverage="0" aboveAverage="0" dxfId="1" text="" percent="0" bottom="0">
      <formula>AND(ISNUMBER(AW43),AW43&gt;30,AW43&lt;=1000)</formula>
    </cfRule>
    <cfRule type="expression" rank="0" priority="276" equalAverage="0" aboveAverage="0" dxfId="2" text="" percent="0" bottom="0">
      <formula>AND(ISNUMBER(AW43),AW43&gt;=15,AW43&lt;=30)</formula>
    </cfRule>
  </conditionalFormatting>
  <conditionalFormatting sqref="AX43">
    <cfRule type="expression" rank="0" priority="277" equalAverage="0" aboveAverage="0" dxfId="0" text="" percent="0" bottom="0">
      <formula>AND(ISNUMBER(AX43),AX43&lt;120)</formula>
    </cfRule>
    <cfRule type="expression" rank="0" priority="278" equalAverage="0" aboveAverage="0" dxfId="1" text="" percent="0" bottom="0">
      <formula>AND(ISNUMBER(AX43),AX43&gt;400)</formula>
    </cfRule>
    <cfRule type="expression" rank="0" priority="279" equalAverage="0" aboveAverage="0" dxfId="2" text="" percent="0" bottom="0">
      <formula>AND(ISNUMBER(AX43),AX43&gt;=120,AX43&lt;=400)</formula>
    </cfRule>
  </conditionalFormatting>
  <conditionalFormatting sqref="AY43">
    <cfRule type="expression" rank="0" priority="280" equalAverage="0" aboveAverage="0" dxfId="0" text="" percent="0" bottom="0">
      <formula>AND(ISNUMBER(AY43),AY43&lt;90)</formula>
    </cfRule>
    <cfRule type="expression" rank="0" priority="281" equalAverage="0" aboveAverage="0" dxfId="1" text="" percent="0" bottom="0">
      <formula>AND(ISNUMBER(AY43),AY43&gt;200)</formula>
    </cfRule>
    <cfRule type="expression" rank="0" priority="282" equalAverage="0" aboveAverage="0" dxfId="2" text="" percent="0" bottom="0">
      <formula>AND(ISNUMBER(AY43),AY43&gt;=90,AY43&lt;=200)</formula>
    </cfRule>
  </conditionalFormatting>
  <conditionalFormatting sqref="AZ43">
    <cfRule type="expression" rank="0" priority="283" equalAverage="0" aboveAverage="0" dxfId="0" text="" percent="0" bottom="0">
      <formula>AND(ISNUMBER(AZ43),AZ43&lt;90)</formula>
    </cfRule>
    <cfRule type="expression" rank="0" priority="284" equalAverage="0" aboveAverage="0" dxfId="1" text="" percent="0" bottom="0">
      <formula>AND(ISNUMBER(AZ43),AZ43&gt;200)</formula>
    </cfRule>
    <cfRule type="expression" rank="0" priority="285" equalAverage="0" aboveAverage="0" dxfId="2" text="" percent="0" bottom="0">
      <formula>AND(ISNUMBER(AZ43),AZ43&gt;=90,AZ43&lt;=200)</formula>
    </cfRule>
  </conditionalFormatting>
  <conditionalFormatting sqref="J56">
    <cfRule type="expression" rank="0" priority="286" equalAverage="0" aboveAverage="0" dxfId="0" text="" percent="0" bottom="0">
      <formula>AND(ISNUMBER(J56),J56&lt;2700)</formula>
    </cfRule>
    <cfRule type="expression" rank="0" priority="287" equalAverage="0" aboveAverage="0" dxfId="1" text="" percent="0" bottom="0">
      <formula>AND(ISNUMBER(J56),J56&gt;3300)</formula>
    </cfRule>
    <cfRule type="expression" rank="0" priority="288" equalAverage="0" aboveAverage="0" dxfId="2" text="" percent="0" bottom="0">
      <formula>AND(ISNUMBER(J56),J56&gt;=2700,J56&lt;=3300)</formula>
    </cfRule>
  </conditionalFormatting>
  <conditionalFormatting sqref="K56">
    <cfRule type="expression" rank="0" priority="289" equalAverage="0" aboveAverage="0" dxfId="0" text="" percent="0" bottom="0">
      <formula>AND(ISNUMBER(K56),K56&lt;180)</formula>
    </cfRule>
    <cfRule type="expression" rank="0" priority="290" equalAverage="0" aboveAverage="0" dxfId="1" text="" percent="0" bottom="0">
      <formula>AND(ISNUMBER(K56),K56&gt;200)</formula>
    </cfRule>
    <cfRule type="expression" rank="0" priority="291" equalAverage="0" aboveAverage="0" dxfId="2" text="" percent="0" bottom="0">
      <formula>AND(ISNUMBER(K56),K56&gt;=180,K56&lt;=200)</formula>
    </cfRule>
  </conditionalFormatting>
  <conditionalFormatting sqref="R56">
    <cfRule type="expression" rank="0" priority="292" equalAverage="0" aboveAverage="0" dxfId="0" text="" percent="0" bottom="0">
      <formula>AND(ISNUMBER(R56),R56&lt;120)</formula>
    </cfRule>
    <cfRule type="expression" rank="0" priority="293" equalAverage="0" aboveAverage="0" dxfId="1" text="" percent="0" bottom="0">
      <formula>AND(ISNUMBER(R56),R56&gt;190)</formula>
    </cfRule>
    <cfRule type="expression" rank="0" priority="294" equalAverage="0" aboveAverage="0" dxfId="2" text="" percent="0" bottom="0">
      <formula>AND(ISNUMBER(R56),R56&gt;=120,R56&lt;=190)</formula>
    </cfRule>
  </conditionalFormatting>
  <conditionalFormatting sqref="S56">
    <cfRule type="expression" rank="0" priority="295" equalAverage="0" aboveAverage="0" dxfId="1" text="" percent="0" bottom="0">
      <formula>AND(ISNUMBER(S56),S56&gt;22)</formula>
    </cfRule>
    <cfRule type="expression" rank="0" priority="296" equalAverage="0" aboveAverage="0" dxfId="2" text="" percent="0" bottom="0">
      <formula>AND(ISNUMBER(S56),S56&lt;=22)</formula>
    </cfRule>
  </conditionalFormatting>
  <conditionalFormatting sqref="T56">
    <cfRule type="expression" rank="0" priority="297" equalAverage="0" aboveAverage="0" dxfId="0" text="" percent="0" bottom="0">
      <formula>AND(ISNUMBER(T56),T56&lt;40)</formula>
    </cfRule>
    <cfRule type="expression" rank="0" priority="298" equalAverage="0" aboveAverage="0" dxfId="1" text="" percent="0" bottom="0">
      <formula>AND(ISNUMBER(T56),T56&gt;70)</formula>
    </cfRule>
    <cfRule type="expression" rank="0" priority="299" equalAverage="0" aboveAverage="0" dxfId="2" text="" percent="0" bottom="0">
      <formula>AND(ISNUMBER(T56),T56&gt;=40,T56&lt;=70)</formula>
    </cfRule>
  </conditionalFormatting>
  <conditionalFormatting sqref="U56">
    <cfRule type="expression" rank="0" priority="300" equalAverage="0" aboveAverage="0" dxfId="0" text="" percent="0" bottom="0">
      <formula>AND(ISNUMBER(U56),U56&lt;12)</formula>
    </cfRule>
    <cfRule type="expression" rank="0" priority="301" equalAverage="0" aboveAverage="0" dxfId="1" text="" percent="0" bottom="0">
      <formula>AND(ISNUMBER(U56),U56&gt;22)</formula>
    </cfRule>
    <cfRule type="expression" rank="0" priority="302" equalAverage="0" aboveAverage="0" dxfId="2" text="" percent="0" bottom="0">
      <formula>AND(ISNUMBER(U56),U56&gt;=12,U56&lt;=22)</formula>
    </cfRule>
  </conditionalFormatting>
  <conditionalFormatting sqref="V56">
    <cfRule type="expression" rank="0" priority="303" equalAverage="0" aboveAverage="0" dxfId="0" text="" percent="0" bottom="0">
      <formula>AND(ISNUMBER(V56),V56&lt;1.6)</formula>
    </cfRule>
    <cfRule type="expression" rank="0" priority="304" equalAverage="0" aboveAverage="0" dxfId="2" text="" percent="0" bottom="0">
      <formula>AND(ISNUMBER(V56),V56&gt;=1.6)</formula>
    </cfRule>
  </conditionalFormatting>
  <conditionalFormatting sqref="W56">
    <cfRule type="expression" rank="0" priority="305" equalAverage="0" aboveAverage="0" dxfId="1" text="" percent="0" bottom="0">
      <formula>AND(ISNUMBER(W56),W56&gt;15)</formula>
    </cfRule>
    <cfRule type="expression" rank="0" priority="306" equalAverage="0" aboveAverage="0" dxfId="2" text="" percent="0" bottom="0">
      <formula>AND(ISNUMBER(W56),W56&lt;=15)</formula>
    </cfRule>
  </conditionalFormatting>
  <conditionalFormatting sqref="X56">
    <cfRule type="expression" rank="0" priority="307" equalAverage="0" aboveAverage="0" dxfId="1" text="" percent="0" bottom="0">
      <formula>AND(ISNUMBER(X56),X56&gt;1)</formula>
    </cfRule>
    <cfRule type="expression" rank="0" priority="308" equalAverage="0" aboveAverage="0" dxfId="2" text="" percent="0" bottom="0">
      <formula>AND(ISNUMBER(X56),X56&lt;=1)</formula>
    </cfRule>
  </conditionalFormatting>
  <conditionalFormatting sqref="Y56">
    <cfRule type="expression" rank="0" priority="309" equalAverage="0" aboveAverage="0" dxfId="0" text="" percent="0" bottom="0">
      <formula>AND(ISNUMBER(Y56),Y56&lt;190)</formula>
    </cfRule>
    <cfRule type="expression" rank="0" priority="310" equalAverage="0" aboveAverage="0" dxfId="1" text="" percent="0" bottom="0">
      <formula>AND(ISNUMBER(Y56),Y56&gt;230)</formula>
    </cfRule>
    <cfRule type="expression" rank="0" priority="311" equalAverage="0" aboveAverage="0" dxfId="2" text="" percent="0" bottom="0">
      <formula>AND(ISNUMBER(Y56),Y56&gt;=190,Y56&lt;=230)</formula>
    </cfRule>
  </conditionalFormatting>
  <conditionalFormatting sqref="Z56">
    <cfRule type="expression" rank="0" priority="312" equalAverage="0" aboveAverage="0" dxfId="1" text="" percent="0" bottom="0">
      <formula>AND(ISNUMBER(Z56),Z56&gt;100)</formula>
    </cfRule>
    <cfRule type="expression" rank="0" priority="313" equalAverage="0" aboveAverage="0" dxfId="2" text="" percent="0" bottom="0">
      <formula>AND(ISNUMBER(Z56),Z56&lt;=100)</formula>
    </cfRule>
  </conditionalFormatting>
  <conditionalFormatting sqref="AB56">
    <cfRule type="expression" rank="0" priority="314" equalAverage="0" aboveAverage="0" dxfId="0" text="" percent="0" bottom="0">
      <formula>AND(ISNUMBER(AB56),AB56&lt;70)</formula>
    </cfRule>
    <cfRule type="expression" rank="0" priority="315" equalAverage="0" aboveAverage="0" dxfId="1" text="" percent="0" bottom="0">
      <formula>AND(ISNUMBER(AB56),AB56&gt;110)</formula>
    </cfRule>
    <cfRule type="expression" rank="0" priority="316" equalAverage="0" aboveAverage="0" dxfId="2" text="" percent="0" bottom="0">
      <formula>AND(ISNUMBER(AB56),AB56&gt;=70,AB56&lt;=110)</formula>
    </cfRule>
  </conditionalFormatting>
  <conditionalFormatting sqref="AC56">
    <cfRule type="expression" rank="0" priority="317" equalAverage="0" aboveAverage="0" dxfId="0" text="" percent="0" bottom="0">
      <formula>AND(ISNUMBER(AC56),AC56&lt;28)</formula>
    </cfRule>
    <cfRule type="expression" rank="0" priority="318" equalAverage="0" aboveAverage="0" dxfId="1" text="" percent="0" bottom="0">
      <formula>AND(ISNUMBER(AC56),AC56&gt;38)</formula>
    </cfRule>
    <cfRule type="expression" rank="0" priority="319" equalAverage="0" aboveAverage="0" dxfId="2" text="" percent="0" bottom="0">
      <formula>AND(ISNUMBER(AC56),AC56&gt;=28,AC56&lt;=38)</formula>
    </cfRule>
  </conditionalFormatting>
  <conditionalFormatting sqref="AD56">
    <cfRule type="expression" rank="0" priority="320" equalAverage="0" aboveAverage="0" dxfId="0" text="" percent="0" bottom="0">
      <formula>AND(ISNUMBER(AD56),AD56&lt;160)</formula>
    </cfRule>
    <cfRule type="expression" rank="0" priority="321" equalAverage="0" aboveAverage="0" dxfId="1" text="" percent="0" bottom="0">
      <formula>AND(ISNUMBER(AD56),AD56&gt;180)</formula>
    </cfRule>
    <cfRule type="expression" rank="0" priority="322" equalAverage="0" aboveAverage="0" dxfId="2" text="" percent="0" bottom="0">
      <formula>AND(ISNUMBER(AD56),AD56&gt;=160,AD56&lt;=180)</formula>
    </cfRule>
  </conditionalFormatting>
  <conditionalFormatting sqref="AE56">
    <cfRule type="expression" rank="0" priority="323" equalAverage="0" aboveAverage="0" dxfId="0" text="" percent="0" bottom="0">
      <formula>AND(ISNUMBER(AE56),AE56&gt;3500)</formula>
    </cfRule>
    <cfRule type="expression" rank="0" priority="324" equalAverage="0" aboveAverage="0" dxfId="0" text="" percent="0" bottom="0">
      <formula>AND(ISNUMBER(AE56),AE56&lt;500)</formula>
    </cfRule>
    <cfRule type="expression" rank="0" priority="325" equalAverage="0" aboveAverage="0" dxfId="1" text="" percent="0" bottom="0">
      <formula>AND(ISNUMBER(AE56),AE56&gt;600,AE56&lt;=3500)</formula>
    </cfRule>
    <cfRule type="expression" rank="0" priority="326" equalAverage="0" aboveAverage="0" dxfId="2" text="" percent="0" bottom="0">
      <formula>AND(ISNUMBER(AE56),AE56&gt;=500,AE56&lt;=600)</formula>
    </cfRule>
  </conditionalFormatting>
  <conditionalFormatting sqref="AF56">
    <cfRule type="expression" rank="0" priority="327" equalAverage="0" aboveAverage="0" dxfId="0" text="" percent="0" bottom="0">
      <formula>AND(ISNUMBER(AF56),AF56&gt;2500)</formula>
    </cfRule>
    <cfRule type="expression" rank="0" priority="328" equalAverage="0" aboveAverage="0" dxfId="0" text="" percent="0" bottom="0">
      <formula>AND(ISNUMBER(AF56),AF56&lt;1000)</formula>
    </cfRule>
    <cfRule type="expression" rank="0" priority="329" equalAverage="0" aboveAverage="0" dxfId="1" text="" percent="0" bottom="0">
      <formula>AND(ISNUMBER(AF56),AF56&gt;1500,AF56&lt;=2500)</formula>
    </cfRule>
    <cfRule type="expression" rank="0" priority="330" equalAverage="0" aboveAverage="0" dxfId="2" text="" percent="0" bottom="0">
      <formula>AND(ISNUMBER(AF56),AF56&gt;=1000,AF56&lt;=1500)</formula>
    </cfRule>
  </conditionalFormatting>
  <conditionalFormatting sqref="AG56">
    <cfRule type="expression" rank="0" priority="331" equalAverage="0" aboveAverage="0" dxfId="0" text="" percent="0" bottom="0">
      <formula>AND(ISNUMBER(AG56),AG56&lt;350)</formula>
    </cfRule>
    <cfRule type="expression" rank="0" priority="332" equalAverage="0" aboveAverage="0" dxfId="1" text="" percent="0" bottom="0">
      <formula>AND(ISNUMBER(AG56),AG56&gt;500)</formula>
    </cfRule>
    <cfRule type="expression" rank="0" priority="333" equalAverage="0" aboveAverage="0" dxfId="2" text="" percent="0" bottom="0">
      <formula>AND(ISNUMBER(AG56),AG56&gt;=350,AG56&lt;=500)</formula>
    </cfRule>
  </conditionalFormatting>
  <conditionalFormatting sqref="AH56">
    <cfRule type="expression" rank="0" priority="334" equalAverage="0" aboveAverage="0" dxfId="0" text="" percent="0" bottom="0">
      <formula>AND(ISNUMBER(AH56),AH56&lt;2400)</formula>
    </cfRule>
    <cfRule type="expression" rank="0" priority="335" equalAverage="0" aboveAverage="0" dxfId="1" text="" percent="0" bottom="0">
      <formula>AND(ISNUMBER(AH56),AH56&gt;3500)</formula>
    </cfRule>
    <cfRule type="expression" rank="0" priority="336" equalAverage="0" aboveAverage="0" dxfId="2" text="" percent="0" bottom="0">
      <formula>AND(ISNUMBER(AH56),AH56&gt;=2400,AH56&lt;=3500)</formula>
    </cfRule>
  </conditionalFormatting>
  <conditionalFormatting sqref="AI56">
    <cfRule type="expression" rank="0" priority="337" equalAverage="0" aboveAverage="0" dxfId="0" text="" percent="0" bottom="0">
      <formula>AND(ISNUMBER(AI56),AI56&gt;4000)</formula>
    </cfRule>
    <cfRule type="expression" rank="0" priority="338" equalAverage="0" aboveAverage="0" dxfId="0" text="" percent="0" bottom="0">
      <formula>AND(ISNUMBER(AI56),AI56&lt;700)</formula>
    </cfRule>
    <cfRule type="expression" rank="0" priority="339" equalAverage="0" aboveAverage="0" dxfId="1" text="" percent="0" bottom="0">
      <formula>AND(ISNUMBER(AI56),AI56&gt;1300,AI56&lt;=4000)</formula>
    </cfRule>
    <cfRule type="expression" rank="0" priority="340" equalAverage="0" aboveAverage="0" dxfId="2" text="" percent="0" bottom="0">
      <formula>AND(ISNUMBER(AI56),AI56&gt;=700,AI56&lt;=1300)</formula>
    </cfRule>
  </conditionalFormatting>
  <conditionalFormatting sqref="AJ56">
    <cfRule type="expression" rank="0" priority="341" equalAverage="0" aboveAverage="0" dxfId="0" text="" percent="0" bottom="0">
      <formula>AND(ISNUMBER(AJ56),AJ56&gt;2300)</formula>
    </cfRule>
    <cfRule type="expression" rank="0" priority="342" equalAverage="0" aboveAverage="0" dxfId="0" text="" percent="0" bottom="0">
      <formula>AND(ISNUMBER(AJ56),AJ56&lt;1300)</formula>
    </cfRule>
    <cfRule type="expression" rank="0" priority="343" equalAverage="0" aboveAverage="0" dxfId="1" text="" percent="0" bottom="0">
      <formula>AND(ISNUMBER(AJ56),AJ56&gt;2300,AJ56&lt;=2300)</formula>
    </cfRule>
    <cfRule type="expression" rank="0" priority="344" equalAverage="0" aboveAverage="0" dxfId="2" text="" percent="0" bottom="0">
      <formula>AND(ISNUMBER(AJ56),AJ56&gt;=1300,AJ56&lt;=2300)</formula>
    </cfRule>
  </conditionalFormatting>
  <conditionalFormatting sqref="AK56">
    <cfRule type="expression" rank="0" priority="345" equalAverage="0" aboveAverage="0" dxfId="0" text="" percent="0" bottom="0">
      <formula>AND(ISNUMBER(AK56),AK56&gt;2000)</formula>
    </cfRule>
    <cfRule type="expression" rank="0" priority="346" equalAverage="0" aboveAverage="0" dxfId="0" text="" percent="0" bottom="0">
      <formula>AND(ISNUMBER(AK56),AK56&lt;45)</formula>
    </cfRule>
    <cfRule type="expression" rank="0" priority="347" equalAverage="0" aboveAverage="0" dxfId="1" text="" percent="0" bottom="0">
      <formula>AND(ISNUMBER(AK56),AK56&gt;200,AK56&lt;=2000)</formula>
    </cfRule>
    <cfRule type="expression" rank="0" priority="348" equalAverage="0" aboveAverage="0" dxfId="2" text="" percent="0" bottom="0">
      <formula>AND(ISNUMBER(AK56),AK56&gt;=45,AK56&lt;=200)</formula>
    </cfRule>
  </conditionalFormatting>
  <conditionalFormatting sqref="AL56">
    <cfRule type="expression" rank="0" priority="349" equalAverage="0" aboveAverage="0" dxfId="0" text="" percent="0" bottom="0">
      <formula>AND(ISNUMBER(AL56),AL56&gt;45)</formula>
    </cfRule>
    <cfRule type="expression" rank="0" priority="350" equalAverage="0" aboveAverage="0" dxfId="0" text="" percent="0" bottom="0">
      <formula>AND(ISNUMBER(AL56),AL56&lt;8)</formula>
    </cfRule>
    <cfRule type="expression" rank="0" priority="351" equalAverage="0" aboveAverage="0" dxfId="1" text="" percent="0" bottom="0">
      <formula>AND(ISNUMBER(AL56),AL56&gt;20,AL56&lt;=45)</formula>
    </cfRule>
    <cfRule type="expression" rank="0" priority="352" equalAverage="0" aboveAverage="0" dxfId="2" text="" percent="0" bottom="0">
      <formula>AND(ISNUMBER(AL56),AL56&gt;=8,AL56&lt;=20)</formula>
    </cfRule>
  </conditionalFormatting>
  <conditionalFormatting sqref="AM56">
    <cfRule type="expression" rank="0" priority="353" equalAverage="0" aboveAverage="0" dxfId="0" text="" percent="0" bottom="0">
      <formula>AND(ISNUMBER(AM56),AM56&gt;40)</formula>
    </cfRule>
    <cfRule type="expression" rank="0" priority="354" equalAverage="0" aboveAverage="0" dxfId="0" text="" percent="0" bottom="0">
      <formula>AND(ISNUMBER(AM56),AM56&lt;8)</formula>
    </cfRule>
    <cfRule type="expression" rank="0" priority="355" equalAverage="0" aboveAverage="0" dxfId="1" text="" percent="0" bottom="0">
      <formula>AND(ISNUMBER(AM56),AM56&gt;11,AM56&lt;=40)</formula>
    </cfRule>
    <cfRule type="expression" rank="0" priority="356" equalAverage="0" aboveAverage="0" dxfId="2" text="" percent="0" bottom="0">
      <formula>AND(ISNUMBER(AM56),AM56&gt;=8,AM56&lt;=11)</formula>
    </cfRule>
  </conditionalFormatting>
  <conditionalFormatting sqref="AN56">
    <cfRule type="expression" rank="0" priority="357" equalAverage="0" aboveAverage="0" dxfId="0" text="" percent="0" bottom="0">
      <formula>AND(ISNUMBER(AN56),AN56&gt;400)</formula>
    </cfRule>
    <cfRule type="expression" rank="0" priority="358" equalAverage="0" aboveAverage="0" dxfId="0" text="" percent="0" bottom="0">
      <formula>AND(ISNUMBER(AN56),AN56&lt;55)</formula>
    </cfRule>
    <cfRule type="expression" rank="0" priority="359" equalAverage="0" aboveAverage="0" dxfId="1" text="" percent="0" bottom="0">
      <formula>AND(ISNUMBER(AN56),AN56&gt;200,AN56&lt;=400)</formula>
    </cfRule>
    <cfRule type="expression" rank="0" priority="360" equalAverage="0" aboveAverage="0" dxfId="2" text="" percent="0" bottom="0">
      <formula>AND(ISNUMBER(AN56),AN56&gt;=55,AN56&lt;=200)</formula>
    </cfRule>
  </conditionalFormatting>
  <conditionalFormatting sqref="AO56">
    <cfRule type="expression" rank="0" priority="361" equalAverage="0" aboveAverage="0" dxfId="0" text="" percent="0" bottom="0">
      <formula>AND(ISNUMBER(AO56),AO56&gt;10000)</formula>
    </cfRule>
    <cfRule type="expression" rank="0" priority="362" equalAverage="0" aboveAverage="0" dxfId="0" text="" percent="0" bottom="0">
      <formula>AND(ISNUMBER(AO56),AO56&lt;800)</formula>
    </cfRule>
    <cfRule type="expression" rank="0" priority="363" equalAverage="0" aboveAverage="0" dxfId="1" text="" percent="0" bottom="0">
      <formula>AND(ISNUMBER(AO56),AO56&gt;1200,AO56&lt;=10000)</formula>
    </cfRule>
    <cfRule type="expression" rank="0" priority="364" equalAverage="0" aboveAverage="0" dxfId="2" text="" percent="0" bottom="0">
      <formula>AND(ISNUMBER(AO56),AO56&gt;=800,AO56&lt;=1200)</formula>
    </cfRule>
  </conditionalFormatting>
  <conditionalFormatting sqref="AP56">
    <cfRule type="expression" rank="0" priority="365" equalAverage="0" aboveAverage="0" dxfId="0" text="" percent="0" bottom="0">
      <formula>AND(ISNUMBER(AP56),AP56&gt;11)</formula>
    </cfRule>
    <cfRule type="expression" rank="0" priority="366" equalAverage="0" aboveAverage="0" dxfId="0" text="" percent="0" bottom="0">
      <formula>AND(ISNUMBER(AP56),AP56&lt;2.3)</formula>
    </cfRule>
    <cfRule type="expression" rank="0" priority="367" equalAverage="0" aboveAverage="0" dxfId="1" text="" percent="0" bottom="0">
      <formula>AND(ISNUMBER(AP56),AP56&gt;5,AP56&lt;=11)</formula>
    </cfRule>
    <cfRule type="expression" rank="0" priority="368" equalAverage="0" aboveAverage="0" dxfId="2" text="" percent="0" bottom="0">
      <formula>AND(ISNUMBER(AP56),AP56&gt;=2.3,AP56&lt;=5)</formula>
    </cfRule>
  </conditionalFormatting>
  <conditionalFormatting sqref="AQ56">
    <cfRule type="expression" rank="0" priority="369" equalAverage="0" aboveAverage="0" dxfId="0" text="" percent="0" bottom="0">
      <formula>AND(ISNUMBER(AQ56),AQ56&lt;35)</formula>
    </cfRule>
    <cfRule type="expression" rank="0" priority="370" equalAverage="0" aboveAverage="0" dxfId="1" text="" percent="0" bottom="0">
      <formula>AND(ISNUMBER(AQ56),AQ56&gt;200)</formula>
    </cfRule>
    <cfRule type="expression" rank="0" priority="371" equalAverage="0" aboveAverage="0" dxfId="2" text="" percent="0" bottom="0">
      <formula>AND(ISNUMBER(AQ56),AQ56&gt;=35,AQ56&lt;=200)</formula>
    </cfRule>
  </conditionalFormatting>
  <conditionalFormatting sqref="AR56">
    <cfRule type="expression" rank="0" priority="372" equalAverage="0" aboveAverage="0" dxfId="0" text="" percent="0" bottom="0">
      <formula>AND(ISNUMBER(AR56),AR56&gt;1100)</formula>
    </cfRule>
    <cfRule type="expression" rank="0" priority="373" equalAverage="0" aboveAverage="0" dxfId="0" text="" percent="0" bottom="0">
      <formula>AND(ISNUMBER(AR56),AR56&lt;150)</formula>
    </cfRule>
    <cfRule type="expression" rank="0" priority="374" equalAverage="0" aboveAverage="0" dxfId="1" text="" percent="0" bottom="0">
      <formula>AND(ISNUMBER(AR56),AR56&gt;500,AR56&lt;=1100)</formula>
    </cfRule>
    <cfRule type="expression" rank="0" priority="375" equalAverage="0" aboveAverage="0" dxfId="2" text="" percent="0" bottom="0">
      <formula>AND(ISNUMBER(AR56),AR56&gt;=150,AR56&lt;=500)</formula>
    </cfRule>
  </conditionalFormatting>
  <conditionalFormatting sqref="AS56">
    <cfRule type="expression" rank="0" priority="376" equalAverage="0" aboveAverage="0" dxfId="0" text="" percent="0" bottom="0">
      <formula>AND(ISNUMBER(AS56),AS56&gt;20)</formula>
    </cfRule>
    <cfRule type="expression" rank="0" priority="377" equalAverage="0" aboveAverage="0" dxfId="0" text="" percent="0" bottom="0">
      <formula>AND(ISNUMBER(AS56),AS56&lt;1)</formula>
    </cfRule>
    <cfRule type="expression" rank="0" priority="378" equalAverage="0" aboveAverage="0" dxfId="1" text="" percent="0" bottom="0">
      <formula>AND(ISNUMBER(AS56),AS56&gt;4,AS56&lt;=20)</formula>
    </cfRule>
    <cfRule type="expression" rank="0" priority="379" equalAverage="0" aboveAverage="0" dxfId="2" text="" percent="0" bottom="0">
      <formula>AND(ISNUMBER(AS56),AS56&gt;=1,AS56&lt;=4)</formula>
    </cfRule>
  </conditionalFormatting>
  <conditionalFormatting sqref="AT56">
    <cfRule type="expression" rank="0" priority="380" equalAverage="0" aboveAverage="0" dxfId="0" text="" percent="0" bottom="0">
      <formula>AND(ISNUMBER(AT56),AT56&gt;3000)</formula>
    </cfRule>
    <cfRule type="expression" rank="0" priority="381" equalAverage="0" aboveAverage="0" dxfId="0" text="" percent="0" bottom="0">
      <formula>AND(ISNUMBER(AT56),AT56&lt;900)</formula>
    </cfRule>
    <cfRule type="expression" rank="0" priority="382" equalAverage="0" aboveAverage="0" dxfId="1" text="" percent="0" bottom="0">
      <formula>AND(ISNUMBER(AT56),AT56&gt;1500,AT56&lt;=3000)</formula>
    </cfRule>
    <cfRule type="expression" rank="0" priority="383" equalAverage="0" aboveAverage="0" dxfId="2" text="" percent="0" bottom="0">
      <formula>AND(ISNUMBER(AT56),AT56&gt;=900,AT56&lt;=1500)</formula>
    </cfRule>
  </conditionalFormatting>
  <conditionalFormatting sqref="AU56">
    <cfRule type="expression" rank="0" priority="384" equalAverage="0" aboveAverage="0" dxfId="0" text="" percent="0" bottom="0">
      <formula>AND(ISNUMBER(AU56),AU56&gt;2000)</formula>
    </cfRule>
    <cfRule type="expression" rank="0" priority="385" equalAverage="0" aboveAverage="0" dxfId="0" text="" percent="0" bottom="0">
      <formula>AND(ISNUMBER(AU56),AU56&lt;90)</formula>
    </cfRule>
    <cfRule type="expression" rank="0" priority="386" equalAverage="0" aboveAverage="0" dxfId="1" text="" percent="0" bottom="0">
      <formula>AND(ISNUMBER(AU56),AU56&gt;250,AU56&lt;=2000)</formula>
    </cfRule>
    <cfRule type="expression" rank="0" priority="387" equalAverage="0" aboveAverage="0" dxfId="2" text="" percent="0" bottom="0">
      <formula>AND(ISNUMBER(AU56),AU56&gt;=90,AU56&lt;=250)</formula>
    </cfRule>
  </conditionalFormatting>
  <conditionalFormatting sqref="AV56">
    <cfRule type="expression" rank="0" priority="388" equalAverage="0" aboveAverage="0" dxfId="0" text="" percent="0" bottom="0">
      <formula>AND(ISNUMBER(AV56),AV56&gt;100)</formula>
    </cfRule>
    <cfRule type="expression" rank="0" priority="389" equalAverage="0" aboveAverage="0" dxfId="0" text="" percent="0" bottom="0">
      <formula>AND(ISNUMBER(AV56),AV56&lt;15)</formula>
    </cfRule>
    <cfRule type="expression" rank="0" priority="390" equalAverage="0" aboveAverage="0" dxfId="1" text="" percent="0" bottom="0">
      <formula>AND(ISNUMBER(AV56),AV56&gt;80,AV56&lt;=100)</formula>
    </cfRule>
    <cfRule type="expression" rank="0" priority="391" equalAverage="0" aboveAverage="0" dxfId="2" text="" percent="0" bottom="0">
      <formula>AND(ISNUMBER(AV56),AV56&gt;=15,AV56&lt;=80)</formula>
    </cfRule>
  </conditionalFormatting>
  <conditionalFormatting sqref="AW56">
    <cfRule type="expression" rank="0" priority="392" equalAverage="0" aboveAverage="0" dxfId="0" text="" percent="0" bottom="0">
      <formula>AND(ISNUMBER(AW56),AW56&gt;1000)</formula>
    </cfRule>
    <cfRule type="expression" rank="0" priority="393" equalAverage="0" aboveAverage="0" dxfId="0" text="" percent="0" bottom="0">
      <formula>AND(ISNUMBER(AW56),AW56&lt;15)</formula>
    </cfRule>
    <cfRule type="expression" rank="0" priority="394" equalAverage="0" aboveAverage="0" dxfId="1" text="" percent="0" bottom="0">
      <formula>AND(ISNUMBER(AW56),AW56&gt;30,AW56&lt;=1000)</formula>
    </cfRule>
    <cfRule type="expression" rank="0" priority="395" equalAverage="0" aboveAverage="0" dxfId="2" text="" percent="0" bottom="0">
      <formula>AND(ISNUMBER(AW56),AW56&gt;=15,AW56&lt;=30)</formula>
    </cfRule>
  </conditionalFormatting>
  <conditionalFormatting sqref="AX56">
    <cfRule type="expression" rank="0" priority="396" equalAverage="0" aboveAverage="0" dxfId="0" text="" percent="0" bottom="0">
      <formula>AND(ISNUMBER(AX56),AX56&lt;120)</formula>
    </cfRule>
    <cfRule type="expression" rank="0" priority="397" equalAverage="0" aboveAverage="0" dxfId="1" text="" percent="0" bottom="0">
      <formula>AND(ISNUMBER(AX56),AX56&gt;400)</formula>
    </cfRule>
    <cfRule type="expression" rank="0" priority="398" equalAverage="0" aboveAverage="0" dxfId="2" text="" percent="0" bottom="0">
      <formula>AND(ISNUMBER(AX56),AX56&gt;=120,AX56&lt;=400)</formula>
    </cfRule>
  </conditionalFormatting>
  <conditionalFormatting sqref="AY56">
    <cfRule type="expression" rank="0" priority="399" equalAverage="0" aboveAverage="0" dxfId="0" text="" percent="0" bottom="0">
      <formula>AND(ISNUMBER(AY56),AY56&lt;90)</formula>
    </cfRule>
    <cfRule type="expression" rank="0" priority="400" equalAverage="0" aboveAverage="0" dxfId="1" text="" percent="0" bottom="0">
      <formula>AND(ISNUMBER(AY56),AY56&gt;200)</formula>
    </cfRule>
    <cfRule type="expression" rank="0" priority="401" equalAverage="0" aboveAverage="0" dxfId="2" text="" percent="0" bottom="0">
      <formula>AND(ISNUMBER(AY56),AY56&gt;=90,AY56&lt;=200)</formula>
    </cfRule>
  </conditionalFormatting>
  <conditionalFormatting sqref="AZ56">
    <cfRule type="expression" rank="0" priority="402" equalAverage="0" aboveAverage="0" dxfId="0" text="" percent="0" bottom="0">
      <formula>AND(ISNUMBER(AZ56),AZ56&lt;90)</formula>
    </cfRule>
    <cfRule type="expression" rank="0" priority="403" equalAverage="0" aboveAverage="0" dxfId="1" text="" percent="0" bottom="0">
      <formula>AND(ISNUMBER(AZ56),AZ56&gt;200)</formula>
    </cfRule>
    <cfRule type="expression" rank="0" priority="404" equalAverage="0" aboveAverage="0" dxfId="2" text="" percent="0" bottom="0">
      <formula>AND(ISNUMBER(AZ56),AZ56&gt;=90,AZ56&lt;=200)</formula>
    </cfRule>
  </conditionalFormatting>
  <hyperlinks>
    <hyperlink xmlns:r="http://schemas.openxmlformats.org/officeDocument/2006/relationships" ref="O8" display="https://www.nutritionvalue.org/Organic_a2%252Fa2_100%25_grass-fed_milk_by_alexandre_family_farm_llc_by_Alexandre_Family_Farm_LLC_2484001_nutritional_value.html" r:id="rId1"/>
    <hyperlink xmlns:r="http://schemas.openxmlformats.org/officeDocument/2006/relationships" ref="P8" display="https://www.nutritionvalue.org/Organic_a2%252Fa2_100%25_grass-fed_milk_by_alexandre_family_farm_llc_by_Alexandre_Family_Farm_LLC_2484001_nutritional_value.html" r:id="rId2"/>
    <hyperlink xmlns:r="http://schemas.openxmlformats.org/officeDocument/2006/relationships" ref="Q8" display="https://www.logixpathchef.com/app/food/getfoodnutrition?fdcid=171265" r:id="rId3"/>
    <hyperlink xmlns:r="http://schemas.openxmlformats.org/officeDocument/2006/relationships" ref="R8" display="https://www.logixpathchef.com/app/food/getfoodnutrition?fdcid=171265" r:id="rId4"/>
    <hyperlink xmlns:r="http://schemas.openxmlformats.org/officeDocument/2006/relationships" ref="S8" display="https://www.nutritionvalue.org/Organic_a2%252Fa2_100%25_grass-fed_milk_by_alexandre_family_farm_llc_by_Alexandre_Family_Farm_LLC_2484001_nutritional_value.html" r:id="rId5"/>
    <hyperlink xmlns:r="http://schemas.openxmlformats.org/officeDocument/2006/relationships" ref="T8" display="https://www.nutritionvalue.org/Organic_a2%252Fa2_100%25_grass-fed_milk_by_alexandre_family_farm_llc_by_Alexandre_Family_Farm_LLC_2484001_nutritional_value.html" r:id="rId6"/>
    <hyperlink xmlns:r="http://schemas.openxmlformats.org/officeDocument/2006/relationships" ref="U8" display="https://www.nutritionvalue.org/Organic_a2%252Fa2_100%25_grass-fed_milk_by_alexandre_family_farm_llc_by_Alexandre_Family_Farm_LLC_2484001_nutritional_value.html" r:id="rId7"/>
    <hyperlink xmlns:r="http://schemas.openxmlformats.org/officeDocument/2006/relationships" ref="W8" display="https://www.nutritionvalue.org/Organic_a2%252Fa2_100%25_grass-fed_milk_by_alexandre_family_farm_llc_by_Alexandre_Family_Farm_LLC_2484001_nutritional_value.html" r:id="rId8"/>
    <hyperlink xmlns:r="http://schemas.openxmlformats.org/officeDocument/2006/relationships" ref="X8" display="https://www.nutritionvalue.org/Organic_a2%252Fa2_100%25_grass-fed_milk_by_alexandre_family_farm_llc_by_Alexandre_Family_Farm_LLC_2484001_nutritional_value.html" r:id="rId9"/>
    <hyperlink xmlns:r="http://schemas.openxmlformats.org/officeDocument/2006/relationships" ref="Y8" display="https://www.milkfacts.info/Nutrition%20Facts/Nutrient%20Content.htm" r:id="rId10"/>
    <hyperlink xmlns:r="http://schemas.openxmlformats.org/officeDocument/2006/relationships" ref="Z8" display="https://www.milkfacts.info/Nutrition%20Facts/Nutrient%20Content.htm" r:id="rId11"/>
    <hyperlink xmlns:r="http://schemas.openxmlformats.org/officeDocument/2006/relationships" ref="AA8" display="https://pmc.ncbi.nlm.nih.gov/articles/PMC5980250/" r:id="rId12"/>
    <hyperlink xmlns:r="http://schemas.openxmlformats.org/officeDocument/2006/relationships" ref="AB8" display="https://pmc.ncbi.nlm.nih.gov/articles/PMC5980250/" r:id="rId13"/>
    <hyperlink xmlns:r="http://schemas.openxmlformats.org/officeDocument/2006/relationships" ref="AC8" display="https://www.logixpathchef.com/app/food/getfoodnutrition?fdcid=746782" r:id="rId14"/>
    <hyperlink xmlns:r="http://schemas.openxmlformats.org/officeDocument/2006/relationships" ref="AD8" display="https://www.nutritionvalue.org/Organic_a2%252Fa2_100%25_grass-fed_milk_by_alexandre_family_farm_llc_by_Alexandre_Family_Farm_LLC_2484001_nutritional_value.html" r:id="rId15"/>
    <hyperlink xmlns:r="http://schemas.openxmlformats.org/officeDocument/2006/relationships" ref="AE8" display="https://www.nutritionvalue.org/Organic_a2%252Fa2_100%25_grass-fed_milk_by_alexandre_family_farm_llc_by_Alexandre_Family_Farm_LLC_2484001_nutritional_value.html" r:id="rId16"/>
    <hyperlink xmlns:r="http://schemas.openxmlformats.org/officeDocument/2006/relationships" ref="AF8" display="https://www.nutritionvalue.org/Organic_a2%252Fa2_100%25_grass-fed_milk_by_alexandre_family_farm_llc_by_Alexandre_Family_Farm_LLC_2484001_nutritional_value.html" r:id="rId17"/>
    <hyperlink xmlns:r="http://schemas.openxmlformats.org/officeDocument/2006/relationships" ref="AH8" display="https://www.nutritionvalue.org/Organic_a2%252Fa2_100%25_grass-fed_milk_by_alexandre_family_farm_llc_by_Alexandre_Family_Farm_LLC_2484001_nutritional_value.html" r:id="rId18"/>
    <hyperlink xmlns:r="http://schemas.openxmlformats.org/officeDocument/2006/relationships" ref="AJ8" display="https://www.logixpathchef.com/app/food/getfoodnutrition?fdcid=746782" r:id="rId19"/>
    <hyperlink xmlns:r="http://schemas.openxmlformats.org/officeDocument/2006/relationships" ref="AK8" display="https://www.nutritionvalue.org/Organic_a2%252Fa2_100%25_grass-fed_milk_by_alexandre_family_farm_llc_by_Alexandre_Family_Farm_LLC_2484001_nutritional_value.html" r:id="rId20"/>
    <hyperlink xmlns:r="http://schemas.openxmlformats.org/officeDocument/2006/relationships" ref="AL8" display="https://www.logixpathchef.com/app/food/getfoodnutrition?fdcid=746782" r:id="rId21"/>
    <hyperlink xmlns:r="http://schemas.openxmlformats.org/officeDocument/2006/relationships" ref="AM8" display="https://www.nutritionvalue.org/Organic_a2%252Fa2_100%25_grass-fed_milk_by_alexandre_family_farm_llc_by_Alexandre_Family_Farm_LLC_2484001_nutritional_value.html" r:id="rId22"/>
    <hyperlink xmlns:r="http://schemas.openxmlformats.org/officeDocument/2006/relationships" ref="AN8" display="https://www.logixpathchef.com/app/food/getfoodnutrition?fdcid=746782" r:id="rId23"/>
    <hyperlink xmlns:r="http://schemas.openxmlformats.org/officeDocument/2006/relationships" ref="AO8" display="https://www.nutritionvalue.org/Organic_a2%252Fa2_100%25_grass-fed_milk_by_alexandre_family_farm_llc_by_Alexandre_Family_Farm_LLC_2484001_nutritional_value.html" r:id="rId24"/>
    <hyperlink xmlns:r="http://schemas.openxmlformats.org/officeDocument/2006/relationships" ref="AP8" display="https://ods.od.nih.gov/factsheets/Molybdenum-HealthProfessional/" r:id="rId25"/>
    <hyperlink xmlns:r="http://schemas.openxmlformats.org/officeDocument/2006/relationships" ref="AQ8" display="https://www.nutritionvalue.org/Organic_a2%252Fa2_100%25_grass-fed_milk_by_alexandre_family_farm_llc_by_Alexandre_Family_Farm_LLC_2484001_nutritional_value.html" r:id="rId26"/>
    <hyperlink xmlns:r="http://schemas.openxmlformats.org/officeDocument/2006/relationships" ref="AR8" display="https://www.logixpathchef.com/app/food/getfoodnutrition?fdcid=746782" r:id="rId27"/>
    <hyperlink xmlns:r="http://schemas.openxmlformats.org/officeDocument/2006/relationships" ref="AS8" display="https://www.logixpathchef.com/app/food/getfoodnutrition?fdcid=746782" r:id="rId28"/>
    <hyperlink xmlns:r="http://schemas.openxmlformats.org/officeDocument/2006/relationships" ref="AT8" display="https://www.logixpathchef.com/app/food/getfoodnutrition?fdcid=171265" r:id="rId29"/>
    <hyperlink xmlns:r="http://schemas.openxmlformats.org/officeDocument/2006/relationships" ref="AU8" display="https://www.logixpathchef.com/app/food/getfoodnutrition?fdcid=171265" r:id="rId30"/>
    <hyperlink xmlns:r="http://schemas.openxmlformats.org/officeDocument/2006/relationships" ref="AV8" display="Unknown" r:id="rId31"/>
    <hyperlink xmlns:r="http://schemas.openxmlformats.org/officeDocument/2006/relationships" ref="AW8" display="https://www.ars.usda.gov/ARSUserFiles/80400535/DATA/IODINE/IODINE_DATABASE_PDFVersion_2020.PDF" r:id="rId32"/>
    <hyperlink xmlns:r="http://schemas.openxmlformats.org/officeDocument/2006/relationships" ref="AX8" display="https://www.ncbi.nlm.nih.gov/books/NBK599072/table/ch6.tab3/" r:id="rId33"/>
    <hyperlink xmlns:r="http://schemas.openxmlformats.org/officeDocument/2006/relationships" ref="AY8" display="https://www.logixpathchef.com/app/food/getfoodnutrition?fdcid=746782" r:id="rId34"/>
    <hyperlink xmlns:r="http://schemas.openxmlformats.org/officeDocument/2006/relationships" ref="AZ8" display="https://www.milkfacts.info/Nutrition%20Facts/Nutrient%20Content.htm" r:id="rId35"/>
    <hyperlink xmlns:r="http://schemas.openxmlformats.org/officeDocument/2006/relationships" ref="BA8" display="https://pmc.ncbi.nlm.nih.gov/articles/PMC7278753/" r:id="rId36"/>
    <hyperlink xmlns:r="http://schemas.openxmlformats.org/officeDocument/2006/relationships" ref="BB8" display="https://www.logixpathchef.com/app/food/getfoodnutrition?fdcid=746782" r:id="rId37"/>
    <hyperlink xmlns:r="http://schemas.openxmlformats.org/officeDocument/2006/relationships" ref="BC8" display="https://www.milkfacts.info/Nutrition%20Facts/Nutrient%20Content.htm" r:id="rId38"/>
    <hyperlink xmlns:r="http://schemas.openxmlformats.org/officeDocument/2006/relationships" ref="BD8" display="https://www.logixpathchef.com/app/food/getfoodnutrition?fdcid=171265" r:id="rId39"/>
    <hyperlink xmlns:r="http://schemas.openxmlformats.org/officeDocument/2006/relationships" ref="BE8" display="https://pmc.ncbi.nlm.nih.gov/articles/PMC5998353/" r:id="rId40"/>
    <hyperlink xmlns:r="http://schemas.openxmlformats.org/officeDocument/2006/relationships" ref="BF8" display="https://www.logixpathchef.com/app/food/getfoodnutrition?fdcid=746782" r:id="rId41"/>
    <hyperlink xmlns:r="http://schemas.openxmlformats.org/officeDocument/2006/relationships" ref="BG8" display="https://www.logixpathchef.com/app/food/getfoodnutrition?fdcid=746782" r:id="rId42"/>
    <hyperlink xmlns:r="http://schemas.openxmlformats.org/officeDocument/2006/relationships" ref="BH8" display="https://www.logixpathchef.com/app/food/getfoodnutrition?fdcid=746782" r:id="rId43"/>
    <hyperlink xmlns:r="http://schemas.openxmlformats.org/officeDocument/2006/relationships" ref="BI8" display="https://www.logixpathchef.com/app/food/getfoodnutrition?fdcid=746782" r:id="rId44"/>
    <hyperlink xmlns:r="http://schemas.openxmlformats.org/officeDocument/2006/relationships" ref="BJ8" display="https://www.milkfacts.info/Nutrition%20Facts/Nutrient%20Content.htm" r:id="rId45"/>
    <hyperlink xmlns:r="http://schemas.openxmlformats.org/officeDocument/2006/relationships" ref="BK8" display="https://www.logixpathchef.com/app/food/getfoodnutrition?fdcid=746782" r:id="rId46"/>
    <hyperlink xmlns:r="http://schemas.openxmlformats.org/officeDocument/2006/relationships" ref="BL8" display="https://nutrivore.com/foods/whole-milk-nutrients/" r:id="rId47"/>
    <hyperlink xmlns:r="http://schemas.openxmlformats.org/officeDocument/2006/relationships" ref="BM8" display="https://www.logixpathchef.com/app/food/getfoodnutrition?fdcid=746782" r:id="rId48"/>
    <hyperlink xmlns:r="http://schemas.openxmlformats.org/officeDocument/2006/relationships" ref="BN8" display="https://pmc.ncbi.nlm.nih.gov/articles/PMC5980250/" r:id="rId49"/>
    <hyperlink xmlns:r="http://schemas.openxmlformats.org/officeDocument/2006/relationships" ref="BO8" display="https://pmc.ncbi.nlm.nih.gov/articles/PMC5980250/" r:id="rId50"/>
    <hyperlink xmlns:r="http://schemas.openxmlformats.org/officeDocument/2006/relationships" ref="BP8" display="https://www.nutritionvalue.org/Organic_a2%252Fa2_100%25_grass-fed_milk_by_alexandre_family_farm_llc_by_Alexandre_Family_Farm_LLC_2484001_nutritional_value.html" r:id="rId51"/>
    <hyperlink xmlns:r="http://schemas.openxmlformats.org/officeDocument/2006/relationships" ref="BQ8" display="https://www.nutritionvalue.org/Organic_a2%252Fa2_100%25_grass-fed_milk_by_alexandre_family_farm_llc_by_Alexandre_Family_Farm_LLC_2484001_nutritional_value.html" r:id="rId52"/>
    <hyperlink xmlns:r="http://schemas.openxmlformats.org/officeDocument/2006/relationships" ref="BR8" display="https://www.nutritionvalue.org/Organic_a2%252Fa2_100%25_grass-fed_milk_by_alexandre_family_farm_llc_by_Alexandre_Family_Farm_LLC_2484001_nutritional_value.html" r:id="rId53"/>
    <hyperlink xmlns:r="http://schemas.openxmlformats.org/officeDocument/2006/relationships" ref="BS8" display="https://www.nutritionvalue.org/Organic_a2%252Fa2_100%25_grass-fed_milk_by_alexandre_family_farm_llc_by_Alexandre_Family_Farm_LLC_2484001_nutritional_value.html" r:id="rId54"/>
    <hyperlink xmlns:r="http://schemas.openxmlformats.org/officeDocument/2006/relationships" ref="BT8" display="https://www.nutritionvalue.org/Organic_a2%252Fa2_100%25_grass-fed_milk_by_alexandre_family_farm_llc_by_Alexandre_Family_Farm_LLC_2484001_nutritional_value.html" r:id="rId55"/>
    <hyperlink xmlns:r="http://schemas.openxmlformats.org/officeDocument/2006/relationships" ref="BU8" display="https://www.nutritionvalue.org/Organic_a2%252Fa2_100%25_grass-fed_milk_by_alexandre_family_farm_llc_by_Alexandre_Family_Farm_LLC_2484001_nutritional_value.html" r:id="rId56"/>
    <hyperlink xmlns:r="http://schemas.openxmlformats.org/officeDocument/2006/relationships" ref="BV8" display="https://www.nutritionvalue.org/Organic_a2%252Fa2_100%25_grass-fed_milk_by_alexandre_family_farm_llc_by_Alexandre_Family_Farm_LLC_2484001_nutritional_value.html" r:id="rId57"/>
    <hyperlink xmlns:r="http://schemas.openxmlformats.org/officeDocument/2006/relationships" ref="BW8" display="https://www.nutritionvalue.org/Organic_a2%252Fa2_100%25_grass-fed_milk_by_alexandre_family_farm_llc_by_Alexandre_Family_Farm_LLC_2484001_nutritional_value.html" r:id="rId58"/>
    <hyperlink xmlns:r="http://schemas.openxmlformats.org/officeDocument/2006/relationships" ref="BX8" display="https://nutrivore.com/foods/whole-milk-nutrients/" r:id="rId59"/>
    <hyperlink xmlns:r="http://schemas.openxmlformats.org/officeDocument/2006/relationships" ref="BY8" display="https://nutrivore.com/foods/whole-milk-nutrients/" r:id="rId60"/>
    <hyperlink xmlns:r="http://schemas.openxmlformats.org/officeDocument/2006/relationships" ref="BZ8" display="https://www.nutritionvalue.org/Organic_a2%252Fa2_100%25_grass-fed_milk_by_alexandre_family_farm_llc_by_Alexandre_Family_Farm_LLC_2484001_nutritional_value.html" r:id="rId61"/>
    <hyperlink xmlns:r="http://schemas.openxmlformats.org/officeDocument/2006/relationships" ref="CA8" display="https://www.nutritionvalue.org/Organic_a2%252Fa2_100%25_grass-fed_milk_by_alexandre_family_farm_llc_by_Alexandre_Family_Farm_LLC_2484001_nutritional_value.html" r:id="rId62"/>
    <hyperlink xmlns:r="http://schemas.openxmlformats.org/officeDocument/2006/relationships" ref="CB8" display="https://www.nutritionvalue.org/Organic_a2%252Fa2_100%25_grass-fed_milk_by_alexandre_family_farm_llc_by_Alexandre_Family_Farm_LLC_2484001_nutritional_value.html" r:id="rId63"/>
    <hyperlink xmlns:r="http://schemas.openxmlformats.org/officeDocument/2006/relationships" ref="CC8" display="Unknown" r:id="rId64"/>
    <hyperlink xmlns:r="http://schemas.openxmlformats.org/officeDocument/2006/relationships" ref="CD8" display="https://www.nutritionvalue.org/Organic_a2%252Fa2_100%25_grass-fed_milk_by_alexandre_family_farm_llc_by_Alexandre_Family_Farm_LLC_2484001_nutritional_value.html" r:id="rId65"/>
    <hyperlink xmlns:r="http://schemas.openxmlformats.org/officeDocument/2006/relationships" ref="CE8" display="https://pmc.ncbi.nlm.nih.gov/articles/PMC6637774/" r:id="rId66"/>
    <hyperlink xmlns:r="http://schemas.openxmlformats.org/officeDocument/2006/relationships" ref="CF8" display="https://www.logixpathchef.com/app/food/getfoodnutrition?fdcid=171265" r:id="rId67"/>
    <hyperlink xmlns:r="http://schemas.openxmlformats.org/officeDocument/2006/relationships" ref="CG8" display="https://www.nutritionvalue.org/Organic_a2%252Fa2_100%25_grass-fed_milk_by_alexandre_family_farm_llc_by_Alexandre_Family_Farm_LLC_2484001_nutritional_value.html" r:id="rId68"/>
    <hyperlink xmlns:r="http://schemas.openxmlformats.org/officeDocument/2006/relationships" ref="CH8" display="https://www.nutritionvalue.org/Organic_a2%252Fa2_100%25_grass-fed_milk_by_alexandre_family_farm_llc_by_Alexandre_Family_Farm_LLC_2484001_nutritional_value.html" r:id="rId69"/>
    <hyperlink xmlns:r="http://schemas.openxmlformats.org/officeDocument/2006/relationships" ref="CI8" display="https://pubmed.ncbi.nlm.nih.gov/22779912/" r:id="rId70"/>
    <hyperlink xmlns:r="http://schemas.openxmlformats.org/officeDocument/2006/relationships" ref="CJ8" display="https://nutrivore.com/foods/whole-milk-nutrients/" r:id="rId71"/>
    <hyperlink xmlns:r="http://schemas.openxmlformats.org/officeDocument/2006/relationships" ref="CK8" display="https://www.nutritionvalue.org/Organic_a2%252Fa2_100%25_grass-fed_milk_by_alexandre_family_farm_llc_by_Alexandre_Family_Farm_LLC_2484001_nutritional_value.html" r:id="rId72"/>
    <hyperlink xmlns:r="http://schemas.openxmlformats.org/officeDocument/2006/relationships" ref="CL8" display="Unknown" r:id="rId73"/>
    <hyperlink xmlns:r="http://schemas.openxmlformats.org/officeDocument/2006/relationships" ref="CM8" display="https://www.nutritionvalue.org/Organic_a2%252Fa2_100%25_grass-fed_milk_by_alexandre_family_farm_llc_by_Alexandre_Family_Farm_LLC_2484001_nutritional_value.html" r:id="rId74"/>
    <hyperlink xmlns:r="http://schemas.openxmlformats.org/officeDocument/2006/relationships" ref="CN8" display="https://www.nutritionvalue.org/Organic_a2%252Fa2_100%25_grass-fed_milk_by_alexandre_family_farm_llc_by_Alexandre_Family_Farm_LLC_2484001_nutritional_value.html" r:id="rId75"/>
    <hyperlink xmlns:r="http://schemas.openxmlformats.org/officeDocument/2006/relationships" ref="CO8" display="https://www.nutritionvalue.org/Organic_a2%252Fa2_100%25_grass-fed_milk_by_alexandre_family_farm_llc_by_Alexandre_Family_Farm_LLC_2484001_nutritional_value.html" r:id="rId76"/>
    <hyperlink xmlns:r="http://schemas.openxmlformats.org/officeDocument/2006/relationships" ref="CP8" display="https://www.nutritionvalue.org/Organic_a2%252Fa2_100%25_grass-fed_milk_by_alexandre_family_farm_llc_by_Alexandre_Family_Farm_LLC_2484001_nutritional_value.html" r:id="rId77"/>
    <hyperlink xmlns:r="http://schemas.openxmlformats.org/officeDocument/2006/relationships" ref="CQ8" display="Unknown" r:id="rId78"/>
    <hyperlink xmlns:r="http://schemas.openxmlformats.org/officeDocument/2006/relationships" ref="CR8" display="https://www.nutritionvalue.org/Organic_a2%252Fa2_100%25_grass-fed_milk_by_alexandre_family_farm_llc_by_Alexandre_Family_Farm_LLC_2484001_nutritional_value.html" r:id="rId79"/>
    <hyperlink xmlns:r="http://schemas.openxmlformats.org/officeDocument/2006/relationships" ref="CS8" display="https://www.fda.gov/media/159745/download" r:id="rId80"/>
    <hyperlink xmlns:r="http://schemas.openxmlformats.org/officeDocument/2006/relationships" ref="CT8" display="https://www.fda.gov/media/159745/download" r:id="rId81"/>
    <hyperlink xmlns:r="http://schemas.openxmlformats.org/officeDocument/2006/relationships" ref="CU8" display="https://www.fda.gov/media/159745/download" r:id="rId82"/>
    <hyperlink xmlns:r="http://schemas.openxmlformats.org/officeDocument/2006/relationships" ref="CV8" display="https://www.fda.gov/media/159745/download" r:id="rId83"/>
    <hyperlink xmlns:r="http://schemas.openxmlformats.org/officeDocument/2006/relationships" ref="O9" display="https://www.woodstock-foods.com/the-goods/product.organic-frozen-mixed-berries-value-size-042563018221.html" r:id="rId84"/>
    <hyperlink xmlns:r="http://schemas.openxmlformats.org/officeDocument/2006/relationships" ref="P9" display="https://www.woodstock-foods.com/the-goods/product.organic-frozen-mixed-berries-value-size-042563018221.html" r:id="rId85"/>
    <hyperlink xmlns:r="http://schemas.openxmlformats.org/officeDocument/2006/relationships" ref="Q9" display="https://www.woodstock-foods.com/the-goods/product.organic-frozen-mixed-berries-value-size-042563018221.html" r:id="rId86"/>
    <hyperlink xmlns:r="http://schemas.openxmlformats.org/officeDocument/2006/relationships" ref="R9" display="https://www.woodstock-foods.com/the-goods/product.organic-frozen-mixed-berries-value-size-042563018221.html" r:id="rId87"/>
    <hyperlink xmlns:r="http://schemas.openxmlformats.org/officeDocument/2006/relationships" ref="S9" display="https://www.woodstock-foods.com/the-goods/product.organic-frozen-mixed-berries-value-size-042563018221.html" r:id="rId88"/>
    <hyperlink xmlns:r="http://schemas.openxmlformats.org/officeDocument/2006/relationships" ref="T9" display="https://www.woodstock-foods.com/the-goods/product.organic-frozen-mixed-berries-value-size-042563018221.html" r:id="rId89"/>
    <hyperlink xmlns:r="http://schemas.openxmlformats.org/officeDocument/2006/relationships" ref="U9" display="https://www.woodstock-foods.com/the-goods/product.organic-frozen-mixed-berries-value-size-042563018221.html" r:id="rId90"/>
    <hyperlink xmlns:r="http://schemas.openxmlformats.org/officeDocument/2006/relationships" ref="W9" display="https://www.woodstock-foods.com/the-goods/product.organic-frozen-mixed-berries-value-size-042563018221.html" r:id="rId91"/>
    <hyperlink xmlns:r="http://schemas.openxmlformats.org/officeDocument/2006/relationships" ref="X9" display="https://www.logixpathchef.com/app/food/getfoodnutrition?fdcid=168173" r:id="rId92"/>
    <hyperlink xmlns:r="http://schemas.openxmlformats.org/officeDocument/2006/relationships" ref="Y9" display="https://www.logixpathchef.com/app/food/getfoodnutrition?fdcid=173950" r:id="rId93"/>
    <hyperlink xmlns:r="http://schemas.openxmlformats.org/officeDocument/2006/relationships" ref="Z9" display="https://www.logixpathchef.com/app/food/getfoodnutrition?fdcid=173950" r:id="rId94"/>
    <hyperlink xmlns:r="http://schemas.openxmlformats.org/officeDocument/2006/relationships" ref="AA9" display="https://www.logixpathchef.com/app/food/getfoodnutrition?fdcid=173950" r:id="rId95"/>
    <hyperlink xmlns:r="http://schemas.openxmlformats.org/officeDocument/2006/relationships" ref="AB9" display="https://www.logixpathchef.com/app/food/getfoodnutrition?fdcid=173950" r:id="rId96"/>
    <hyperlink xmlns:r="http://schemas.openxmlformats.org/officeDocument/2006/relationships" ref="AC9" display="https://www.woodstock-foods.com/the-goods/product.organic-frozen-mixed-berries-value-size-042563018221.html" r:id="rId97"/>
    <hyperlink xmlns:r="http://schemas.openxmlformats.org/officeDocument/2006/relationships" ref="AD9" display="https://www.woodstock-foods.com/the-goods/product.organic-frozen-mixed-berries-value-size-042563018221.html" r:id="rId98"/>
    <hyperlink xmlns:r="http://schemas.openxmlformats.org/officeDocument/2006/relationships" ref="AE9" display="https://www.woodstock-foods.com/the-goods/product.organic-frozen-mixed-berries-value-size-042563018221.html" r:id="rId99"/>
    <hyperlink xmlns:r="http://schemas.openxmlformats.org/officeDocument/2006/relationships" ref="AF9" display="https://www.woodstock-foods.com/the-goods/product.organic-frozen-mixed-berries-value-size-042563018221.html" r:id="rId100"/>
    <hyperlink xmlns:r="http://schemas.openxmlformats.org/officeDocument/2006/relationships" ref="AH9" display="https://www.woodstock-foods.com/the-goods/product.organic-frozen-mixed-berries-value-size-042563018221.html" r:id="rId101"/>
    <hyperlink xmlns:r="http://schemas.openxmlformats.org/officeDocument/2006/relationships" ref="AJ9" display="https://www.logixpathchef.com/app/food/getfoodnutrition?fdcid=167755" r:id="rId102"/>
    <hyperlink xmlns:r="http://schemas.openxmlformats.org/officeDocument/2006/relationships" ref="AK9" display="https://www.woodstock-foods.com/the-goods/product.organic-frozen-mixed-berries-value-size-042563018221.html" r:id="rId103"/>
    <hyperlink xmlns:r="http://schemas.openxmlformats.org/officeDocument/2006/relationships" ref="AL9" display="https://www.logixpathchef.com/app/food/getfoodnutrition?fdcid=167755" r:id="rId104"/>
    <hyperlink xmlns:r="http://schemas.openxmlformats.org/officeDocument/2006/relationships" ref="AM9" display="https://www.logixpathchef.com/app/food/getfoodnutrition?fdcid=168173" r:id="rId105"/>
    <hyperlink xmlns:r="http://schemas.openxmlformats.org/officeDocument/2006/relationships" ref="AN9" display="https://www.logixpathchef.com/app/food/getfoodnutrition?fdcid=167755" r:id="rId106"/>
    <hyperlink xmlns:r="http://schemas.openxmlformats.org/officeDocument/2006/relationships" ref="AO9" display="https://www.logixpathchef.com/app/food/getfoodnutrition?fdcid=168173" r:id="rId107"/>
    <hyperlink xmlns:r="http://schemas.openxmlformats.org/officeDocument/2006/relationships" ref="AP9" display="Unknown" r:id="rId108"/>
    <hyperlink xmlns:r="http://schemas.openxmlformats.org/officeDocument/2006/relationships" ref="AQ9" display="https://www.woodstock-foods.com/the-goods/product.organic-frozen-mixed-berries-value-size-042563018221.html" r:id="rId109"/>
    <hyperlink xmlns:r="http://schemas.openxmlformats.org/officeDocument/2006/relationships" ref="AR9" display="https://www.logixpathchef.com/app/food/getfoodnutrition?fdcid=173946" r:id="rId110"/>
    <hyperlink xmlns:r="http://schemas.openxmlformats.org/officeDocument/2006/relationships" ref="AS9" display="https://www.logixpathchef.com/app/food/getfoodnutrition?fdcid=168173" r:id="rId111"/>
    <hyperlink xmlns:r="http://schemas.openxmlformats.org/officeDocument/2006/relationships" ref="AT9" display="https://www.logixpathchef.com/app/food/getfoodnutrition?fdcid=173946" r:id="rId112"/>
    <hyperlink xmlns:r="http://schemas.openxmlformats.org/officeDocument/2006/relationships" ref="AU9" display="https://www.logixpathchef.com/app/food/getfoodnutrition?fdcid=173946" r:id="rId113"/>
    <hyperlink xmlns:r="http://schemas.openxmlformats.org/officeDocument/2006/relationships" ref="AV9" display="Unknown" r:id="rId114"/>
    <hyperlink xmlns:r="http://schemas.openxmlformats.org/officeDocument/2006/relationships" ref="AW9" display="https://www.ars.usda.gov/ARSUserFiles/80400535/DATA/IODINE/IODINE_DATABASE_PDFVersion_2020.PDF" r:id="rId115"/>
    <hyperlink xmlns:r="http://schemas.openxmlformats.org/officeDocument/2006/relationships" ref="AX9" display="Unknown" r:id="rId116"/>
    <hyperlink xmlns:r="http://schemas.openxmlformats.org/officeDocument/2006/relationships" ref="AY9" display="https://www.logixpathchef.com/app/food/getfoodnutrition?fdcid=173946" r:id="rId117"/>
    <hyperlink xmlns:r="http://schemas.openxmlformats.org/officeDocument/2006/relationships" ref="AZ9" display="https://www.logixpathchef.com/app/food/getfoodnutrition?fdcid=168173" r:id="rId118"/>
    <hyperlink xmlns:r="http://schemas.openxmlformats.org/officeDocument/2006/relationships" ref="BA9" display="https://www.woodstock-foods.com/the-goods/product.organic-frozen-mixed-berries-value-size-042563018221.html" r:id="rId119"/>
    <hyperlink xmlns:r="http://schemas.openxmlformats.org/officeDocument/2006/relationships" ref="BB9" display="https://www.logixpathchef.com/app/food/getfoodnutrition?fdcid=173946" r:id="rId120"/>
    <hyperlink xmlns:r="http://schemas.openxmlformats.org/officeDocument/2006/relationships" ref="BC9" display="https://www.logixpathchef.com/app/food/getfoodnutrition?fdcid=173946" r:id="rId121"/>
    <hyperlink xmlns:r="http://schemas.openxmlformats.org/officeDocument/2006/relationships" ref="BD9" display="https://www.woodstock-foods.com/the-goods/product.organic-frozen-mixed-berries-value-size-042563018221.html" r:id="rId122"/>
    <hyperlink xmlns:r="http://schemas.openxmlformats.org/officeDocument/2006/relationships" ref="BE9" display="https://www.woodstock-foods.com/the-goods/product.organic-frozen-mixed-berries-value-size-042563018221.html" r:id="rId123"/>
    <hyperlink xmlns:r="http://schemas.openxmlformats.org/officeDocument/2006/relationships" ref="BF9" display="https://www.logixpathchef.com/app/food/getfoodnutrition?fdcid=168173" r:id="rId124"/>
    <hyperlink xmlns:r="http://schemas.openxmlformats.org/officeDocument/2006/relationships" ref="BG9" display="https://www.logixpathchef.com/app/food/getfoodnutrition?fdcid=168173" r:id="rId125"/>
    <hyperlink xmlns:r="http://schemas.openxmlformats.org/officeDocument/2006/relationships" ref="BH9" display="https://www.logixpathchef.com/app/food/getfoodnutrition?fdcid=173946" r:id="rId126"/>
    <hyperlink xmlns:r="http://schemas.openxmlformats.org/officeDocument/2006/relationships" ref="BI9" display="https://www.logixpathchef.com/app/food/getfoodnutrition?fdcid=173950" r:id="rId127"/>
    <hyperlink xmlns:r="http://schemas.openxmlformats.org/officeDocument/2006/relationships" ref="BJ9" display="https://www.logixpathchef.com/app/food/getfoodnutrition?fdcid=173946" r:id="rId128"/>
    <hyperlink xmlns:r="http://schemas.openxmlformats.org/officeDocument/2006/relationships" ref="BK9" display="https://www.woodstock-foods.com/the-goods/product.organic-frozen-mixed-berries-value-size-042563018221.html" r:id="rId129"/>
    <hyperlink xmlns:r="http://schemas.openxmlformats.org/officeDocument/2006/relationships" ref="BL9" display="Unknown" r:id="rId130"/>
    <hyperlink xmlns:r="http://schemas.openxmlformats.org/officeDocument/2006/relationships" ref="BM9" display="https://www.logixpathchef.com/app/food/getfoodnutrition?fdcid=167755" r:id="rId131"/>
    <hyperlink xmlns:r="http://schemas.openxmlformats.org/officeDocument/2006/relationships" ref="BN9" display="https://www.woodstock-foods.com/the-goods/product.organic-frozen-mixed-berries-value-size-042563018221.html" r:id="rId132"/>
    <hyperlink xmlns:r="http://schemas.openxmlformats.org/officeDocument/2006/relationships" ref="BO9" display="https://www.woodstock-foods.com/the-goods/product.organic-frozen-mixed-berries-value-size-042563018221.html" r:id="rId133"/>
    <hyperlink xmlns:r="http://schemas.openxmlformats.org/officeDocument/2006/relationships" ref="BP9" display="https://www.ars.usda.gov/ARSUserFiles/80400535/Data/Flav/Flav3.3.pdf" r:id="rId134"/>
    <hyperlink xmlns:r="http://schemas.openxmlformats.org/officeDocument/2006/relationships" ref="BQ9" display="https://www.woodstock-foods.com/the-goods/product.organic-frozen-mixed-berries-value-size-042563018221.html" r:id="rId135"/>
    <hyperlink xmlns:r="http://schemas.openxmlformats.org/officeDocument/2006/relationships" ref="BR9" display="https://www.woodstock-foods.com/the-goods/product.organic-frozen-mixed-berries-value-size-042563018221.html" r:id="rId136"/>
    <hyperlink xmlns:r="http://schemas.openxmlformats.org/officeDocument/2006/relationships" ref="BS9" display="http://www.electrochemsci.org/papers/vol6/6104638.pdf" r:id="rId137"/>
    <hyperlink xmlns:r="http://schemas.openxmlformats.org/officeDocument/2006/relationships" ref="BT9" display="https://www.ars.usda.gov/ARSUserFiles/80400535/Data/PA/PA02-1.pdf" r:id="rId138"/>
    <hyperlink xmlns:r="http://schemas.openxmlformats.org/officeDocument/2006/relationships" ref="BU9" display="https://www.woodstock-foods.com/the-goods/product.organic-frozen-mixed-berries-value-size-042563018221.html" r:id="rId139"/>
    <hyperlink xmlns:r="http://schemas.openxmlformats.org/officeDocument/2006/relationships" ref="BV9" display="https://www.ars.usda.gov/ARSUserFiles/80400535/Data/Flav/Flav3.3.pdf" r:id="rId140"/>
    <hyperlink xmlns:r="http://schemas.openxmlformats.org/officeDocument/2006/relationships" ref="BW9" display="https://www.cambridge.org/core/services/aop-cambridge-core/content/view/9AAD5BFE984EF28D7DC741C0ECE73724/S0007114505000504a.pdf/lignan_contents_of_dutch_plant_foods_a_database_including_lariciresinol_pinoresinol_secoisolariciresinol_and_matairesinol.pdf" r:id="rId141"/>
    <hyperlink xmlns:r="http://schemas.openxmlformats.org/officeDocument/2006/relationships" ref="BX9" display="https://www.logixpathchef.com/app/food/getfoodnutrition?fdcid=173946" r:id="rId142"/>
    <hyperlink xmlns:r="http://schemas.openxmlformats.org/officeDocument/2006/relationships" ref="BY9" display="https://www.logixpathchef.com/app/food/getfoodnutrition?fdcid=173946" r:id="rId143"/>
    <hyperlink xmlns:r="http://schemas.openxmlformats.org/officeDocument/2006/relationships" ref="BZ9" display="https://www.woodstock-foods.com/the-goods/product.organic-frozen-mixed-berries-value-size-042563018221.html" r:id="rId144"/>
    <hyperlink xmlns:r="http://schemas.openxmlformats.org/officeDocument/2006/relationships" ref="CA9" display="https://www.woodstock-foods.com/the-goods/product.organic-frozen-mixed-berries-value-size-042563018221.html" r:id="rId145"/>
    <hyperlink xmlns:r="http://schemas.openxmlformats.org/officeDocument/2006/relationships" ref="CB9" display="https://www.woodstock-foods.com/the-goods/product.organic-frozen-mixed-berries-value-size-042563018221.html" r:id="rId146"/>
    <hyperlink xmlns:r="http://schemas.openxmlformats.org/officeDocument/2006/relationships" ref="CC9" display="Unknown" r:id="rId147"/>
    <hyperlink xmlns:r="http://schemas.openxmlformats.org/officeDocument/2006/relationships" ref="CD9" display="Unknown" r:id="rId148"/>
    <hyperlink xmlns:r="http://schemas.openxmlformats.org/officeDocument/2006/relationships" ref="CE9" display="Unknown" r:id="rId149"/>
    <hyperlink xmlns:r="http://schemas.openxmlformats.org/officeDocument/2006/relationships" ref="CF9" display="https://www.logixpathchef.com/app/food/getfoodnutrition?fdcid=173950" r:id="rId150"/>
    <hyperlink xmlns:r="http://schemas.openxmlformats.org/officeDocument/2006/relationships" ref="CG9" display="https://www.woodstock-foods.com/the-goods/product.organic-frozen-mixed-berries-value-size-042563018221.html" r:id="rId151"/>
    <hyperlink xmlns:r="http://schemas.openxmlformats.org/officeDocument/2006/relationships" ref="CH9" display="https://www.woodstock-foods.com/the-goods/product.organic-frozen-mixed-berries-value-size-042563018221.html" r:id="rId152"/>
    <hyperlink xmlns:r="http://schemas.openxmlformats.org/officeDocument/2006/relationships" ref="CI9" display="https://www.woodstock-foods.com/the-goods/product.organic-frozen-mixed-berries-value-size-042563018221.html" r:id="rId153"/>
    <hyperlink xmlns:r="http://schemas.openxmlformats.org/officeDocument/2006/relationships" ref="CJ9" display="https://www.woodstock-foods.com/the-goods/product.organic-frozen-mixed-berries-value-size-042563018221.html" r:id="rId154"/>
    <hyperlink xmlns:r="http://schemas.openxmlformats.org/officeDocument/2006/relationships" ref="CK9" display="https://www.woodstock-foods.com/the-goods/product.organic-frozen-mixed-berries-value-size-042563018221.html" r:id="rId155"/>
    <hyperlink xmlns:r="http://schemas.openxmlformats.org/officeDocument/2006/relationships" ref="CL9" display="Unknown" r:id="rId156"/>
    <hyperlink xmlns:r="http://schemas.openxmlformats.org/officeDocument/2006/relationships" ref="CM9" display="https://www.woodstock-foods.com/the-goods/product.organic-frozen-mixed-berries-value-size-042563018221.html" r:id="rId157"/>
    <hyperlink xmlns:r="http://schemas.openxmlformats.org/officeDocument/2006/relationships" ref="CN9" display="https://www.woodstock-foods.com/the-goods/product.organic-frozen-mixed-berries-value-size-042563018221.html" r:id="rId158"/>
    <hyperlink xmlns:r="http://schemas.openxmlformats.org/officeDocument/2006/relationships" ref="CO9" display="https://www.woodstock-foods.com/the-goods/product.organic-frozen-mixed-berries-value-size-042563018221.html" r:id="rId159"/>
    <hyperlink xmlns:r="http://schemas.openxmlformats.org/officeDocument/2006/relationships" ref="CP9" display="https://www.woodstock-foods.com/the-goods/product.organic-frozen-mixed-berries-value-size-042563018221.html" r:id="rId160"/>
    <hyperlink xmlns:r="http://schemas.openxmlformats.org/officeDocument/2006/relationships" ref="CQ9" display="https://www.logixpathchef.com/app/food/getfoodnutrition?fdcid=173946" r:id="rId161"/>
    <hyperlink xmlns:r="http://schemas.openxmlformats.org/officeDocument/2006/relationships" ref="CR9" display="https://www.woodstock-foods.com/the-goods/product.organic-frozen-mixed-berries-value-size-042563018221.html" r:id="rId162"/>
    <hyperlink xmlns:r="http://schemas.openxmlformats.org/officeDocument/2006/relationships" ref="CS9" display="https://www.fda.gov/media/159745/download" r:id="rId163"/>
    <hyperlink xmlns:r="http://schemas.openxmlformats.org/officeDocument/2006/relationships" ref="CT9" display="https://www.fda.gov/media/159745/download" r:id="rId164"/>
    <hyperlink xmlns:r="http://schemas.openxmlformats.org/officeDocument/2006/relationships" ref="CU9" display="https://www.fda.gov/media/159745/download" r:id="rId165"/>
    <hyperlink xmlns:r="http://schemas.openxmlformats.org/officeDocument/2006/relationships" ref="CV9" display="https://www.fda.gov/media/159745/download" r:id="rId166"/>
    <hyperlink xmlns:r="http://schemas.openxmlformats.org/officeDocument/2006/relationships" ref="O10" display="https://www.logixpathchef.com/app/food/getfoodnutrition?fdcid=174284" r:id="rId167"/>
    <hyperlink xmlns:r="http://schemas.openxmlformats.org/officeDocument/2006/relationships" ref="P10" display="https://www.logixpathchef.com/app/food/getfoodnutrition?fdcid=174284" r:id="rId168"/>
    <hyperlink xmlns:r="http://schemas.openxmlformats.org/officeDocument/2006/relationships" ref="Q10" display="https://www.hearthyfoods.com/products/red-lentil-flour" r:id="rId169"/>
    <hyperlink xmlns:r="http://schemas.openxmlformats.org/officeDocument/2006/relationships" ref="R10" display="https://www.hearthyfoods.com/products/red-lentil-flour" r:id="rId170"/>
    <hyperlink xmlns:r="http://schemas.openxmlformats.org/officeDocument/2006/relationships" ref="S10" display="https://www.hearthyfoods.com/products/red-lentil-flour" r:id="rId171"/>
    <hyperlink xmlns:r="http://schemas.openxmlformats.org/officeDocument/2006/relationships" ref="T10" display="https://www.hearthyfoods.com/products/red-lentil-flour" r:id="rId172"/>
    <hyperlink xmlns:r="http://schemas.openxmlformats.org/officeDocument/2006/relationships" ref="U10" display="https://www.logixpathchef.com/app/food/getfoodnutrition?fdcid=174284" r:id="rId173"/>
    <hyperlink xmlns:r="http://schemas.openxmlformats.org/officeDocument/2006/relationships" ref="W10" display="https://www.logixpathchef.com/app/food/getfoodnutrition?fdcid=174284" r:id="rId174"/>
    <hyperlink xmlns:r="http://schemas.openxmlformats.org/officeDocument/2006/relationships" ref="X10" display="https://www.logixpathchef.com/app/food/getfoodnutrition?fdcid=174284" r:id="rId175"/>
    <hyperlink xmlns:r="http://schemas.openxmlformats.org/officeDocument/2006/relationships" ref="Y10" display="https://www.logixpathchef.com/app/food/getfoodnutrition?fdcid=174284" r:id="rId176"/>
    <hyperlink xmlns:r="http://schemas.openxmlformats.org/officeDocument/2006/relationships" ref="Z10" display="https://www.logixpathchef.com/app/food/getfoodnutrition?fdcid=174284" r:id="rId177"/>
    <hyperlink xmlns:r="http://schemas.openxmlformats.org/officeDocument/2006/relationships" ref="AA10" display="https://www.logixpathchef.com/app/food/getfoodnutrition?fdcid=174284" r:id="rId178"/>
    <hyperlink xmlns:r="http://schemas.openxmlformats.org/officeDocument/2006/relationships" ref="AB10" display="https://www.logixpathchef.com/app/food/getfoodnutrition?fdcid=174284" r:id="rId179"/>
    <hyperlink xmlns:r="http://schemas.openxmlformats.org/officeDocument/2006/relationships" ref="AC10" display="https://www.logixpathchef.com/app/food/getfoodnutrition?fdcid=174284" r:id="rId180"/>
    <hyperlink xmlns:r="http://schemas.openxmlformats.org/officeDocument/2006/relationships" ref="AD10" display="https://www.logixpathchef.com/app/food/getfoodnutrition?fdcid=174284" r:id="rId181"/>
    <hyperlink xmlns:r="http://schemas.openxmlformats.org/officeDocument/2006/relationships" ref="AE10" display="https://www.logixpathchef.com/app/food/getfoodnutrition?fdcid=174284" r:id="rId182"/>
    <hyperlink xmlns:r="http://schemas.openxmlformats.org/officeDocument/2006/relationships" ref="AF10" display="https://www.hearthyfoods.com/products/red-lentil-flour" r:id="rId183"/>
    <hyperlink xmlns:r="http://schemas.openxmlformats.org/officeDocument/2006/relationships" ref="AH10" display="https://www.logixpathchef.com/app/food/getfoodnutrition?fdcid=174284" r:id="rId184"/>
    <hyperlink xmlns:r="http://schemas.openxmlformats.org/officeDocument/2006/relationships" ref="AJ10" display="https://nutrivore.com/foods/lentil-nutrients/" r:id="rId185"/>
    <hyperlink xmlns:r="http://schemas.openxmlformats.org/officeDocument/2006/relationships" ref="AK10" display="https://www.logixpathchef.com/app/food/getfoodnutrition?fdcid=174284" r:id="rId186"/>
    <hyperlink xmlns:r="http://schemas.openxmlformats.org/officeDocument/2006/relationships" ref="AL10" display="https://www.logixpathchef.com/app/food/getfoodnutrition?fdcid=174284" r:id="rId187"/>
    <hyperlink xmlns:r="http://schemas.openxmlformats.org/officeDocument/2006/relationships" ref="AM10" display="https://www.logixpathchef.com/app/food/getfoodnutrition?fdcid=174284" r:id="rId188"/>
    <hyperlink xmlns:r="http://schemas.openxmlformats.org/officeDocument/2006/relationships" ref="AN10" display="https://www.logixpathchef.com/app/food/getfoodnutrition?fdcid=174284" r:id="rId189"/>
    <hyperlink xmlns:r="http://schemas.openxmlformats.org/officeDocument/2006/relationships" ref="AO10" display="https://www.logixpathchef.com/app/food/getfoodnutrition?fdcid=174284" r:id="rId190"/>
    <hyperlink xmlns:r="http://schemas.openxmlformats.org/officeDocument/2006/relationships" ref="AP10" display="Unknown" r:id="rId191"/>
    <hyperlink xmlns:r="http://schemas.openxmlformats.org/officeDocument/2006/relationships" ref="AQ10" display="https://www.logixpathchef.com/app/food/getfoodnutrition?fdcid=174284" r:id="rId192"/>
    <hyperlink xmlns:r="http://schemas.openxmlformats.org/officeDocument/2006/relationships" ref="AR10" display="https://www.logixpathchef.com/app/food/getfoodnutrition?fdcid=174284" r:id="rId193"/>
    <hyperlink xmlns:r="http://schemas.openxmlformats.org/officeDocument/2006/relationships" ref="AS10" display="https://www.logixpathchef.com/app/food/getfoodnutrition?fdcid=174284" r:id="rId194"/>
    <hyperlink xmlns:r="http://schemas.openxmlformats.org/officeDocument/2006/relationships" ref="AT10" display="https://www.logixpathchef.com/app/food/getfoodnutrition?fdcid=174284" r:id="rId195"/>
    <hyperlink xmlns:r="http://schemas.openxmlformats.org/officeDocument/2006/relationships" ref="AU10" display="https://www.logixpathchef.com/app/food/getfoodnutrition?fdcid=174284" r:id="rId196"/>
    <hyperlink xmlns:r="http://schemas.openxmlformats.org/officeDocument/2006/relationships" ref="AV10" display="Unknown" r:id="rId197"/>
    <hyperlink xmlns:r="http://schemas.openxmlformats.org/officeDocument/2006/relationships" ref="AW10" display="Unknown" r:id="rId198"/>
    <hyperlink xmlns:r="http://schemas.openxmlformats.org/officeDocument/2006/relationships" ref="AX10" display="https://lpi.oregonstate.edu/mic/minerals/boron" r:id="rId199"/>
    <hyperlink xmlns:r="http://schemas.openxmlformats.org/officeDocument/2006/relationships" ref="AY10" display="https://www.logixpathchef.com/app/food/getfoodnutrition?fdcid=174284" r:id="rId200"/>
    <hyperlink xmlns:r="http://schemas.openxmlformats.org/officeDocument/2006/relationships" ref="AZ10" display="https://www.logixpathchef.com/app/food/getfoodnutrition?fdcid=174284" r:id="rId201"/>
    <hyperlink xmlns:r="http://schemas.openxmlformats.org/officeDocument/2006/relationships" ref="BA10" display="https://www.logixpathchef.com/app/food/getfoodnutrition?fdcid=174284" r:id="rId202"/>
    <hyperlink xmlns:r="http://schemas.openxmlformats.org/officeDocument/2006/relationships" ref="BB10" display="https://www.logixpathchef.com/app/food/getfoodnutrition?fdcid=174284" r:id="rId203"/>
    <hyperlink xmlns:r="http://schemas.openxmlformats.org/officeDocument/2006/relationships" ref="BC10" display="https://www.logixpathchef.com/app/food/getfoodnutrition?fdcid=174284" r:id="rId204"/>
    <hyperlink xmlns:r="http://schemas.openxmlformats.org/officeDocument/2006/relationships" ref="BD10" display="https://www.logixpathchef.com/app/food/getfoodnutrition?fdcid=174284" r:id="rId205"/>
    <hyperlink xmlns:r="http://schemas.openxmlformats.org/officeDocument/2006/relationships" ref="BE10" display="https://www.logixpathchef.com/app/food/getfoodnutrition?fdcid=174284" r:id="rId206"/>
    <hyperlink xmlns:r="http://schemas.openxmlformats.org/officeDocument/2006/relationships" ref="BF10" display="https://www.logixpathchef.com/app/food/getfoodnutrition?fdcid=174284" r:id="rId207"/>
    <hyperlink xmlns:r="http://schemas.openxmlformats.org/officeDocument/2006/relationships" ref="BG10" display="https://www.logixpathchef.com/app/food/getfoodnutrition?fdcid=174284" r:id="rId208"/>
    <hyperlink xmlns:r="http://schemas.openxmlformats.org/officeDocument/2006/relationships" ref="BH10" display="https://www.logixpathchef.com/app/food/getfoodnutrition?fdcid=174284" r:id="rId209"/>
    <hyperlink xmlns:r="http://schemas.openxmlformats.org/officeDocument/2006/relationships" ref="BI10" display="https://www.logixpathchef.com/app/food/getfoodnutrition?fdcid=174284" r:id="rId210"/>
    <hyperlink xmlns:r="http://schemas.openxmlformats.org/officeDocument/2006/relationships" ref="BJ10" display="https://www.logixpathchef.com/app/food/getfoodnutrition?fdcid=174284" r:id="rId211"/>
    <hyperlink xmlns:r="http://schemas.openxmlformats.org/officeDocument/2006/relationships" ref="BK10" display="https://www.logixpathchef.com/app/food/getfoodnutrition?fdcid=174284" r:id="rId212"/>
    <hyperlink xmlns:r="http://schemas.openxmlformats.org/officeDocument/2006/relationships" ref="BL10" display="https://nutrivore.com/foods/lentil-nutrients/" r:id="rId213"/>
    <hyperlink xmlns:r="http://schemas.openxmlformats.org/officeDocument/2006/relationships" ref="BM10" display="https://www.logixpathchef.com/app/food/getfoodnutrition?fdcid=174284" r:id="rId214"/>
    <hyperlink xmlns:r="http://schemas.openxmlformats.org/officeDocument/2006/relationships" ref="BN10" display="https://www.logixpathchef.com/app/food/getfoodnutrition?fdcid=174284" r:id="rId215"/>
    <hyperlink xmlns:r="http://schemas.openxmlformats.org/officeDocument/2006/relationships" ref="BO10" display="https://www.logixpathchef.com/app/food/getfoodnutrition?fdcid=174284" r:id="rId216"/>
    <hyperlink xmlns:r="http://schemas.openxmlformats.org/officeDocument/2006/relationships" ref="BP10" display="https://www.ars.usda.gov/ARSUserFiles/80400535/Data/Flav/Flav3.3.pdf" r:id="rId217"/>
    <hyperlink xmlns:r="http://schemas.openxmlformats.org/officeDocument/2006/relationships" ref="BQ10" display="https://www.ars.usda.gov/ARSUserFiles/80400535/Data/Flav/Flav3.3.pdf" r:id="rId218"/>
    <hyperlink xmlns:r="http://schemas.openxmlformats.org/officeDocument/2006/relationships" ref="BR10" display="https://www.hearthyfoods.com/products/red-lentil-flour" r:id="rId219"/>
    <hyperlink xmlns:r="http://schemas.openxmlformats.org/officeDocument/2006/relationships" ref="BS10" display="https://www.hearthyfoods.com/products/red-lentil-flour" r:id="rId220"/>
    <hyperlink xmlns:r="http://schemas.openxmlformats.org/officeDocument/2006/relationships" ref="BT10" display="https://www.ars.usda.gov/ARSUserFiles/80400535/Data/PA/PA02-1.pdf" r:id="rId221"/>
    <hyperlink xmlns:r="http://schemas.openxmlformats.org/officeDocument/2006/relationships" ref="BU10" display="https://www.hearthyfoods.com/products/red-lentil-flour" r:id="rId222"/>
    <hyperlink xmlns:r="http://schemas.openxmlformats.org/officeDocument/2006/relationships" ref="BV10" display="Unknown" r:id="rId223"/>
    <hyperlink xmlns:r="http://schemas.openxmlformats.org/officeDocument/2006/relationships" ref="BW10" display="Unknown" r:id="rId224"/>
    <hyperlink xmlns:r="http://schemas.openxmlformats.org/officeDocument/2006/relationships" ref="BX10" display="Unknown" r:id="rId225"/>
    <hyperlink xmlns:r="http://schemas.openxmlformats.org/officeDocument/2006/relationships" ref="BY10" display="Unknown" r:id="rId226"/>
    <hyperlink xmlns:r="http://schemas.openxmlformats.org/officeDocument/2006/relationships" ref="BZ10" display="https://www.hearthyfoods.com/products/red-lentil-flour" r:id="rId227"/>
    <hyperlink xmlns:r="http://schemas.openxmlformats.org/officeDocument/2006/relationships" ref="CA10" display="https://www.hearthyfoods.com/products/red-lentil-flour" r:id="rId228"/>
    <hyperlink xmlns:r="http://schemas.openxmlformats.org/officeDocument/2006/relationships" ref="CB10" display="https://www.hearthyfoods.com/products/red-lentil-flour" r:id="rId229"/>
    <hyperlink xmlns:r="http://schemas.openxmlformats.org/officeDocument/2006/relationships" ref="CC10" display="https://pmc.ncbi.nlm.nih.gov/articles/PMC9609092/" r:id="rId230"/>
    <hyperlink xmlns:r="http://schemas.openxmlformats.org/officeDocument/2006/relationships" ref="CD10" display="https://www.logixpathchef.com/app/food/getfoodnutrition?fdcid=174284" r:id="rId231"/>
    <hyperlink xmlns:r="http://schemas.openxmlformats.org/officeDocument/2006/relationships" ref="CE10" display="https://pmc.ncbi.nlm.nih.gov/articles/PMC3022763/" r:id="rId232"/>
    <hyperlink xmlns:r="http://schemas.openxmlformats.org/officeDocument/2006/relationships" ref="CF10" display="https://www.logixpathchef.com/app/food/getfoodnutrition?fdcid=174284" r:id="rId233"/>
    <hyperlink xmlns:r="http://schemas.openxmlformats.org/officeDocument/2006/relationships" ref="CG10" display="https://www.hearthyfoods.com/products/red-lentil-flour" r:id="rId234"/>
    <hyperlink xmlns:r="http://schemas.openxmlformats.org/officeDocument/2006/relationships" ref="CH10" display="https://pmc.ncbi.nlm.nih.gov/articles/PMC9609092/" r:id="rId235"/>
    <hyperlink xmlns:r="http://schemas.openxmlformats.org/officeDocument/2006/relationships" ref="CI10" display="https://www.hearthyfoods.com/products/red-lentil-flour" r:id="rId236"/>
    <hyperlink xmlns:r="http://schemas.openxmlformats.org/officeDocument/2006/relationships" ref="CJ10" display="https://www.hearthyfoods.com/products/red-lentil-flour" r:id="rId237"/>
    <hyperlink xmlns:r="http://schemas.openxmlformats.org/officeDocument/2006/relationships" ref="CK10" display="https://www.hearthyfoods.com/products/red-lentil-flour" r:id="rId238"/>
    <hyperlink xmlns:r="http://schemas.openxmlformats.org/officeDocument/2006/relationships" ref="CL10" display="Unknown" r:id="rId239"/>
    <hyperlink xmlns:r="http://schemas.openxmlformats.org/officeDocument/2006/relationships" ref="CM10" display="https://www.hearthyfoods.com/products/red-lentil-flour" r:id="rId240"/>
    <hyperlink xmlns:r="http://schemas.openxmlformats.org/officeDocument/2006/relationships" ref="CN10" display="https://www.hearthyfoods.com/products/red-lentil-flour" r:id="rId241"/>
    <hyperlink xmlns:r="http://schemas.openxmlformats.org/officeDocument/2006/relationships" ref="CO10" display="https://www.hearthyfoods.com/products/red-lentil-flour" r:id="rId242"/>
    <hyperlink xmlns:r="http://schemas.openxmlformats.org/officeDocument/2006/relationships" ref="CP10" display="https://www.hearthyfoods.com/products/red-lentil-flour" r:id="rId243"/>
    <hyperlink xmlns:r="http://schemas.openxmlformats.org/officeDocument/2006/relationships" ref="CQ10" display="https://fdc.nal.usda.gov/fdc-datasets/FoodData_Central_sr_legacy_food_csv_2018-04.zip" r:id="rId244"/>
    <hyperlink xmlns:r="http://schemas.openxmlformats.org/officeDocument/2006/relationships" ref="CR10" display="https://www.hearthyfoods.com/products/red-lentil-flour" r:id="rId245"/>
    <hyperlink xmlns:r="http://schemas.openxmlformats.org/officeDocument/2006/relationships" ref="CS10" display="https://www.sciencedirect.com/science/article/abs/pii/S0889157522004707" r:id="rId246"/>
    <hyperlink xmlns:r="http://schemas.openxmlformats.org/officeDocument/2006/relationships" ref="CT10" display="https://www.sciencedirect.com/science/article/abs/pii/S0889157522004707" r:id="rId247"/>
    <hyperlink xmlns:r="http://schemas.openxmlformats.org/officeDocument/2006/relationships" ref="CU10" display="https://www.sciencedirect.com/science/article/abs/pii/S0889157522004707" r:id="rId248"/>
    <hyperlink xmlns:r="http://schemas.openxmlformats.org/officeDocument/2006/relationships" ref="CV10" display="https://www.fda.gov/media/159745/download" r:id="rId249"/>
    <hyperlink xmlns:r="http://schemas.openxmlformats.org/officeDocument/2006/relationships" ref="O11" display="https://www.logixpathchef.com/app/food/getfoodnutrition?fdcid=171705" r:id="rId250"/>
    <hyperlink xmlns:r="http://schemas.openxmlformats.org/officeDocument/2006/relationships" ref="P11" display="https://www.logixpathchef.com/app/food/getfoodnutrition?fdcid=171705" r:id="rId251"/>
    <hyperlink xmlns:r="http://schemas.openxmlformats.org/officeDocument/2006/relationships" ref="Q11" display="https://www.wholefoodsmarket.com/product/365-everyday-value-avocado-chunks-10-oz-b07nrh47wp" r:id="rId252"/>
    <hyperlink xmlns:r="http://schemas.openxmlformats.org/officeDocument/2006/relationships" ref="R11" display="https://www.wholefoodsmarket.com/product/365-everyday-value-avocado-chunks-10-oz-b07nrh47wp" r:id="rId253"/>
    <hyperlink xmlns:r="http://schemas.openxmlformats.org/officeDocument/2006/relationships" ref="S11" display="https://www.wholefoodsmarket.com/product/365-everyday-value-avocado-chunks-10-oz-b07nrh47wp" r:id="rId254"/>
    <hyperlink xmlns:r="http://schemas.openxmlformats.org/officeDocument/2006/relationships" ref="T11" display="https://www.wholefoodsmarket.com/product/365-everyday-value-avocado-chunks-10-oz-b07nrh47wp" r:id="rId255"/>
    <hyperlink xmlns:r="http://schemas.openxmlformats.org/officeDocument/2006/relationships" ref="U11" display="https://www.logixpathchef.com/app/food/getfoodnutrition?fdcid=171705" r:id="rId256"/>
    <hyperlink xmlns:r="http://schemas.openxmlformats.org/officeDocument/2006/relationships" ref="W11" display="https://www.logixpathchef.com/app/food/getfoodnutrition?fdcid=171705" r:id="rId257"/>
    <hyperlink xmlns:r="http://schemas.openxmlformats.org/officeDocument/2006/relationships" ref="X11" display="https://www.logixpathchef.com/app/food/getfoodnutrition?fdcid=171705" r:id="rId258"/>
    <hyperlink xmlns:r="http://schemas.openxmlformats.org/officeDocument/2006/relationships" ref="Y11" display="https://www.logixpathchef.com/app/food/getfoodnutrition?fdcid=171705" r:id="rId259"/>
    <hyperlink xmlns:r="http://schemas.openxmlformats.org/officeDocument/2006/relationships" ref="Z11" display="https://www.logixpathchef.com/app/food/getfoodnutrition?fdcid=171705" r:id="rId260"/>
    <hyperlink xmlns:r="http://schemas.openxmlformats.org/officeDocument/2006/relationships" ref="AA11" display="https://www.logixpathchef.com/app/food/getfoodnutrition?fdcid=171705" r:id="rId261"/>
    <hyperlink xmlns:r="http://schemas.openxmlformats.org/officeDocument/2006/relationships" ref="AB11" display="https://www.logixpathchef.com/app/food/getfoodnutrition?fdcid=171705" r:id="rId262"/>
    <hyperlink xmlns:r="http://schemas.openxmlformats.org/officeDocument/2006/relationships" ref="AC11" display="https://www.logixpathchef.com/app/food/getfoodnutrition?fdcid=171705" r:id="rId263"/>
    <hyperlink xmlns:r="http://schemas.openxmlformats.org/officeDocument/2006/relationships" ref="AD11" display="https://www.logixpathchef.com/app/food/getfoodnutrition?fdcid=171705" r:id="rId264"/>
    <hyperlink xmlns:r="http://schemas.openxmlformats.org/officeDocument/2006/relationships" ref="AE11" display="https://www.logixpathchef.com/app/food/getfoodnutrition?fdcid=171705" r:id="rId265"/>
    <hyperlink xmlns:r="http://schemas.openxmlformats.org/officeDocument/2006/relationships" ref="AF11" display="https://www.wholefoodsmarket.com/product/365-everyday-value-avocado-chunks-10-oz-b07nrh47wp" r:id="rId266"/>
    <hyperlink xmlns:r="http://schemas.openxmlformats.org/officeDocument/2006/relationships" ref="AH11" display="https://www.logixpathchef.com/app/food/getfoodnutrition?fdcid=171705" r:id="rId267"/>
    <hyperlink xmlns:r="http://schemas.openxmlformats.org/officeDocument/2006/relationships" ref="AJ11" display="https://www.logixpathchef.com/app/food/getfoodnutrition?fdcid=171705" r:id="rId268"/>
    <hyperlink xmlns:r="http://schemas.openxmlformats.org/officeDocument/2006/relationships" ref="AK11" display="https://www.logixpathchef.com/app/food/getfoodnutrition?fdcid=171705" r:id="rId269"/>
    <hyperlink xmlns:r="http://schemas.openxmlformats.org/officeDocument/2006/relationships" ref="AL11" display="https://www.logixpathchef.com/app/food/getfoodnutrition?fdcid=171705" r:id="rId270"/>
    <hyperlink xmlns:r="http://schemas.openxmlformats.org/officeDocument/2006/relationships" ref="AM11" display="https://www.logixpathchef.com/app/food/getfoodnutrition?fdcid=171705" r:id="rId271"/>
    <hyperlink xmlns:r="http://schemas.openxmlformats.org/officeDocument/2006/relationships" ref="AN11" display="https://www.logixpathchef.com/app/food/getfoodnutrition?fdcid=171705" r:id="rId272"/>
    <hyperlink xmlns:r="http://schemas.openxmlformats.org/officeDocument/2006/relationships" ref="AO11" display="https://www.logixpathchef.com/app/food/getfoodnutrition?fdcid=171705" r:id="rId273"/>
    <hyperlink xmlns:r="http://schemas.openxmlformats.org/officeDocument/2006/relationships" ref="AP11" display="Unknown" r:id="rId274"/>
    <hyperlink xmlns:r="http://schemas.openxmlformats.org/officeDocument/2006/relationships" ref="AQ11" display="https://www.logixpathchef.com/app/food/getfoodnutrition?fdcid=171705" r:id="rId275"/>
    <hyperlink xmlns:r="http://schemas.openxmlformats.org/officeDocument/2006/relationships" ref="AR11" display="https://www.logixpathchef.com/app/food/getfoodnutrition?fdcid=171705" r:id="rId276"/>
    <hyperlink xmlns:r="http://schemas.openxmlformats.org/officeDocument/2006/relationships" ref="AS11" display="https://www.logixpathchef.com/app/food/getfoodnutrition?fdcid=171705" r:id="rId277"/>
    <hyperlink xmlns:r="http://schemas.openxmlformats.org/officeDocument/2006/relationships" ref="AT11" display="https://www.logixpathchef.com/app/food/getfoodnutrition?fdcid=171705" r:id="rId278"/>
    <hyperlink xmlns:r="http://schemas.openxmlformats.org/officeDocument/2006/relationships" ref="AU11" display="https://www.logixpathchef.com/app/food/getfoodnutrition?fdcid=171705" r:id="rId279"/>
    <hyperlink xmlns:r="http://schemas.openxmlformats.org/officeDocument/2006/relationships" ref="AV11" display="Unknown" r:id="rId280"/>
    <hyperlink xmlns:r="http://schemas.openxmlformats.org/officeDocument/2006/relationships" ref="AW11" display="https://www.ars.usda.gov/ARSUserFiles/80400535/DATA/IODINE/IODINE_DATABASE_PDFVersion_2020.PDF" r:id="rId281"/>
    <hyperlink xmlns:r="http://schemas.openxmlformats.org/officeDocument/2006/relationships" ref="AX11" display="Unknown" r:id="rId282"/>
    <hyperlink xmlns:r="http://schemas.openxmlformats.org/officeDocument/2006/relationships" ref="AY11" display="https://www.logixpathchef.com/app/food/getfoodnutrition?fdcid=171705" r:id="rId283"/>
    <hyperlink xmlns:r="http://schemas.openxmlformats.org/officeDocument/2006/relationships" ref="AZ11" display="https://www.logixpathchef.com/app/food/getfoodnutrition?fdcid=171705" r:id="rId284"/>
    <hyperlink xmlns:r="http://schemas.openxmlformats.org/officeDocument/2006/relationships" ref="BA11" display="https://www.logixpathchef.com/app/food/getfoodnutrition?fdcid=171705" r:id="rId285"/>
    <hyperlink xmlns:r="http://schemas.openxmlformats.org/officeDocument/2006/relationships" ref="BB11" display="https://www.logixpathchef.com/app/food/getfoodnutrition?fdcid=171705" r:id="rId286"/>
    <hyperlink xmlns:r="http://schemas.openxmlformats.org/officeDocument/2006/relationships" ref="BC11" display="https://www.logixpathchef.com/app/food/getfoodnutrition?fdcid=171705" r:id="rId287"/>
    <hyperlink xmlns:r="http://schemas.openxmlformats.org/officeDocument/2006/relationships" ref="BD11" display="https://www.logixpathchef.com/app/food/getfoodnutrition?fdcid=171705" r:id="rId288"/>
    <hyperlink xmlns:r="http://schemas.openxmlformats.org/officeDocument/2006/relationships" ref="BE11" display="https://www.logixpathchef.com/app/food/getfoodnutrition?fdcid=171705" r:id="rId289"/>
    <hyperlink xmlns:r="http://schemas.openxmlformats.org/officeDocument/2006/relationships" ref="BF11" display="https://www.logixpathchef.com/app/food/getfoodnutrition?fdcid=171705" r:id="rId290"/>
    <hyperlink xmlns:r="http://schemas.openxmlformats.org/officeDocument/2006/relationships" ref="BG11" display="https://www.logixpathchef.com/app/food/getfoodnutrition?fdcid=171705" r:id="rId291"/>
    <hyperlink xmlns:r="http://schemas.openxmlformats.org/officeDocument/2006/relationships" ref="BH11" display="https://www.logixpathchef.com/app/food/getfoodnutrition?fdcid=171705" r:id="rId292"/>
    <hyperlink xmlns:r="http://schemas.openxmlformats.org/officeDocument/2006/relationships" ref="BI11" display="https://www.logixpathchef.com/app/food/getfoodnutrition?fdcid=171705" r:id="rId293"/>
    <hyperlink xmlns:r="http://schemas.openxmlformats.org/officeDocument/2006/relationships" ref="BJ11" display="https://www.logixpathchef.com/app/food/getfoodnutrition?fdcid=171705" r:id="rId294"/>
    <hyperlink xmlns:r="http://schemas.openxmlformats.org/officeDocument/2006/relationships" ref="BK11" display="https://www.logixpathchef.com/app/food/getfoodnutrition?fdcid=171705" r:id="rId295"/>
    <hyperlink xmlns:r="http://schemas.openxmlformats.org/officeDocument/2006/relationships" ref="BL11" display="https://ods.od.nih.gov/factsheets/Biotin-HealthProfessional/" r:id="rId296"/>
    <hyperlink xmlns:r="http://schemas.openxmlformats.org/officeDocument/2006/relationships" ref="BM11" display="https://www.logixpathchef.com/app/food/getfoodnutrition?fdcid=171705" r:id="rId297"/>
    <hyperlink xmlns:r="http://schemas.openxmlformats.org/officeDocument/2006/relationships" ref="BN11" display="https://www.logixpathchef.com/app/food/getfoodnutrition?fdcid=171705" r:id="rId298"/>
    <hyperlink xmlns:r="http://schemas.openxmlformats.org/officeDocument/2006/relationships" ref="BO11" display="https://www.logixpathchef.com/app/food/getfoodnutrition?fdcid=171705" r:id="rId299"/>
    <hyperlink xmlns:r="http://schemas.openxmlformats.org/officeDocument/2006/relationships" ref="BP11" display="https://www.ars.usda.gov/ARSUserFiles/80400535/Data/Flav/Flav3.3.pdf" r:id="rId300"/>
    <hyperlink xmlns:r="http://schemas.openxmlformats.org/officeDocument/2006/relationships" ref="BQ11" display="https://www.ars.usda.gov/ARSUserFiles/80400535/Data/Flav/Flav3.3.pdf" r:id="rId301"/>
    <hyperlink xmlns:r="http://schemas.openxmlformats.org/officeDocument/2006/relationships" ref="BR11" display="https://www.wholefoodsmarket.com/product/365-everyday-value-avocado-chunks-10-oz-b07nrh47wp" r:id="rId302"/>
    <hyperlink xmlns:r="http://schemas.openxmlformats.org/officeDocument/2006/relationships" ref="BS11" display="https://www.wholefoodsmarket.com/product/365-everyday-value-avocado-chunks-10-oz-b07nrh47wp" r:id="rId303"/>
    <hyperlink xmlns:r="http://schemas.openxmlformats.org/officeDocument/2006/relationships" ref="BT11" display="https://www.ars.usda.gov/ARSUserFiles/80400535/Data/PA/PA02-1.pdf" r:id="rId304"/>
    <hyperlink xmlns:r="http://schemas.openxmlformats.org/officeDocument/2006/relationships" ref="BU11" display="https://www.wholefoodsmarket.com/product/365-everyday-value-avocado-chunks-10-oz-b07nrh47wp" r:id="rId305"/>
    <hyperlink xmlns:r="http://schemas.openxmlformats.org/officeDocument/2006/relationships" ref="BV11" display="Unknown" r:id="rId306"/>
    <hyperlink xmlns:r="http://schemas.openxmlformats.org/officeDocument/2006/relationships" ref="BW11" display="Unknown" r:id="rId307"/>
    <hyperlink xmlns:r="http://schemas.openxmlformats.org/officeDocument/2006/relationships" ref="BX11" display="https://www.logixpathchef.com/app/food/getfoodnutrition?fdcid=171705" r:id="rId308"/>
    <hyperlink xmlns:r="http://schemas.openxmlformats.org/officeDocument/2006/relationships" ref="BY11" display="https://www.logixpathchef.com/app/food/getfoodnutrition?fdcid=171705" r:id="rId309"/>
    <hyperlink xmlns:r="http://schemas.openxmlformats.org/officeDocument/2006/relationships" ref="BZ11" display="https://www.wholefoodsmarket.com/product/365-everyday-value-avocado-chunks-10-oz-b07nrh47wp" r:id="rId310"/>
    <hyperlink xmlns:r="http://schemas.openxmlformats.org/officeDocument/2006/relationships" ref="CA11" display="https://www.wholefoodsmarket.com/product/365-everyday-value-avocado-chunks-10-oz-b07nrh47wp" r:id="rId311"/>
    <hyperlink xmlns:r="http://schemas.openxmlformats.org/officeDocument/2006/relationships" ref="CB11" display="https://www.wholefoodsmarket.com/product/365-everyday-value-avocado-chunks-10-oz-b07nrh47wp" r:id="rId312"/>
    <hyperlink xmlns:r="http://schemas.openxmlformats.org/officeDocument/2006/relationships" ref="CC11" display="https://www.logixpathchef.com/app/food/getfoodnutrition?fdcid=171705" r:id="rId313"/>
    <hyperlink xmlns:r="http://schemas.openxmlformats.org/officeDocument/2006/relationships" ref="CD11" display="https://www.logixpathchef.com/app/food/getfoodnutrition?fdcid=171705" r:id="rId314"/>
    <hyperlink xmlns:r="http://schemas.openxmlformats.org/officeDocument/2006/relationships" ref="CE11" display="https://pmc.ncbi.nlm.nih.gov/articles/PMC6637774/" r:id="rId315"/>
    <hyperlink xmlns:r="http://schemas.openxmlformats.org/officeDocument/2006/relationships" ref="CF11" display="https://www.logixpathchef.com/app/food/getfoodnutrition?fdcid=171705" r:id="rId316"/>
    <hyperlink xmlns:r="http://schemas.openxmlformats.org/officeDocument/2006/relationships" ref="CG11" display="https://www.wholefoodsmarket.com/product/365-everyday-value-avocado-chunks-10-oz-b07nrh47wp" r:id="rId317"/>
    <hyperlink xmlns:r="http://schemas.openxmlformats.org/officeDocument/2006/relationships" ref="CH11" display="https://www.logixpathchef.com/app/food/getfoodnutrition?fdcid=171705" r:id="rId318"/>
    <hyperlink xmlns:r="http://schemas.openxmlformats.org/officeDocument/2006/relationships" ref="CI11" display="https://www.wholefoodsmarket.com/product/365-everyday-value-avocado-chunks-10-oz-b07nrh47wp" r:id="rId319"/>
    <hyperlink xmlns:r="http://schemas.openxmlformats.org/officeDocument/2006/relationships" ref="CJ11" display="https://www.frontiersin.org/journals/nutrition/articles/10.3389/fnut.2019.00108/full" r:id="rId320"/>
    <hyperlink xmlns:r="http://schemas.openxmlformats.org/officeDocument/2006/relationships" ref="CK11" display="https://www.wholefoodsmarket.com/product/365-everyday-value-avocado-chunks-10-oz-b07nrh47wp" r:id="rId321"/>
    <hyperlink xmlns:r="http://schemas.openxmlformats.org/officeDocument/2006/relationships" ref="CL11" display="Unknown" r:id="rId322"/>
    <hyperlink xmlns:r="http://schemas.openxmlformats.org/officeDocument/2006/relationships" ref="CM11" display="https://www.wholefoodsmarket.com/product/365-everyday-value-avocado-chunks-10-oz-b07nrh47wp" r:id="rId323"/>
    <hyperlink xmlns:r="http://schemas.openxmlformats.org/officeDocument/2006/relationships" ref="CN11" display="https://www.wholefoodsmarket.com/product/365-everyday-value-avocado-chunks-10-oz-b07nrh47wp" r:id="rId324"/>
    <hyperlink xmlns:r="http://schemas.openxmlformats.org/officeDocument/2006/relationships" ref="CO11" display="https://www.wholefoodsmarket.com/product/365-everyday-value-avocado-chunks-10-oz-b07nrh47wp" r:id="rId325"/>
    <hyperlink xmlns:r="http://schemas.openxmlformats.org/officeDocument/2006/relationships" ref="CP11" display="https://www.wholefoodsmarket.com/product/365-everyday-value-avocado-chunks-10-oz-b07nrh47wp" r:id="rId326"/>
    <hyperlink xmlns:r="http://schemas.openxmlformats.org/officeDocument/2006/relationships" ref="CQ11" display="https://fdc.nal.usda.gov/fdc-datasets/FoodData_Central_sr_legacy_food_csv_2018-04.zip" r:id="rId327"/>
    <hyperlink xmlns:r="http://schemas.openxmlformats.org/officeDocument/2006/relationships" ref="CR11" display="https://www.wholefoodsmarket.com/product/365-everyday-value-avocado-chunks-10-oz-b07nrh47wp" r:id="rId328"/>
    <hyperlink xmlns:r="http://schemas.openxmlformats.org/officeDocument/2006/relationships" ref="CS11" display="https://www.fda.gov/media/159745/download" r:id="rId329"/>
    <hyperlink xmlns:r="http://schemas.openxmlformats.org/officeDocument/2006/relationships" ref="CT11" display="https://www.fda.gov/media/159745/download" r:id="rId330"/>
    <hyperlink xmlns:r="http://schemas.openxmlformats.org/officeDocument/2006/relationships" ref="CU11" display="https://www.fda.gov/media/159745/download" r:id="rId331"/>
    <hyperlink xmlns:r="http://schemas.openxmlformats.org/officeDocument/2006/relationships" ref="CV11" display="https://www.fda.gov/media/159745/download" r:id="rId332"/>
    <hyperlink xmlns:r="http://schemas.openxmlformats.org/officeDocument/2006/relationships" ref="O12" display="https://www.logixpathchef.com/app/food/getfoodnutrition?fdcid=168421" r:id="rId333"/>
    <hyperlink xmlns:r="http://schemas.openxmlformats.org/officeDocument/2006/relationships" ref="P12" display="https://www.logixpathchef.com/app/food/getfoodnutrition?fdcid=168421" r:id="rId334"/>
    <hyperlink xmlns:r="http://schemas.openxmlformats.org/officeDocument/2006/relationships" ref="Q12" display="https://www.wholefoodsmarket.com/product/365-by-whole-foods-market-365-everyday-value-organic-blue-curled-kale-16-oz-frozen-b074h5y3wb" r:id="rId335"/>
    <hyperlink xmlns:r="http://schemas.openxmlformats.org/officeDocument/2006/relationships" ref="R12" display="https://www.wholefoodsmarket.com/product/365-by-whole-foods-market-365-everyday-value-organic-blue-curled-kale-16-oz-frozen-b074h5y3wb" r:id="rId336"/>
    <hyperlink xmlns:r="http://schemas.openxmlformats.org/officeDocument/2006/relationships" ref="S12" display="https://www.wholefoodsmarket.com/product/365-by-whole-foods-market-365-everyday-value-organic-blue-curled-kale-16-oz-frozen-b074h5y3wb" r:id="rId337"/>
    <hyperlink xmlns:r="http://schemas.openxmlformats.org/officeDocument/2006/relationships" ref="T12" display="https://www.wholefoodsmarket.com/product/365-by-whole-foods-market-365-everyday-value-organic-blue-curled-kale-16-oz-frozen-b074h5y3wb" r:id="rId338"/>
    <hyperlink xmlns:r="http://schemas.openxmlformats.org/officeDocument/2006/relationships" ref="U12" display="https://www.logixpathchef.com/app/food/getfoodnutrition?fdcid=168421" r:id="rId339"/>
    <hyperlink xmlns:r="http://schemas.openxmlformats.org/officeDocument/2006/relationships" ref="W12" display="https://www.logixpathchef.com/app/food/getfoodnutrition?fdcid=168421" r:id="rId340"/>
    <hyperlink xmlns:r="http://schemas.openxmlformats.org/officeDocument/2006/relationships" ref="X12" display="https://www.logixpathchef.com/app/food/getfoodnutrition?fdcid=168421" r:id="rId341"/>
    <hyperlink xmlns:r="http://schemas.openxmlformats.org/officeDocument/2006/relationships" ref="Y12" display="https://www.logixpathchef.com/app/food/getfoodnutrition?fdcid=168421" r:id="rId342"/>
    <hyperlink xmlns:r="http://schemas.openxmlformats.org/officeDocument/2006/relationships" ref="Z12" display="https://www.logixpathchef.com/app/food/getfoodnutrition?fdcid=168421" r:id="rId343"/>
    <hyperlink xmlns:r="http://schemas.openxmlformats.org/officeDocument/2006/relationships" ref="AA12" display="https://www.logixpathchef.com/app/food/getfoodnutrition?fdcid=168421" r:id="rId344"/>
    <hyperlink xmlns:r="http://schemas.openxmlformats.org/officeDocument/2006/relationships" ref="AB12" display="https://www.logixpathchef.com/app/food/getfoodnutrition?fdcid=168421" r:id="rId345"/>
    <hyperlink xmlns:r="http://schemas.openxmlformats.org/officeDocument/2006/relationships" ref="AC12" display="https://www.logixpathchef.com/app/food/getfoodnutrition?fdcid=168421" r:id="rId346"/>
    <hyperlink xmlns:r="http://schemas.openxmlformats.org/officeDocument/2006/relationships" ref="AD12" display="https://www.logixpathchef.com/app/food/getfoodnutrition?fdcid=168421" r:id="rId347"/>
    <hyperlink xmlns:r="http://schemas.openxmlformats.org/officeDocument/2006/relationships" ref="AE12" display="https://www.logixpathchef.com/app/food/getfoodnutrition?fdcid=168421" r:id="rId348"/>
    <hyperlink xmlns:r="http://schemas.openxmlformats.org/officeDocument/2006/relationships" ref="AF12" display="https://www.wholefoodsmarket.com/product/365-by-whole-foods-market-365-everyday-value-organic-blue-curled-kale-16-oz-frozen-b074h5y3wb" r:id="rId349"/>
    <hyperlink xmlns:r="http://schemas.openxmlformats.org/officeDocument/2006/relationships" ref="AH12" display="https://www.logixpathchef.com/app/food/getfoodnutrition?fdcid=168421" r:id="rId350"/>
    <hyperlink xmlns:r="http://schemas.openxmlformats.org/officeDocument/2006/relationships" ref="AJ12" display="https://www.logixpathchef.com/app/food/getfoodnutrition?fdcid=168421" r:id="rId351"/>
    <hyperlink xmlns:r="http://schemas.openxmlformats.org/officeDocument/2006/relationships" ref="AK12" display="https://www.logixpathchef.com/app/food/getfoodnutrition?fdcid=168421" r:id="rId352"/>
    <hyperlink xmlns:r="http://schemas.openxmlformats.org/officeDocument/2006/relationships" ref="AL12" display="https://www.logixpathchef.com/app/food/getfoodnutrition?fdcid=168421" r:id="rId353"/>
    <hyperlink xmlns:r="http://schemas.openxmlformats.org/officeDocument/2006/relationships" ref="AM12" display="https://www.logixpathchef.com/app/food/getfoodnutrition?fdcid=168421" r:id="rId354"/>
    <hyperlink xmlns:r="http://schemas.openxmlformats.org/officeDocument/2006/relationships" ref="AN12" display="https://www.logixpathchef.com/app/food/getfoodnutrition?fdcid=168421" r:id="rId355"/>
    <hyperlink xmlns:r="http://schemas.openxmlformats.org/officeDocument/2006/relationships" ref="AO12" display="https://www.logixpathchef.com/app/food/getfoodnutrition?fdcid=168421" r:id="rId356"/>
    <hyperlink xmlns:r="http://schemas.openxmlformats.org/officeDocument/2006/relationships" ref="AP12" display="Unknown" r:id="rId357"/>
    <hyperlink xmlns:r="http://schemas.openxmlformats.org/officeDocument/2006/relationships" ref="AQ12" display="https://www.logixpathchef.com/app/food/getfoodnutrition?fdcid=168421" r:id="rId358"/>
    <hyperlink xmlns:r="http://schemas.openxmlformats.org/officeDocument/2006/relationships" ref="AR12" display="https://www.logixpathchef.com/app/food/getfoodnutrition?fdcid=168421" r:id="rId359"/>
    <hyperlink xmlns:r="http://schemas.openxmlformats.org/officeDocument/2006/relationships" ref="AS12" display="https://www.logixpathchef.com/app/food/getfoodnutrition?fdcid=168421" r:id="rId360"/>
    <hyperlink xmlns:r="http://schemas.openxmlformats.org/officeDocument/2006/relationships" ref="AT12" display="https://www.logixpathchef.com/app/food/getfoodnutrition?fdcid=168421" r:id="rId361"/>
    <hyperlink xmlns:r="http://schemas.openxmlformats.org/officeDocument/2006/relationships" ref="AU12" display="https://www.logixpathchef.com/app/food/getfoodnutrition?fdcid=168421" r:id="rId362"/>
    <hyperlink xmlns:r="http://schemas.openxmlformats.org/officeDocument/2006/relationships" ref="AV12" display="Unknown" r:id="rId363"/>
    <hyperlink xmlns:r="http://schemas.openxmlformats.org/officeDocument/2006/relationships" ref="AW12" display="Unknown" r:id="rId364"/>
    <hyperlink xmlns:r="http://schemas.openxmlformats.org/officeDocument/2006/relationships" ref="AX12" display="Unknown" r:id="rId365"/>
    <hyperlink xmlns:r="http://schemas.openxmlformats.org/officeDocument/2006/relationships" ref="AY12" display="https://www.logixpathchef.com/app/food/getfoodnutrition?fdcid=168421" r:id="rId366"/>
    <hyperlink xmlns:r="http://schemas.openxmlformats.org/officeDocument/2006/relationships" ref="AZ12" display="https://www.logixpathchef.com/app/food/getfoodnutrition?fdcid=168421" r:id="rId367"/>
    <hyperlink xmlns:r="http://schemas.openxmlformats.org/officeDocument/2006/relationships" ref="BA12" display="https://www.logixpathchef.com/app/food/getfoodnutrition?fdcid=168421" r:id="rId368"/>
    <hyperlink xmlns:r="http://schemas.openxmlformats.org/officeDocument/2006/relationships" ref="BB12" display="https://www.logixpathchef.com/app/food/getfoodnutrition?fdcid=168421" r:id="rId369"/>
    <hyperlink xmlns:r="http://schemas.openxmlformats.org/officeDocument/2006/relationships" ref="BC12" display="https://www.logixpathchef.com/app/food/getfoodnutrition?fdcid=168421" r:id="rId370"/>
    <hyperlink xmlns:r="http://schemas.openxmlformats.org/officeDocument/2006/relationships" ref="BD12" display="https://www.logixpathchef.com/app/food/getfoodnutrition?fdcid=168421" r:id="rId371"/>
    <hyperlink xmlns:r="http://schemas.openxmlformats.org/officeDocument/2006/relationships" ref="BE12" display="https://www.logixpathchef.com/app/food/getfoodnutrition?fdcid=168421" r:id="rId372"/>
    <hyperlink xmlns:r="http://schemas.openxmlformats.org/officeDocument/2006/relationships" ref="BF12" display="https://www.logixpathchef.com/app/food/getfoodnutrition?fdcid=168421" r:id="rId373"/>
    <hyperlink xmlns:r="http://schemas.openxmlformats.org/officeDocument/2006/relationships" ref="BG12" display="https://www.logixpathchef.com/app/food/getfoodnutrition?fdcid=168421" r:id="rId374"/>
    <hyperlink xmlns:r="http://schemas.openxmlformats.org/officeDocument/2006/relationships" ref="BH12" display="https://www.logixpathchef.com/app/food/getfoodnutrition?fdcid=168421" r:id="rId375"/>
    <hyperlink xmlns:r="http://schemas.openxmlformats.org/officeDocument/2006/relationships" ref="BI12" display="https://www.logixpathchef.com/app/food/getfoodnutrition?fdcid=168421" r:id="rId376"/>
    <hyperlink xmlns:r="http://schemas.openxmlformats.org/officeDocument/2006/relationships" ref="BJ12" display="https://www.logixpathchef.com/app/food/getfoodnutrition?fdcid=168421" r:id="rId377"/>
    <hyperlink xmlns:r="http://schemas.openxmlformats.org/officeDocument/2006/relationships" ref="BK12" display="https://www.logixpathchef.com/app/food/getfoodnutrition?fdcid=168421" r:id="rId378"/>
    <hyperlink xmlns:r="http://schemas.openxmlformats.org/officeDocument/2006/relationships" ref="BL12" display="Unknown" r:id="rId379"/>
    <hyperlink xmlns:r="http://schemas.openxmlformats.org/officeDocument/2006/relationships" ref="BM12" display="https://www.logixpathchef.com/app/food/getfoodnutrition?fdcid=168421" r:id="rId380"/>
    <hyperlink xmlns:r="http://schemas.openxmlformats.org/officeDocument/2006/relationships" ref="BN12" display="https://www.logixpathchef.com/app/food/getfoodnutrition?fdcid=168421" r:id="rId381"/>
    <hyperlink xmlns:r="http://schemas.openxmlformats.org/officeDocument/2006/relationships" ref="BO12" display="https://www.logixpathchef.com/app/food/getfoodnutrition?fdcid=168421" r:id="rId382"/>
    <hyperlink xmlns:r="http://schemas.openxmlformats.org/officeDocument/2006/relationships" ref="BP12" display="https://www.ars.usda.gov/ARSUserFiles/80400535/Data/Flav/Flav3.3.pdf" r:id="rId383"/>
    <hyperlink xmlns:r="http://schemas.openxmlformats.org/officeDocument/2006/relationships" ref="BQ12" display="https://www.wholefoodsmarket.com/product/365-by-whole-foods-market-365-everyday-value-organic-blue-curled-kale-16-oz-frozen-b074h5y3wb" r:id="rId384"/>
    <hyperlink xmlns:r="http://schemas.openxmlformats.org/officeDocument/2006/relationships" ref="BR12" display="https://www.wholefoodsmarket.com/product/365-by-whole-foods-market-365-everyday-value-organic-blue-curled-kale-16-oz-frozen-b074h5y3wb" r:id="rId385"/>
    <hyperlink xmlns:r="http://schemas.openxmlformats.org/officeDocument/2006/relationships" ref="BS12" display="https://www.wholefoodsmarket.com/product/365-by-whole-foods-market-365-everyday-value-organic-blue-curled-kale-16-oz-frozen-b074h5y3wb" r:id="rId386"/>
    <hyperlink xmlns:r="http://schemas.openxmlformats.org/officeDocument/2006/relationships" ref="BT12" display="https://www.ars.usda.gov/ARSUserFiles/80400535/Data/PA/PA02-1.pdf" r:id="rId387"/>
    <hyperlink xmlns:r="http://schemas.openxmlformats.org/officeDocument/2006/relationships" ref="BU12" display="https://www.wholefoodsmarket.com/product/365-by-whole-foods-market-365-everyday-value-organic-blue-curled-kale-16-oz-frozen-b074h5y3wb" r:id="rId388"/>
    <hyperlink xmlns:r="http://schemas.openxmlformats.org/officeDocument/2006/relationships" ref="BV12" display="https://www.ars.usda.gov/ARSUserFiles/80400535/Data/Flav/Flav3.3.pdf" r:id="rId389"/>
    <hyperlink xmlns:r="http://schemas.openxmlformats.org/officeDocument/2006/relationships" ref="BW12" display="https://www.cambridge.org/core/services/aop-cambridge-core/content/view/9AAD5BFE984EF28D7DC741C0ECE73724/S0007114505000504a.pdf/lignan_contents_of_dutch_plant_foods_a_database_including_lariciresinol_pinoresinol_secoisolariciresinol_and_matairesinol.pdf" r:id="rId390"/>
    <hyperlink xmlns:r="http://schemas.openxmlformats.org/officeDocument/2006/relationships" ref="BX12" display="https://www.logixpathchef.com/app/food/getfoodnutrition?fdcid=168421" r:id="rId391"/>
    <hyperlink xmlns:r="http://schemas.openxmlformats.org/officeDocument/2006/relationships" ref="BY12" display="https://www.logixpathchef.com/app/food/getfoodnutrition?fdcid=168421" r:id="rId392"/>
    <hyperlink xmlns:r="http://schemas.openxmlformats.org/officeDocument/2006/relationships" ref="BZ12" display="https://www.wholefoodsmarket.com/product/365-by-whole-foods-market-365-everyday-value-organic-blue-curled-kale-16-oz-frozen-b074h5y3wb" r:id="rId393"/>
    <hyperlink xmlns:r="http://schemas.openxmlformats.org/officeDocument/2006/relationships" ref="CA12" display="https://www.wholefoodsmarket.com/product/365-by-whole-foods-market-365-everyday-value-organic-blue-curled-kale-16-oz-frozen-b074h5y3wb" r:id="rId394"/>
    <hyperlink xmlns:r="http://schemas.openxmlformats.org/officeDocument/2006/relationships" ref="CB12" display="https://pubmed.ncbi.nlm.nih.gov/22857862/" r:id="rId395"/>
    <hyperlink xmlns:r="http://schemas.openxmlformats.org/officeDocument/2006/relationships" ref="CC12" display="Unknown" r:id="rId396"/>
    <hyperlink xmlns:r="http://schemas.openxmlformats.org/officeDocument/2006/relationships" ref="CD12" display="https://pmc.ncbi.nlm.nih.gov/articles/PMC5412236/" r:id="rId397"/>
    <hyperlink xmlns:r="http://schemas.openxmlformats.org/officeDocument/2006/relationships" ref="CE12" display="https://pmc.ncbi.nlm.nih.gov/articles/PMC6637774/" r:id="rId398"/>
    <hyperlink xmlns:r="http://schemas.openxmlformats.org/officeDocument/2006/relationships" ref="CF12" display="https://pubmed.ncbi.nlm.nih.gov/26059143/" r:id="rId399"/>
    <hyperlink xmlns:r="http://schemas.openxmlformats.org/officeDocument/2006/relationships" ref="CG12" display="https://www.wholefoodsmarket.com/product/365-by-whole-foods-market-365-everyday-value-organic-blue-curled-kale-16-oz-frozen-b074h5y3wb" r:id="rId400"/>
    <hyperlink xmlns:r="http://schemas.openxmlformats.org/officeDocument/2006/relationships" ref="CH12" display="https://www.logixpathchef.com/app/food/getfoodnutrition?fdcid=168421" r:id="rId401"/>
    <hyperlink xmlns:r="http://schemas.openxmlformats.org/officeDocument/2006/relationships" ref="CI12" display="https://www.wholefoodsmarket.com/product/365-by-whole-foods-market-365-everyday-value-organic-blue-curled-kale-16-oz-frozen-b074h5y3wb" r:id="rId402"/>
    <hyperlink xmlns:r="http://schemas.openxmlformats.org/officeDocument/2006/relationships" ref="CJ12" display="https://superfoodly.com/coq10-foods-the-50-highest-natural-dietary-sources/" r:id="rId403"/>
    <hyperlink xmlns:r="http://schemas.openxmlformats.org/officeDocument/2006/relationships" ref="CK12" display="https://www.wholefoodsmarket.com/product/365-by-whole-foods-market-365-everyday-value-organic-blue-curled-kale-16-oz-frozen-b074h5y3wb" r:id="rId404"/>
    <hyperlink xmlns:r="http://schemas.openxmlformats.org/officeDocument/2006/relationships" ref="CL12" display="Unknown" r:id="rId405"/>
    <hyperlink xmlns:r="http://schemas.openxmlformats.org/officeDocument/2006/relationships" ref="CM12" display="https://www.wholefoodsmarket.com/product/365-by-whole-foods-market-365-everyday-value-organic-blue-curled-kale-16-oz-frozen-b074h5y3wb" r:id="rId406"/>
    <hyperlink xmlns:r="http://schemas.openxmlformats.org/officeDocument/2006/relationships" ref="CN12" display="https://www.wholefoodsmarket.com/product/365-by-whole-foods-market-365-everyday-value-organic-blue-curled-kale-16-oz-frozen-b074h5y3wb" r:id="rId407"/>
    <hyperlink xmlns:r="http://schemas.openxmlformats.org/officeDocument/2006/relationships" ref="CO12" display="https://www.wholefoodsmarket.com/product/365-by-whole-foods-market-365-everyday-value-organic-blue-curled-kale-16-oz-frozen-b074h5y3wb" r:id="rId408"/>
    <hyperlink xmlns:r="http://schemas.openxmlformats.org/officeDocument/2006/relationships" ref="CP12" display="https://www.wholefoodsmarket.com/product/365-by-whole-foods-market-365-everyday-value-organic-blue-curled-kale-16-oz-frozen-b074h5y3wb" r:id="rId409"/>
    <hyperlink xmlns:r="http://schemas.openxmlformats.org/officeDocument/2006/relationships" ref="CQ12" display="https://fdc.nal.usda.gov/fdc-datasets/FoodData_Central_sr_legacy_food_csv_2018-04.zip" r:id="rId410"/>
    <hyperlink xmlns:r="http://schemas.openxmlformats.org/officeDocument/2006/relationships" ref="CR12" display="https://www.wholefoodsmarket.com/product/365-by-whole-foods-market-365-everyday-value-organic-blue-curled-kale-16-oz-frozen-b074h5y3wb" r:id="rId411"/>
    <hyperlink xmlns:r="http://schemas.openxmlformats.org/officeDocument/2006/relationships" ref="CS12" display="https://www.fda.gov/media/159745/download" r:id="rId412"/>
    <hyperlink xmlns:r="http://schemas.openxmlformats.org/officeDocument/2006/relationships" ref="CT12" display="https://www.fda.gov/media/159745/download" r:id="rId413"/>
    <hyperlink xmlns:r="http://schemas.openxmlformats.org/officeDocument/2006/relationships" ref="CU12" display="https://www.fda.gov/media/159745/download" r:id="rId414"/>
    <hyperlink xmlns:r="http://schemas.openxmlformats.org/officeDocument/2006/relationships" ref="CV12" display="https://www.fda.gov/media/159745/download" r:id="rId415"/>
    <hyperlink xmlns:r="http://schemas.openxmlformats.org/officeDocument/2006/relationships" ref="O13" display="https://www.eatthismuch.com/calories/broccoli-sprout-powder-2114684" r:id="rId416"/>
    <hyperlink xmlns:r="http://schemas.openxmlformats.org/officeDocument/2006/relationships" ref="P13" display="https://www.eatthismuch.com/calories/broccoli-sprout-powder-2114684" r:id="rId417"/>
    <hyperlink xmlns:r="http://schemas.openxmlformats.org/officeDocument/2006/relationships" ref="Q13" display="https://www.microingredients.com/" r:id="rId418"/>
    <hyperlink xmlns:r="http://schemas.openxmlformats.org/officeDocument/2006/relationships" ref="R13" display="https://www.microingredients.com/" r:id="rId419"/>
    <hyperlink xmlns:r="http://schemas.openxmlformats.org/officeDocument/2006/relationships" ref="S13" display="https://www.microingredients.com/" r:id="rId420"/>
    <hyperlink xmlns:r="http://schemas.openxmlformats.org/officeDocument/2006/relationships" ref="T13" display="https://www.microingredients.com/" r:id="rId421"/>
    <hyperlink xmlns:r="http://schemas.openxmlformats.org/officeDocument/2006/relationships" ref="U13" display="https://www.eatthismuch.com/calories/broccoli-sprout-powder-2114684" r:id="rId422"/>
    <hyperlink xmlns:r="http://schemas.openxmlformats.org/officeDocument/2006/relationships" ref="W13" display="https://www.eatthismuch.com/calories/broccoli-sprout-powder-2114684" r:id="rId423"/>
    <hyperlink xmlns:r="http://schemas.openxmlformats.org/officeDocument/2006/relationships" ref="X13" display="https://www.logixpathchef.com/app/food/getfoodnutrition?fdcid=170379" r:id="rId424"/>
    <hyperlink xmlns:r="http://schemas.openxmlformats.org/officeDocument/2006/relationships" ref="Y13" display="https://www.logixpathchef.com/app/food/getfoodnutrition?fdcid=170379" r:id="rId425"/>
    <hyperlink xmlns:r="http://schemas.openxmlformats.org/officeDocument/2006/relationships" ref="Z13" display="https://www.logixpathchef.com/app/food/getfoodnutrition?fdcid=170379" r:id="rId426"/>
    <hyperlink xmlns:r="http://schemas.openxmlformats.org/officeDocument/2006/relationships" ref="AA13" display="https://www.logixpathchef.com/app/food/getfoodnutrition?fdcid=170379" r:id="rId427"/>
    <hyperlink xmlns:r="http://schemas.openxmlformats.org/officeDocument/2006/relationships" ref="AB13" display="https://www.logixpathchef.com/app/food/getfoodnutrition?fdcid=170379" r:id="rId428"/>
    <hyperlink xmlns:r="http://schemas.openxmlformats.org/officeDocument/2006/relationships" ref="AC13" display="https://www.microingredients.com/" r:id="rId429"/>
    <hyperlink xmlns:r="http://schemas.openxmlformats.org/officeDocument/2006/relationships" ref="AD13" display="https://www.eatthismuch.com/calories/broccoli-sprout-powder-2114684" r:id="rId430"/>
    <hyperlink xmlns:r="http://schemas.openxmlformats.org/officeDocument/2006/relationships" ref="AE13" display="https://www.eatthismuch.com/calories/broccoli-sprout-powder-2114684" r:id="rId431"/>
    <hyperlink xmlns:r="http://schemas.openxmlformats.org/officeDocument/2006/relationships" ref="AF13" display="https://www.microingredients.com/" r:id="rId432"/>
    <hyperlink xmlns:r="http://schemas.openxmlformats.org/officeDocument/2006/relationships" ref="AH13" display="https://www.eatthismuch.com/calories/broccoli-sprout-powder-2114684" r:id="rId433"/>
    <hyperlink xmlns:r="http://schemas.openxmlformats.org/officeDocument/2006/relationships" ref="AJ13" display="https://www.ars.usda.gov/ARSUserFiles/80400525/data/choline/choln02.pdf" r:id="rId434"/>
    <hyperlink xmlns:r="http://schemas.openxmlformats.org/officeDocument/2006/relationships" ref="AK13" display="https://www.eatthismuch.com/calories/broccoli-sprout-powder-2114684" r:id="rId435"/>
    <hyperlink xmlns:r="http://schemas.openxmlformats.org/officeDocument/2006/relationships" ref="AL13" display="https://www.logixpathchef.com/app/food/getfoodnutrition?fdcid=170379" r:id="rId436"/>
    <hyperlink xmlns:r="http://schemas.openxmlformats.org/officeDocument/2006/relationships" ref="AM13" display="https://www.logixpathchef.com/app/food/getfoodnutrition?fdcid=170379" r:id="rId437"/>
    <hyperlink xmlns:r="http://schemas.openxmlformats.org/officeDocument/2006/relationships" ref="AN13" display="https://www.logixpathchef.com/app/food/getfoodnutrition?fdcid=170379" r:id="rId438"/>
    <hyperlink xmlns:r="http://schemas.openxmlformats.org/officeDocument/2006/relationships" ref="AO13" display="https://www.eatthismuch.com/calories/broccoli-sprout-powder-2114684" r:id="rId439"/>
    <hyperlink xmlns:r="http://schemas.openxmlformats.org/officeDocument/2006/relationships" ref="AP13" display="Unknown" r:id="rId440"/>
    <hyperlink xmlns:r="http://schemas.openxmlformats.org/officeDocument/2006/relationships" ref="AQ13" display="https://www.logixpathchef.com/app/food/getfoodnutrition?fdcid=170379" r:id="rId441"/>
    <hyperlink xmlns:r="http://schemas.openxmlformats.org/officeDocument/2006/relationships" ref="AR13" display="https://www.logixpathchef.com/app/food/getfoodnutrition?fdcid=170379" r:id="rId442"/>
    <hyperlink xmlns:r="http://schemas.openxmlformats.org/officeDocument/2006/relationships" ref="AS13" display="https://www.logixpathchef.com/app/food/getfoodnutrition?fdcid=170379" r:id="rId443"/>
    <hyperlink xmlns:r="http://schemas.openxmlformats.org/officeDocument/2006/relationships" ref="AT13" display="https://www.logixpathchef.com/app/food/getfoodnutrition?fdcid=170379" r:id="rId444"/>
    <hyperlink xmlns:r="http://schemas.openxmlformats.org/officeDocument/2006/relationships" ref="AU13" display="https://www.logixpathchef.com/app/food/getfoodnutrition?fdcid=170379" r:id="rId445"/>
    <hyperlink xmlns:r="http://schemas.openxmlformats.org/officeDocument/2006/relationships" ref="AV13" display="Unknown" r:id="rId446"/>
    <hyperlink xmlns:r="http://schemas.openxmlformats.org/officeDocument/2006/relationships" ref="AW13" display="https://www.ars.usda.gov/ARSUserFiles/80400535/DATA/IODINE/IODINE_DATABASE_PDFVersion_2020.PDF" r:id="rId447"/>
    <hyperlink xmlns:r="http://schemas.openxmlformats.org/officeDocument/2006/relationships" ref="AX13" display="Unknown" r:id="rId448"/>
    <hyperlink xmlns:r="http://schemas.openxmlformats.org/officeDocument/2006/relationships" ref="AY13" display="https://www.logixpathchef.com/app/food/getfoodnutrition?fdcid=170379" r:id="rId449"/>
    <hyperlink xmlns:r="http://schemas.openxmlformats.org/officeDocument/2006/relationships" ref="AZ13" display="https://www.eatthismuch.com/calories/broccoli-sprout-powder-2114684" r:id="rId450"/>
    <hyperlink xmlns:r="http://schemas.openxmlformats.org/officeDocument/2006/relationships" ref="BA13" display="https://www.eatthismuch.com/calories/broccoli-sprout-powder-2114684" r:id="rId451"/>
    <hyperlink xmlns:r="http://schemas.openxmlformats.org/officeDocument/2006/relationships" ref="BB13" display="https://www.logixpathchef.com/app/food/getfoodnutrition?fdcid=170379" r:id="rId452"/>
    <hyperlink xmlns:r="http://schemas.openxmlformats.org/officeDocument/2006/relationships" ref="BC13" display="https://www.logixpathchef.com/app/food/getfoodnutrition?fdcid=170379" r:id="rId453"/>
    <hyperlink xmlns:r="http://schemas.openxmlformats.org/officeDocument/2006/relationships" ref="BD13" display="https://www.eatthismuch.com/calories/broccoli-sprout-powder-2114684" r:id="rId454"/>
    <hyperlink xmlns:r="http://schemas.openxmlformats.org/officeDocument/2006/relationships" ref="BE13" display="https://www.eatthismuch.com/calories/broccoli-sprout-powder-2114684" r:id="rId455"/>
    <hyperlink xmlns:r="http://schemas.openxmlformats.org/officeDocument/2006/relationships" ref="BF13" display="https://www.logixpathchef.com/app/food/getfoodnutrition?fdcid=170379" r:id="rId456"/>
    <hyperlink xmlns:r="http://schemas.openxmlformats.org/officeDocument/2006/relationships" ref="BG13" display="https://www.logixpathchef.com/app/food/getfoodnutrition?fdcid=170379" r:id="rId457"/>
    <hyperlink xmlns:r="http://schemas.openxmlformats.org/officeDocument/2006/relationships" ref="BH13" display="https://www.logixpathchef.com/app/food/getfoodnutrition?fdcid=170379" r:id="rId458"/>
    <hyperlink xmlns:r="http://schemas.openxmlformats.org/officeDocument/2006/relationships" ref="BI13" display="https://www.logixpathchef.com/app/food/getfoodnutrition?fdcid=170379" r:id="rId459"/>
    <hyperlink xmlns:r="http://schemas.openxmlformats.org/officeDocument/2006/relationships" ref="BJ13" display="https://www.logixpathchef.com/app/food/getfoodnutrition?fdcid=170379" r:id="rId460"/>
    <hyperlink xmlns:r="http://schemas.openxmlformats.org/officeDocument/2006/relationships" ref="BK13" display="https://www.eatthismuch.com/calories/broccoli-sprout-powder-2114684" r:id="rId461"/>
    <hyperlink xmlns:r="http://schemas.openxmlformats.org/officeDocument/2006/relationships" ref="BL13" display="Unknown" r:id="rId462"/>
    <hyperlink xmlns:r="http://schemas.openxmlformats.org/officeDocument/2006/relationships" ref="BM13" display="https://www.logixpathchef.com/app/food/getfoodnutrition?fdcid=170379" r:id="rId463"/>
    <hyperlink xmlns:r="http://schemas.openxmlformats.org/officeDocument/2006/relationships" ref="BN13" display="https://www.eatthismuch.com/calories/broccoli-sprout-powder-2114684" r:id="rId464"/>
    <hyperlink xmlns:r="http://schemas.openxmlformats.org/officeDocument/2006/relationships" ref="BO13" display="https://www.eatthismuch.com/calories/broccoli-sprout-powder-2114684" r:id="rId465"/>
    <hyperlink xmlns:r="http://schemas.openxmlformats.org/officeDocument/2006/relationships" ref="BP13" display="https://www.ars.usda.gov/ARSUserFiles/80400535/Data/Flav/Flav3.3.pdf" r:id="rId466"/>
    <hyperlink xmlns:r="http://schemas.openxmlformats.org/officeDocument/2006/relationships" ref="BQ13" display="https://www.ars.usda.gov/ARSUserFiles/80400535/Data/Flav/Flav3.3.pdf" r:id="rId467"/>
    <hyperlink xmlns:r="http://schemas.openxmlformats.org/officeDocument/2006/relationships" ref="BR13" display="https://www.eatthismuch.com/calories/broccoli-sprout-powder-2114684" r:id="rId468"/>
    <hyperlink xmlns:r="http://schemas.openxmlformats.org/officeDocument/2006/relationships" ref="BS13" display="https://www.eatthismuch.com/calories/broccoli-sprout-powder-2114684" r:id="rId469"/>
    <hyperlink xmlns:r="http://schemas.openxmlformats.org/officeDocument/2006/relationships" ref="BT13" display="https://www.ars.usda.gov/ARSUserFiles/80400535/Data/PA/PA02-1.pdf" r:id="rId470"/>
    <hyperlink xmlns:r="http://schemas.openxmlformats.org/officeDocument/2006/relationships" ref="BU13" display="https://www.eatthismuch.com/calories/broccoli-sprout-powder-2114684" r:id="rId471"/>
    <hyperlink xmlns:r="http://schemas.openxmlformats.org/officeDocument/2006/relationships" ref="BV13" display="https://www.ars.usda.gov/ARSUserFiles/80400535/Data/Flav/Flav3.3.pdf" r:id="rId472"/>
    <hyperlink xmlns:r="http://schemas.openxmlformats.org/officeDocument/2006/relationships" ref="BW13" display="https://www.cambridge.org/core/services/aop-cambridge-core/content/view/9AAD5BFE984EF28D7DC741C0ECE73724/S0007114505000504a.pdf/lignan_contents_of_dutch_plant_foods_a_database_including_lariciresinol_pinoresinol_secoisolariciresinol_and_matairesinol.pdf" r:id="rId473"/>
    <hyperlink xmlns:r="http://schemas.openxmlformats.org/officeDocument/2006/relationships" ref="BX13" display="Unknown" r:id="rId474"/>
    <hyperlink xmlns:r="http://schemas.openxmlformats.org/officeDocument/2006/relationships" ref="BY13" display="Unknown" r:id="rId475"/>
    <hyperlink xmlns:r="http://schemas.openxmlformats.org/officeDocument/2006/relationships" ref="BZ13" display="https://www.eatthismuch.com/calories/broccoli-sprout-powder-2114684" r:id="rId476"/>
    <hyperlink xmlns:r="http://schemas.openxmlformats.org/officeDocument/2006/relationships" ref="CA13" display="https://www.eatthismuch.com/calories/broccoli-sprout-powder-2114684" r:id="rId477"/>
    <hyperlink xmlns:r="http://schemas.openxmlformats.org/officeDocument/2006/relationships" ref="CB13" display="https://www.koyah.com/blogs/thoughts-behind-koyah/broccoli-sprout-powder-what-the-research-says-about-sulforaphane" r:id="rId478"/>
    <hyperlink xmlns:r="http://schemas.openxmlformats.org/officeDocument/2006/relationships" ref="CC13" display="Unknown" r:id="rId479"/>
    <hyperlink xmlns:r="http://schemas.openxmlformats.org/officeDocument/2006/relationships" ref="CD13" display="Unknown" r:id="rId480"/>
    <hyperlink xmlns:r="http://schemas.openxmlformats.org/officeDocument/2006/relationships" ref="CE13" display="https://pmc.ncbi.nlm.nih.gov/articles/PMC6637774/" r:id="rId481"/>
    <hyperlink xmlns:r="http://schemas.openxmlformats.org/officeDocument/2006/relationships" ref="CF13" display="https://www.ars.usda.gov/ARSUserFiles/80400535/Data/Flav/Flav3.3.pdf" r:id="rId482"/>
    <hyperlink xmlns:r="http://schemas.openxmlformats.org/officeDocument/2006/relationships" ref="CG13" display="https://www.eatthismuch.com/calories/broccoli-sprout-powder-2114684" r:id="rId483"/>
    <hyperlink xmlns:r="http://schemas.openxmlformats.org/officeDocument/2006/relationships" ref="CH13" display="https://www.eatthismuch.com/calories/broccoli-sprout-powder-2114684" r:id="rId484"/>
    <hyperlink xmlns:r="http://schemas.openxmlformats.org/officeDocument/2006/relationships" ref="CI13" display="https://www.eatthismuch.com/calories/broccoli-sprout-powder-2114684" r:id="rId485"/>
    <hyperlink xmlns:r="http://schemas.openxmlformats.org/officeDocument/2006/relationships" ref="CJ13" display="https://superfoodly.com/coq10-foods-the-50-highest-natural-dietary-sources/" r:id="rId486"/>
    <hyperlink xmlns:r="http://schemas.openxmlformats.org/officeDocument/2006/relationships" ref="CK13" display="https://www.eatthismuch.com/calories/broccoli-sprout-powder-2114684" r:id="rId487"/>
    <hyperlink xmlns:r="http://schemas.openxmlformats.org/officeDocument/2006/relationships" ref="CL13" display="Unknown" r:id="rId488"/>
    <hyperlink xmlns:r="http://schemas.openxmlformats.org/officeDocument/2006/relationships" ref="CM13" display="https://www.eatthismuch.com/calories/broccoli-sprout-powder-2114684" r:id="rId489"/>
    <hyperlink xmlns:r="http://schemas.openxmlformats.org/officeDocument/2006/relationships" ref="CN13" display="https://www.eatthismuch.com/calories/broccoli-sprout-powder-2114684" r:id="rId490"/>
    <hyperlink xmlns:r="http://schemas.openxmlformats.org/officeDocument/2006/relationships" ref="CO13" display="https://www.eatthismuch.com/calories/broccoli-sprout-powder-2114684" r:id="rId491"/>
    <hyperlink xmlns:r="http://schemas.openxmlformats.org/officeDocument/2006/relationships" ref="CP13" display="https://www.eatthismuch.com/calories/broccoli-sprout-powder-2114684" r:id="rId492"/>
    <hyperlink xmlns:r="http://schemas.openxmlformats.org/officeDocument/2006/relationships" ref="CQ13" display="https://fdc.nal.usda.gov/fdc-datasets/FoodData_Central_sr_legacy_food_csv_2018-04.zip" r:id="rId493"/>
    <hyperlink xmlns:r="http://schemas.openxmlformats.org/officeDocument/2006/relationships" ref="CR13" display="https://www.eatthismuch.com/calories/broccoli-sprout-powder-2114684" r:id="rId494"/>
    <hyperlink xmlns:r="http://schemas.openxmlformats.org/officeDocument/2006/relationships" ref="CS13" display="Unknown" r:id="rId495"/>
    <hyperlink xmlns:r="http://schemas.openxmlformats.org/officeDocument/2006/relationships" ref="CT13" display="Unknown" r:id="rId496"/>
    <hyperlink xmlns:r="http://schemas.openxmlformats.org/officeDocument/2006/relationships" ref="CU13" display="https://www.fda.gov/media/159745/download" r:id="rId497"/>
    <hyperlink xmlns:r="http://schemas.openxmlformats.org/officeDocument/2006/relationships" ref="CV13" display="https://www.fda.gov/media/159745/download" r:id="rId498"/>
    <hyperlink xmlns:r="http://schemas.openxmlformats.org/officeDocument/2006/relationships" ref="O14" display="https://www.logixpathchef.com/app/food/getfoodnutrition?fdcid=167765" r:id="rId499"/>
    <hyperlink xmlns:r="http://schemas.openxmlformats.org/officeDocument/2006/relationships" ref="P14" display="https://www.logixpathchef.com/app/food/getfoodnutrition?fdcid=167765" r:id="rId500"/>
    <hyperlink xmlns:r="http://schemas.openxmlformats.org/officeDocument/2006/relationships" ref="Q14" display="https://www.wholefoodsmarket.com/product/produce-organic-seedless-watermelon-b07hm1jc3h" r:id="rId501"/>
    <hyperlink xmlns:r="http://schemas.openxmlformats.org/officeDocument/2006/relationships" ref="R14" display="https://www.wholefoodsmarket.com/product/produce-organic-seedless-watermelon-b07hm1jc3h" r:id="rId502"/>
    <hyperlink xmlns:r="http://schemas.openxmlformats.org/officeDocument/2006/relationships" ref="S14" display="https://www.wholefoodsmarket.com/product/produce-organic-seedless-watermelon-b07hm1jc3h" r:id="rId503"/>
    <hyperlink xmlns:r="http://schemas.openxmlformats.org/officeDocument/2006/relationships" ref="T14" display="https://www.wholefoodsmarket.com/product/produce-organic-seedless-watermelon-b07hm1jc3h" r:id="rId504"/>
    <hyperlink xmlns:r="http://schemas.openxmlformats.org/officeDocument/2006/relationships" ref="U14" display="https://www.logixpathchef.com/app/food/getfoodnutrition?fdcid=167765" r:id="rId505"/>
    <hyperlink xmlns:r="http://schemas.openxmlformats.org/officeDocument/2006/relationships" ref="W14" display="https://www.logixpathchef.com/app/food/getfoodnutrition?fdcid=167765" r:id="rId506"/>
    <hyperlink xmlns:r="http://schemas.openxmlformats.org/officeDocument/2006/relationships" ref="X14" display="https://www.logixpathchef.com/app/food/getfoodnutrition?fdcid=167765" r:id="rId507"/>
    <hyperlink xmlns:r="http://schemas.openxmlformats.org/officeDocument/2006/relationships" ref="Y14" display="https://www.logixpathchef.com/app/food/getfoodnutrition?fdcid=167765" r:id="rId508"/>
    <hyperlink xmlns:r="http://schemas.openxmlformats.org/officeDocument/2006/relationships" ref="Z14" display="https://www.logixpathchef.com/app/food/getfoodnutrition?fdcid=167765" r:id="rId509"/>
    <hyperlink xmlns:r="http://schemas.openxmlformats.org/officeDocument/2006/relationships" ref="AA14" display="Unknown" r:id="rId510"/>
    <hyperlink xmlns:r="http://schemas.openxmlformats.org/officeDocument/2006/relationships" ref="AB14" display="Unknown" r:id="rId511"/>
    <hyperlink xmlns:r="http://schemas.openxmlformats.org/officeDocument/2006/relationships" ref="AC14" display="https://www.logixpathchef.com/app/food/getfoodnutrition?fdcid=167765" r:id="rId512"/>
    <hyperlink xmlns:r="http://schemas.openxmlformats.org/officeDocument/2006/relationships" ref="AD14" display="https://www.logixpathchef.com/app/food/getfoodnutrition?fdcid=167765" r:id="rId513"/>
    <hyperlink xmlns:r="http://schemas.openxmlformats.org/officeDocument/2006/relationships" ref="AE14" display="https://www.logixpathchef.com/app/food/getfoodnutrition?fdcid=167765" r:id="rId514"/>
    <hyperlink xmlns:r="http://schemas.openxmlformats.org/officeDocument/2006/relationships" ref="AF14" display="https://www.wholefoodsmarket.com/product/produce-organic-seedless-watermelon-b07hm1jc3h" r:id="rId515"/>
    <hyperlink xmlns:r="http://schemas.openxmlformats.org/officeDocument/2006/relationships" ref="AH14" display="https://www.logixpathchef.com/app/food/getfoodnutrition?fdcid=167765" r:id="rId516"/>
    <hyperlink xmlns:r="http://schemas.openxmlformats.org/officeDocument/2006/relationships" ref="AJ14" display="https://www.logixpathchef.com/app/food/getfoodnutrition?fdcid=167765" r:id="rId517"/>
    <hyperlink xmlns:r="http://schemas.openxmlformats.org/officeDocument/2006/relationships" ref="AK14" display="https://www.logixpathchef.com/app/food/getfoodnutrition?fdcid=167765" r:id="rId518"/>
    <hyperlink xmlns:r="http://schemas.openxmlformats.org/officeDocument/2006/relationships" ref="AL14" display="https://www.logixpathchef.com/app/food/getfoodnutrition?fdcid=167765" r:id="rId519"/>
    <hyperlink xmlns:r="http://schemas.openxmlformats.org/officeDocument/2006/relationships" ref="AM14" display="https://www.logixpathchef.com/app/food/getfoodnutrition?fdcid=167765" r:id="rId520"/>
    <hyperlink xmlns:r="http://schemas.openxmlformats.org/officeDocument/2006/relationships" ref="AN14" display="https://www.logixpathchef.com/app/food/getfoodnutrition?fdcid=167765" r:id="rId521"/>
    <hyperlink xmlns:r="http://schemas.openxmlformats.org/officeDocument/2006/relationships" ref="AO14" display="https://www.logixpathchef.com/app/food/getfoodnutrition?fdcid=167765" r:id="rId522"/>
    <hyperlink xmlns:r="http://schemas.openxmlformats.org/officeDocument/2006/relationships" ref="AP14" display="Unknown" r:id="rId523"/>
    <hyperlink xmlns:r="http://schemas.openxmlformats.org/officeDocument/2006/relationships" ref="AQ14" display="https://www.logixpathchef.com/app/food/getfoodnutrition?fdcid=167765" r:id="rId524"/>
    <hyperlink xmlns:r="http://schemas.openxmlformats.org/officeDocument/2006/relationships" ref="AR14" display="https://www.logixpathchef.com/app/food/getfoodnutrition?fdcid=167765" r:id="rId525"/>
    <hyperlink xmlns:r="http://schemas.openxmlformats.org/officeDocument/2006/relationships" ref="AS14" display="https://www.logixpathchef.com/app/food/getfoodnutrition?fdcid=167765" r:id="rId526"/>
    <hyperlink xmlns:r="http://schemas.openxmlformats.org/officeDocument/2006/relationships" ref="AT14" display="https://www.logixpathchef.com/app/food/getfoodnutrition?fdcid=167765" r:id="rId527"/>
    <hyperlink xmlns:r="http://schemas.openxmlformats.org/officeDocument/2006/relationships" ref="AU14" display="https://www.logixpathchef.com/app/food/getfoodnutrition?fdcid=167765" r:id="rId528"/>
    <hyperlink xmlns:r="http://schemas.openxmlformats.org/officeDocument/2006/relationships" ref="AV14" display="Unknown" r:id="rId529"/>
    <hyperlink xmlns:r="http://schemas.openxmlformats.org/officeDocument/2006/relationships" ref="AW14" display="https://www.ars.usda.gov/ARSUserFiles/80400535/DATA/IODINE/IODINE_DATABASE_PDFVersion_2020.PDF" r:id="rId530"/>
    <hyperlink xmlns:r="http://schemas.openxmlformats.org/officeDocument/2006/relationships" ref="AX14" display="Unknown" r:id="rId531"/>
    <hyperlink xmlns:r="http://schemas.openxmlformats.org/officeDocument/2006/relationships" ref="AY14" display="https://www.logixpathchef.com/app/food/getfoodnutrition?fdcid=167765" r:id="rId532"/>
    <hyperlink xmlns:r="http://schemas.openxmlformats.org/officeDocument/2006/relationships" ref="AZ14" display="https://www.logixpathchef.com/app/food/getfoodnutrition?fdcid=167765" r:id="rId533"/>
    <hyperlink xmlns:r="http://schemas.openxmlformats.org/officeDocument/2006/relationships" ref="BA14" display="https://www.logixpathchef.com/app/food/getfoodnutrition?fdcid=167765" r:id="rId534"/>
    <hyperlink xmlns:r="http://schemas.openxmlformats.org/officeDocument/2006/relationships" ref="BB14" display="https://www.logixpathchef.com/app/food/getfoodnutrition?fdcid=167765" r:id="rId535"/>
    <hyperlink xmlns:r="http://schemas.openxmlformats.org/officeDocument/2006/relationships" ref="BC14" display="https://www.logixpathchef.com/app/food/getfoodnutrition?fdcid=167765" r:id="rId536"/>
    <hyperlink xmlns:r="http://schemas.openxmlformats.org/officeDocument/2006/relationships" ref="BD14" display="https://www.logixpathchef.com/app/food/getfoodnutrition?fdcid=167765" r:id="rId537"/>
    <hyperlink xmlns:r="http://schemas.openxmlformats.org/officeDocument/2006/relationships" ref="BE14" display="https://www.logixpathchef.com/app/food/getfoodnutrition?fdcid=167765" r:id="rId538"/>
    <hyperlink xmlns:r="http://schemas.openxmlformats.org/officeDocument/2006/relationships" ref="BF14" display="https://www.logixpathchef.com/app/food/getfoodnutrition?fdcid=167765" r:id="rId539"/>
    <hyperlink xmlns:r="http://schemas.openxmlformats.org/officeDocument/2006/relationships" ref="BG14" display="https://www.logixpathchef.com/app/food/getfoodnutrition?fdcid=167765" r:id="rId540"/>
    <hyperlink xmlns:r="http://schemas.openxmlformats.org/officeDocument/2006/relationships" ref="BH14" display="https://www.logixpathchef.com/app/food/getfoodnutrition?fdcid=167765" r:id="rId541"/>
    <hyperlink xmlns:r="http://schemas.openxmlformats.org/officeDocument/2006/relationships" ref="BI14" display="https://www.logixpathchef.com/app/food/getfoodnutrition?fdcid=167765" r:id="rId542"/>
    <hyperlink xmlns:r="http://schemas.openxmlformats.org/officeDocument/2006/relationships" ref="BJ14" display="https://www.logixpathchef.com/app/food/getfoodnutrition?fdcid=167765" r:id="rId543"/>
    <hyperlink xmlns:r="http://schemas.openxmlformats.org/officeDocument/2006/relationships" ref="BK14" display="https://www.logixpathchef.com/app/food/getfoodnutrition?fdcid=167765" r:id="rId544"/>
    <hyperlink xmlns:r="http://schemas.openxmlformats.org/officeDocument/2006/relationships" ref="BL14" display="Unknown" r:id="rId545"/>
    <hyperlink xmlns:r="http://schemas.openxmlformats.org/officeDocument/2006/relationships" ref="BM14" display="https://www.logixpathchef.com/app/food/getfoodnutrition?fdcid=167765" r:id="rId546"/>
    <hyperlink xmlns:r="http://schemas.openxmlformats.org/officeDocument/2006/relationships" ref="BN14" display="https://www.logixpathchef.com/app/food/getfoodnutrition?fdcid=167765" r:id="rId547"/>
    <hyperlink xmlns:r="http://schemas.openxmlformats.org/officeDocument/2006/relationships" ref="BO14" display="https://www.logixpathchef.com/app/food/getfoodnutrition?fdcid=167765" r:id="rId548"/>
    <hyperlink xmlns:r="http://schemas.openxmlformats.org/officeDocument/2006/relationships" ref="BP14" display="https://www.ars.usda.gov/ARSUserFiles/80400535/Data/Flav/Flav3.3.pdf" r:id="rId549"/>
    <hyperlink xmlns:r="http://schemas.openxmlformats.org/officeDocument/2006/relationships" ref="BQ14" display="https://www.ars.usda.gov/ARSUserFiles/80400535/Data/Flav/Flav3.3.pdf" r:id="rId550"/>
    <hyperlink xmlns:r="http://schemas.openxmlformats.org/officeDocument/2006/relationships" ref="BR14" display="https://www.wholefoodsmarket.com/product/produce-organic-seedless-watermelon-b07hm1jc3h" r:id="rId551"/>
    <hyperlink xmlns:r="http://schemas.openxmlformats.org/officeDocument/2006/relationships" ref="BS14" display="https://www.wholefoodsmarket.com/product/produce-organic-seedless-watermelon-b07hm1jc3h" r:id="rId552"/>
    <hyperlink xmlns:r="http://schemas.openxmlformats.org/officeDocument/2006/relationships" ref="BT14" display="https://www.ars.usda.gov/ARSUserFiles/80400535/Data/PA/PA02-1.pdf" r:id="rId553"/>
    <hyperlink xmlns:r="http://schemas.openxmlformats.org/officeDocument/2006/relationships" ref="BU14" display="https://www.wholefoodsmarket.com/product/produce-organic-seedless-watermelon-b07hm1jc3h" r:id="rId554"/>
    <hyperlink xmlns:r="http://schemas.openxmlformats.org/officeDocument/2006/relationships" ref="BV14" display="https://www.ars.usda.gov/ARSUserFiles/80400535/Data/Flav/Flav3.3.pdf" r:id="rId555"/>
    <hyperlink xmlns:r="http://schemas.openxmlformats.org/officeDocument/2006/relationships" ref="BW14" display="Unknown" r:id="rId556"/>
    <hyperlink xmlns:r="http://schemas.openxmlformats.org/officeDocument/2006/relationships" ref="BX14" display="https://www.logixpathchef.com/app/food/getfoodnutrition?fdcid=167765" r:id="rId557"/>
    <hyperlink xmlns:r="http://schemas.openxmlformats.org/officeDocument/2006/relationships" ref="BY14" display="https://www.logixpathchef.com/app/food/getfoodnutrition?fdcid=167765" r:id="rId558"/>
    <hyperlink xmlns:r="http://schemas.openxmlformats.org/officeDocument/2006/relationships" ref="BZ14" display="https://www.logixpathchef.com/app/food/getfoodnutrition?fdcid=167765" r:id="rId559"/>
    <hyperlink xmlns:r="http://schemas.openxmlformats.org/officeDocument/2006/relationships" ref="CA14" display="https://www.wholefoodsmarket.com/product/produce-organic-seedless-watermelon-b07hm1jc3h" r:id="rId560"/>
    <hyperlink xmlns:r="http://schemas.openxmlformats.org/officeDocument/2006/relationships" ref="CB14" display="https://www.wholefoodsmarket.com/product/produce-organic-seedless-watermelon-b07hm1jc3h" r:id="rId561"/>
    <hyperlink xmlns:r="http://schemas.openxmlformats.org/officeDocument/2006/relationships" ref="CC14" display="https://www.logixpathchef.com/app/food/getfoodnutrition?fdcid=167765" r:id="rId562"/>
    <hyperlink xmlns:r="http://schemas.openxmlformats.org/officeDocument/2006/relationships" ref="CD14" display="Unknown" r:id="rId563"/>
    <hyperlink xmlns:r="http://schemas.openxmlformats.org/officeDocument/2006/relationships" ref="CE14" display="https://pmc.ncbi.nlm.nih.gov/articles/PMC6637774/" r:id="rId564"/>
    <hyperlink xmlns:r="http://schemas.openxmlformats.org/officeDocument/2006/relationships" ref="CF14" display="https://www.logixpathchef.com/app/food/getfoodnutrition?fdcid=167765" r:id="rId565"/>
    <hyperlink xmlns:r="http://schemas.openxmlformats.org/officeDocument/2006/relationships" ref="CG14" display="https://www.wholefoodsmarket.com/product/produce-organic-seedless-watermelon-b07hm1jc3h" r:id="rId566"/>
    <hyperlink xmlns:r="http://schemas.openxmlformats.org/officeDocument/2006/relationships" ref="CH14" display="https://www.logixpathchef.com/app/food/getfoodnutrition?fdcid=167765" r:id="rId567"/>
    <hyperlink xmlns:r="http://schemas.openxmlformats.org/officeDocument/2006/relationships" ref="CI14" display="https://www.wholefoodsmarket.com/product/produce-organic-seedless-watermelon-b07hm1jc3h" r:id="rId568"/>
    <hyperlink xmlns:r="http://schemas.openxmlformats.org/officeDocument/2006/relationships" ref="CJ14" display="Unknown" r:id="rId569"/>
    <hyperlink xmlns:r="http://schemas.openxmlformats.org/officeDocument/2006/relationships" ref="CK14" display="https://www.wholefoodsmarket.com/product/produce-organic-seedless-watermelon-b07hm1jc3h" r:id="rId570"/>
    <hyperlink xmlns:r="http://schemas.openxmlformats.org/officeDocument/2006/relationships" ref="CL14" display="Unknown" r:id="rId571"/>
    <hyperlink xmlns:r="http://schemas.openxmlformats.org/officeDocument/2006/relationships" ref="CM14" display="https://www.wholefoodsmarket.com/product/produce-organic-seedless-watermelon-b07hm1jc3h" r:id="rId572"/>
    <hyperlink xmlns:r="http://schemas.openxmlformats.org/officeDocument/2006/relationships" ref="CN14" display="https://www.wholefoodsmarket.com/product/produce-organic-seedless-watermelon-b07hm1jc3h" r:id="rId573"/>
    <hyperlink xmlns:r="http://schemas.openxmlformats.org/officeDocument/2006/relationships" ref="CO14" display="https://www.wholefoodsmarket.com/product/produce-organic-seedless-watermelon-b07hm1jc3h" r:id="rId574"/>
    <hyperlink xmlns:r="http://schemas.openxmlformats.org/officeDocument/2006/relationships" ref="CP14" display="https://www.wholefoodsmarket.com/product/produce-organic-seedless-watermelon-b07hm1jc3h" r:id="rId575"/>
    <hyperlink xmlns:r="http://schemas.openxmlformats.org/officeDocument/2006/relationships" ref="CQ14" display="Unknown" r:id="rId576"/>
    <hyperlink xmlns:r="http://schemas.openxmlformats.org/officeDocument/2006/relationships" ref="CR14" display="https://www.wholefoodsmarket.com/product/produce-organic-seedless-watermelon-b07hm1jc3h" r:id="rId577"/>
    <hyperlink xmlns:r="http://schemas.openxmlformats.org/officeDocument/2006/relationships" ref="CS14" display="https://www.fda.gov/media/159745/download" r:id="rId578"/>
    <hyperlink xmlns:r="http://schemas.openxmlformats.org/officeDocument/2006/relationships" ref="CT14" display="https://www.fda.gov/media/159745/download" r:id="rId579"/>
    <hyperlink xmlns:r="http://schemas.openxmlformats.org/officeDocument/2006/relationships" ref="CU14" display="https://www.fda.gov/media/159745/download" r:id="rId580"/>
    <hyperlink xmlns:r="http://schemas.openxmlformats.org/officeDocument/2006/relationships" ref="CV14" display="https://www.fda.gov/media/159745/download" r:id="rId581"/>
    <hyperlink xmlns:r="http://schemas.openxmlformats.org/officeDocument/2006/relationships" ref="O15" display="https://navitasorganics.com/products/goji-berries" r:id="rId582"/>
    <hyperlink xmlns:r="http://schemas.openxmlformats.org/officeDocument/2006/relationships" ref="P15" display="https://navitasorganics.com/products/goji-berries" r:id="rId583"/>
    <hyperlink xmlns:r="http://schemas.openxmlformats.org/officeDocument/2006/relationships" ref="Q15" display="https://navitasorganics.com/products/goji-berries" r:id="rId584"/>
    <hyperlink xmlns:r="http://schemas.openxmlformats.org/officeDocument/2006/relationships" ref="R15" display="https://navitasorganics.com/products/goji-berries" r:id="rId585"/>
    <hyperlink xmlns:r="http://schemas.openxmlformats.org/officeDocument/2006/relationships" ref="S15" display="https://navitasorganics.com/products/goji-berries" r:id="rId586"/>
    <hyperlink xmlns:r="http://schemas.openxmlformats.org/officeDocument/2006/relationships" ref="T15" display="https://navitasorganics.com/products/goji-berries" r:id="rId587"/>
    <hyperlink xmlns:r="http://schemas.openxmlformats.org/officeDocument/2006/relationships" ref="U15" display="https://navitasorganics.com/products/goji-berries" r:id="rId588"/>
    <hyperlink xmlns:r="http://schemas.openxmlformats.org/officeDocument/2006/relationships" ref="W15" display="https://navitasorganics.com/products/goji-berries" r:id="rId589"/>
    <hyperlink xmlns:r="http://schemas.openxmlformats.org/officeDocument/2006/relationships" ref="X15" display="https://navitasorganics.com/products/goji-berries" r:id="rId590"/>
    <hyperlink xmlns:r="http://schemas.openxmlformats.org/officeDocument/2006/relationships" ref="Y15" display="Unknown" r:id="rId591"/>
    <hyperlink xmlns:r="http://schemas.openxmlformats.org/officeDocument/2006/relationships" ref="Z15" display="Unknown" r:id="rId592"/>
    <hyperlink xmlns:r="http://schemas.openxmlformats.org/officeDocument/2006/relationships" ref="AA15" display="Unknown" r:id="rId593"/>
    <hyperlink xmlns:r="http://schemas.openxmlformats.org/officeDocument/2006/relationships" ref="AB15" display="Unknown" r:id="rId594"/>
    <hyperlink xmlns:r="http://schemas.openxmlformats.org/officeDocument/2006/relationships" ref="AC15" display="https://navitasorganics.com/products/goji-berries" r:id="rId595"/>
    <hyperlink xmlns:r="http://schemas.openxmlformats.org/officeDocument/2006/relationships" ref="AD15" display="https://navitasorganics.com/products/goji-berries" r:id="rId596"/>
    <hyperlink xmlns:r="http://schemas.openxmlformats.org/officeDocument/2006/relationships" ref="AE15" display="https://navitasorganics.com/products/goji-berries" r:id="rId597"/>
    <hyperlink xmlns:r="http://schemas.openxmlformats.org/officeDocument/2006/relationships" ref="AF15" display="https://navitasorganics.com/products/goji-berries" r:id="rId598"/>
    <hyperlink xmlns:r="http://schemas.openxmlformats.org/officeDocument/2006/relationships" ref="AH15" display="https://navitasorganics.com/products/goji-berries" r:id="rId599"/>
    <hyperlink xmlns:r="http://schemas.openxmlformats.org/officeDocument/2006/relationships" ref="AJ15" display="Unknown" r:id="rId600"/>
    <hyperlink xmlns:r="http://schemas.openxmlformats.org/officeDocument/2006/relationships" ref="AK15" display="https://navitasorganics.com/products/goji-berries" r:id="rId601"/>
    <hyperlink xmlns:r="http://schemas.openxmlformats.org/officeDocument/2006/relationships" ref="AL15" display="https://journal.pan.olsztyn.pl/pdf-98443-31199?filename=31199.pdf" r:id="rId602"/>
    <hyperlink xmlns:r="http://schemas.openxmlformats.org/officeDocument/2006/relationships" ref="AM15" display="https://navitasorganics.com/products/goji-berries" r:id="rId603"/>
    <hyperlink xmlns:r="http://schemas.openxmlformats.org/officeDocument/2006/relationships" ref="AN15" display="https://journal.pan.olsztyn.pl/pdf-98443-31199?filename=31199.pdf" r:id="rId604"/>
    <hyperlink xmlns:r="http://schemas.openxmlformats.org/officeDocument/2006/relationships" ref="AO15" display="https://navitasorganics.com/products/goji-berries" r:id="rId605"/>
    <hyperlink xmlns:r="http://schemas.openxmlformats.org/officeDocument/2006/relationships" ref="AP15" display="Unknown" r:id="rId606"/>
    <hyperlink xmlns:r="http://schemas.openxmlformats.org/officeDocument/2006/relationships" ref="AQ15" display="https://navitasorganics.com/products/goji-berries" r:id="rId607"/>
    <hyperlink xmlns:r="http://schemas.openxmlformats.org/officeDocument/2006/relationships" ref="AR15" display="Unknown" r:id="rId608"/>
    <hyperlink xmlns:r="http://schemas.openxmlformats.org/officeDocument/2006/relationships" ref="AS15" display="Unknown" r:id="rId609"/>
    <hyperlink xmlns:r="http://schemas.openxmlformats.org/officeDocument/2006/relationships" ref="AT15" display="Unknown" r:id="rId610"/>
    <hyperlink xmlns:r="http://schemas.openxmlformats.org/officeDocument/2006/relationships" ref="AU15" display="Unknown" r:id="rId611"/>
    <hyperlink xmlns:r="http://schemas.openxmlformats.org/officeDocument/2006/relationships" ref="AV15" display="Unknown" r:id="rId612"/>
    <hyperlink xmlns:r="http://schemas.openxmlformats.org/officeDocument/2006/relationships" ref="AW15" display="Unknown" r:id="rId613"/>
    <hyperlink xmlns:r="http://schemas.openxmlformats.org/officeDocument/2006/relationships" ref="AX15" display="Unknown" r:id="rId614"/>
    <hyperlink xmlns:r="http://schemas.openxmlformats.org/officeDocument/2006/relationships" ref="AY15" display="https://navitasorganics.com/products/goji-berries" r:id="rId615"/>
    <hyperlink xmlns:r="http://schemas.openxmlformats.org/officeDocument/2006/relationships" ref="AZ15" display="https://www.logixpathchef.com/app/food/getfoodnutrition?fdcid=173032" r:id="rId616"/>
    <hyperlink xmlns:r="http://schemas.openxmlformats.org/officeDocument/2006/relationships" ref="BA15" display="https://navitasorganics.com/products/goji-berries" r:id="rId617"/>
    <hyperlink xmlns:r="http://schemas.openxmlformats.org/officeDocument/2006/relationships" ref="BB15" display="Unknown" r:id="rId618"/>
    <hyperlink xmlns:r="http://schemas.openxmlformats.org/officeDocument/2006/relationships" ref="BC15" display="Unknown" r:id="rId619"/>
    <hyperlink xmlns:r="http://schemas.openxmlformats.org/officeDocument/2006/relationships" ref="BD15" display="https://www.logixpathchef.com/app/food/getfoodnutrition?fdcid=173032" r:id="rId620"/>
    <hyperlink xmlns:r="http://schemas.openxmlformats.org/officeDocument/2006/relationships" ref="BE15" display="https://www.logixpathchef.com/app/food/getfoodnutrition?fdcid=173032" r:id="rId621"/>
    <hyperlink xmlns:r="http://schemas.openxmlformats.org/officeDocument/2006/relationships" ref="BF15" display="Unknown" r:id="rId622"/>
    <hyperlink xmlns:r="http://schemas.openxmlformats.org/officeDocument/2006/relationships" ref="BG15" display="Unknown" r:id="rId623"/>
    <hyperlink xmlns:r="http://schemas.openxmlformats.org/officeDocument/2006/relationships" ref="BH15" display="Unknown" r:id="rId624"/>
    <hyperlink xmlns:r="http://schemas.openxmlformats.org/officeDocument/2006/relationships" ref="BI15" display="Unknown" r:id="rId625"/>
    <hyperlink xmlns:r="http://schemas.openxmlformats.org/officeDocument/2006/relationships" ref="BJ15" display="Unknown" r:id="rId626"/>
    <hyperlink xmlns:r="http://schemas.openxmlformats.org/officeDocument/2006/relationships" ref="BK15" display="https://www.logixpathchef.com/app/food/getfoodnutrition?fdcid=173032" r:id="rId627"/>
    <hyperlink xmlns:r="http://schemas.openxmlformats.org/officeDocument/2006/relationships" ref="BL15" display="Unknown" r:id="rId628"/>
    <hyperlink xmlns:r="http://schemas.openxmlformats.org/officeDocument/2006/relationships" ref="BM15" display="Unknown" r:id="rId629"/>
    <hyperlink xmlns:r="http://schemas.openxmlformats.org/officeDocument/2006/relationships" ref="BN15" display="https://navitasorganics.com/products/goji-berries" r:id="rId630"/>
    <hyperlink xmlns:r="http://schemas.openxmlformats.org/officeDocument/2006/relationships" ref="BO15" display="https://navitasorganics.com/products/goji-berries" r:id="rId631"/>
    <hyperlink xmlns:r="http://schemas.openxmlformats.org/officeDocument/2006/relationships" ref="BP15" display="Unknown" r:id="rId632"/>
    <hyperlink xmlns:r="http://schemas.openxmlformats.org/officeDocument/2006/relationships" ref="BQ15" display="https://navitasorganics.com/products/goji-berries" r:id="rId633"/>
    <hyperlink xmlns:r="http://schemas.openxmlformats.org/officeDocument/2006/relationships" ref="BR15" display="https://navitasorganics.com/products/goji-berries" r:id="rId634"/>
    <hyperlink xmlns:r="http://schemas.openxmlformats.org/officeDocument/2006/relationships" ref="BS15" display="Unknown" r:id="rId635"/>
    <hyperlink xmlns:r="http://schemas.openxmlformats.org/officeDocument/2006/relationships" ref="BT15" display="Unknown" r:id="rId636"/>
    <hyperlink xmlns:r="http://schemas.openxmlformats.org/officeDocument/2006/relationships" ref="BU15" display="https://navitasorganics.com/products/goji-berries" r:id="rId637"/>
    <hyperlink xmlns:r="http://schemas.openxmlformats.org/officeDocument/2006/relationships" ref="BV15" display="Unknown" r:id="rId638"/>
    <hyperlink xmlns:r="http://schemas.openxmlformats.org/officeDocument/2006/relationships" ref="BW15" display="Unknown" r:id="rId639"/>
    <hyperlink xmlns:r="http://schemas.openxmlformats.org/officeDocument/2006/relationships" ref="BX15" display="Unknown" r:id="rId640"/>
    <hyperlink xmlns:r="http://schemas.openxmlformats.org/officeDocument/2006/relationships" ref="BY15" display="https://itjfs.com/index.php/ijfs/article/download/649/329/4073" r:id="rId641"/>
    <hyperlink xmlns:r="http://schemas.openxmlformats.org/officeDocument/2006/relationships" ref="BZ15" display="Unknown" r:id="rId642"/>
    <hyperlink xmlns:r="http://schemas.openxmlformats.org/officeDocument/2006/relationships" ref="CA15" display="https://navitasorganics.com/products/goji-berries" r:id="rId643"/>
    <hyperlink xmlns:r="http://schemas.openxmlformats.org/officeDocument/2006/relationships" ref="CB15" display="https://navitasorganics.com/products/goji-berries" r:id="rId644"/>
    <hyperlink xmlns:r="http://schemas.openxmlformats.org/officeDocument/2006/relationships" ref="CC15" display="Unknown" r:id="rId645"/>
    <hyperlink xmlns:r="http://schemas.openxmlformats.org/officeDocument/2006/relationships" ref="CD15" display="Unknown" r:id="rId646"/>
    <hyperlink xmlns:r="http://schemas.openxmlformats.org/officeDocument/2006/relationships" ref="CE15" display="Unknown" r:id="rId647"/>
    <hyperlink xmlns:r="http://schemas.openxmlformats.org/officeDocument/2006/relationships" ref="CF15" display="https://www.logixpathchef.com/app/food/getfoodnutrition?fdcid=173032" r:id="rId648"/>
    <hyperlink xmlns:r="http://schemas.openxmlformats.org/officeDocument/2006/relationships" ref="CG15" display="https://navitasorganics.com/products/goji-berries" r:id="rId649"/>
    <hyperlink xmlns:r="http://schemas.openxmlformats.org/officeDocument/2006/relationships" ref="CH15" display="https://www.logixpathchef.com/app/food/getfoodnutrition?fdcid=173032" r:id="rId650"/>
    <hyperlink xmlns:r="http://schemas.openxmlformats.org/officeDocument/2006/relationships" ref="CI15" display="https://navitasorganics.com/products/goji-berries" r:id="rId651"/>
    <hyperlink xmlns:r="http://schemas.openxmlformats.org/officeDocument/2006/relationships" ref="CJ15" display="Unknown" r:id="rId652"/>
    <hyperlink xmlns:r="http://schemas.openxmlformats.org/officeDocument/2006/relationships" ref="CK15" display="https://navitasorganics.com/products/goji-berries" r:id="rId653"/>
    <hyperlink xmlns:r="http://schemas.openxmlformats.org/officeDocument/2006/relationships" ref="CL15" display="Unknown" r:id="rId654"/>
    <hyperlink xmlns:r="http://schemas.openxmlformats.org/officeDocument/2006/relationships" ref="CM15" display="https://navitasorganics.com/products/goji-berries" r:id="rId655"/>
    <hyperlink xmlns:r="http://schemas.openxmlformats.org/officeDocument/2006/relationships" ref="CN15" display="https://navitasorganics.com/products/goji-berries" r:id="rId656"/>
    <hyperlink xmlns:r="http://schemas.openxmlformats.org/officeDocument/2006/relationships" ref="CO15" display="https://navitasorganics.com/products/goji-berries" r:id="rId657"/>
    <hyperlink xmlns:r="http://schemas.openxmlformats.org/officeDocument/2006/relationships" ref="CP15" display="https://navitasorganics.com/products/goji-berries" r:id="rId658"/>
    <hyperlink xmlns:r="http://schemas.openxmlformats.org/officeDocument/2006/relationships" ref="CQ15" display="Unknown" r:id="rId659"/>
    <hyperlink xmlns:r="http://schemas.openxmlformats.org/officeDocument/2006/relationships" ref="CR15" display="https://navitasorganics.com/products/goji-berries" r:id="rId660"/>
    <hyperlink xmlns:r="http://schemas.openxmlformats.org/officeDocument/2006/relationships" ref="CS15" display="Unknown" r:id="rId661"/>
    <hyperlink xmlns:r="http://schemas.openxmlformats.org/officeDocument/2006/relationships" ref="CT15" display="Unknown" r:id="rId662"/>
    <hyperlink xmlns:r="http://schemas.openxmlformats.org/officeDocument/2006/relationships" ref="CU15" display="Unknown" r:id="rId663"/>
    <hyperlink xmlns:r="http://schemas.openxmlformats.org/officeDocument/2006/relationships" ref="CV15" display="Unknown" r:id="rId664"/>
    <hyperlink xmlns:r="http://schemas.openxmlformats.org/officeDocument/2006/relationships" ref="O16" display="https://www.logixpathchef.com/app/food/getfoodnutrition?fdcid=170178" r:id="rId665"/>
    <hyperlink xmlns:r="http://schemas.openxmlformats.org/officeDocument/2006/relationships" ref="P16" display="https://www.logixpathchef.com/app/food/getfoodnutrition?fdcid=170178" r:id="rId666"/>
    <hyperlink xmlns:r="http://schemas.openxmlformats.org/officeDocument/2006/relationships" ref="Q16" display="https://www.wholefoodsmarket.com/product/365-by-whole-foods-market-organic-macadamia-nuts-8-oz-b086hk83yf" r:id="rId667"/>
    <hyperlink xmlns:r="http://schemas.openxmlformats.org/officeDocument/2006/relationships" ref="R16" display="https://www.wholefoodsmarket.com/product/365-by-whole-foods-market-organic-macadamia-nuts-8-oz-b086hk83yf" r:id="rId668"/>
    <hyperlink xmlns:r="http://schemas.openxmlformats.org/officeDocument/2006/relationships" ref="S16" display="https://www.wholefoodsmarket.com/product/365-by-whole-foods-market-organic-macadamia-nuts-8-oz-b086hk83yf" r:id="rId669"/>
    <hyperlink xmlns:r="http://schemas.openxmlformats.org/officeDocument/2006/relationships" ref="T16" display="https://www.wholefoodsmarket.com/product/365-by-whole-foods-market-organic-macadamia-nuts-8-oz-b086hk83yf" r:id="rId670"/>
    <hyperlink xmlns:r="http://schemas.openxmlformats.org/officeDocument/2006/relationships" ref="U16" display="https://www.logixpathchef.com/app/food/getfoodnutrition?fdcid=170178" r:id="rId671"/>
    <hyperlink xmlns:r="http://schemas.openxmlformats.org/officeDocument/2006/relationships" ref="W16" display="https://www.logixpathchef.com/app/food/getfoodnutrition?fdcid=170178" r:id="rId672"/>
    <hyperlink xmlns:r="http://schemas.openxmlformats.org/officeDocument/2006/relationships" ref="X16" display="https://www.logixpathchef.com/app/food/getfoodnutrition?fdcid=170178" r:id="rId673"/>
    <hyperlink xmlns:r="http://schemas.openxmlformats.org/officeDocument/2006/relationships" ref="Y16" display="https://www.logixpathchef.com/app/food/getfoodnutrition?fdcid=170178" r:id="rId674"/>
    <hyperlink xmlns:r="http://schemas.openxmlformats.org/officeDocument/2006/relationships" ref="Z16" display="https://www.logixpathchef.com/app/food/getfoodnutrition?fdcid=170178" r:id="rId675"/>
    <hyperlink xmlns:r="http://schemas.openxmlformats.org/officeDocument/2006/relationships" ref="AA16" display="https://www.logixpathchef.com/app/food/getfoodnutrition?fdcid=170178" r:id="rId676"/>
    <hyperlink xmlns:r="http://schemas.openxmlformats.org/officeDocument/2006/relationships" ref="AB16" display="https://www.logixpathchef.com/app/food/getfoodnutrition?fdcid=170178" r:id="rId677"/>
    <hyperlink xmlns:r="http://schemas.openxmlformats.org/officeDocument/2006/relationships" ref="AC16" display="https://www.logixpathchef.com/app/food/getfoodnutrition?fdcid=170178" r:id="rId678"/>
    <hyperlink xmlns:r="http://schemas.openxmlformats.org/officeDocument/2006/relationships" ref="AD16" display="https://www.logixpathchef.com/app/food/getfoodnutrition?fdcid=170178" r:id="rId679"/>
    <hyperlink xmlns:r="http://schemas.openxmlformats.org/officeDocument/2006/relationships" ref="AE16" display="https://www.logixpathchef.com/app/food/getfoodnutrition?fdcid=170178" r:id="rId680"/>
    <hyperlink xmlns:r="http://schemas.openxmlformats.org/officeDocument/2006/relationships" ref="AF16" display="https://www.wholefoodsmarket.com/product/365-by-whole-foods-market-organic-macadamia-nuts-8-oz-b086hk83yf" r:id="rId681"/>
    <hyperlink xmlns:r="http://schemas.openxmlformats.org/officeDocument/2006/relationships" ref="AH16" display="https://www.logixpathchef.com/app/food/getfoodnutrition?fdcid=170178" r:id="rId682"/>
    <hyperlink xmlns:r="http://schemas.openxmlformats.org/officeDocument/2006/relationships" ref="AJ16" display="https://www.ars.usda.gov/ARSUserFiles/80400525/data/choline/choln02.pdf" r:id="rId683"/>
    <hyperlink xmlns:r="http://schemas.openxmlformats.org/officeDocument/2006/relationships" ref="AK16" display="https://www.logixpathchef.com/app/food/getfoodnutrition?fdcid=170178" r:id="rId684"/>
    <hyperlink xmlns:r="http://schemas.openxmlformats.org/officeDocument/2006/relationships" ref="AL16" display="https://www.logixpathchef.com/app/food/getfoodnutrition?fdcid=170178" r:id="rId685"/>
    <hyperlink xmlns:r="http://schemas.openxmlformats.org/officeDocument/2006/relationships" ref="AM16" display="https://www.logixpathchef.com/app/food/getfoodnutrition?fdcid=170178" r:id="rId686"/>
    <hyperlink xmlns:r="http://schemas.openxmlformats.org/officeDocument/2006/relationships" ref="AN16" display="https://www.logixpathchef.com/app/food/getfoodnutrition?fdcid=170178" r:id="rId687"/>
    <hyperlink xmlns:r="http://schemas.openxmlformats.org/officeDocument/2006/relationships" ref="AO16" display="https://www.logixpathchef.com/app/food/getfoodnutrition?fdcid=170178" r:id="rId688"/>
    <hyperlink xmlns:r="http://schemas.openxmlformats.org/officeDocument/2006/relationships" ref="AP16" display="https://ods.od.nih.gov/factsheets/Molybdenum-HealthProfessional/" r:id="rId689"/>
    <hyperlink xmlns:r="http://schemas.openxmlformats.org/officeDocument/2006/relationships" ref="AQ16" display="https://www.logixpathchef.com/app/food/getfoodnutrition?fdcid=170178" r:id="rId690"/>
    <hyperlink xmlns:r="http://schemas.openxmlformats.org/officeDocument/2006/relationships" ref="AR16" display="https://www.logixpathchef.com/app/food/getfoodnutrition?fdcid=170178" r:id="rId691"/>
    <hyperlink xmlns:r="http://schemas.openxmlformats.org/officeDocument/2006/relationships" ref="AS16" display="https://www.logixpathchef.com/app/food/getfoodnutrition?fdcid=170178" r:id="rId692"/>
    <hyperlink xmlns:r="http://schemas.openxmlformats.org/officeDocument/2006/relationships" ref="AT16" display="https://www.logixpathchef.com/app/food/getfoodnutrition?fdcid=170178" r:id="rId693"/>
    <hyperlink xmlns:r="http://schemas.openxmlformats.org/officeDocument/2006/relationships" ref="AU16" display="https://www.logixpathchef.com/app/food/getfoodnutrition?fdcid=170178" r:id="rId694"/>
    <hyperlink xmlns:r="http://schemas.openxmlformats.org/officeDocument/2006/relationships" ref="AV16" display="Unknown" r:id="rId695"/>
    <hyperlink xmlns:r="http://schemas.openxmlformats.org/officeDocument/2006/relationships" ref="AW16" display="Unknown" r:id="rId696"/>
    <hyperlink xmlns:r="http://schemas.openxmlformats.org/officeDocument/2006/relationships" ref="AX16" display="Unknown" r:id="rId697"/>
    <hyperlink xmlns:r="http://schemas.openxmlformats.org/officeDocument/2006/relationships" ref="AY16" display="https://www.logixpathchef.com/app/food/getfoodnutrition?fdcid=170178" r:id="rId698"/>
    <hyperlink xmlns:r="http://schemas.openxmlformats.org/officeDocument/2006/relationships" ref="AZ16" display="https://www.logixpathchef.com/app/food/getfoodnutrition?fdcid=170178" r:id="rId699"/>
    <hyperlink xmlns:r="http://schemas.openxmlformats.org/officeDocument/2006/relationships" ref="BA16" display="https://www.logixpathchef.com/app/food/getfoodnutrition?fdcid=170178" r:id="rId700"/>
    <hyperlink xmlns:r="http://schemas.openxmlformats.org/officeDocument/2006/relationships" ref="BB16" display="https://www.logixpathchef.com/app/food/getfoodnutrition?fdcid=170178" r:id="rId701"/>
    <hyperlink xmlns:r="http://schemas.openxmlformats.org/officeDocument/2006/relationships" ref="BC16" display="Unknown" r:id="rId702"/>
    <hyperlink xmlns:r="http://schemas.openxmlformats.org/officeDocument/2006/relationships" ref="BD16" display="https://www.logixpathchef.com/app/food/getfoodnutrition?fdcid=170178" r:id="rId703"/>
    <hyperlink xmlns:r="http://schemas.openxmlformats.org/officeDocument/2006/relationships" ref="BE16" display="https://www.logixpathchef.com/app/food/getfoodnutrition?fdcid=170178" r:id="rId704"/>
    <hyperlink xmlns:r="http://schemas.openxmlformats.org/officeDocument/2006/relationships" ref="BF16" display="https://www.logixpathchef.com/app/food/getfoodnutrition?fdcid=170178" r:id="rId705"/>
    <hyperlink xmlns:r="http://schemas.openxmlformats.org/officeDocument/2006/relationships" ref="BG16" display="https://www.logixpathchef.com/app/food/getfoodnutrition?fdcid=170178" r:id="rId706"/>
    <hyperlink xmlns:r="http://schemas.openxmlformats.org/officeDocument/2006/relationships" ref="BH16" display="https://www.logixpathchef.com/app/food/getfoodnutrition?fdcid=170178" r:id="rId707"/>
    <hyperlink xmlns:r="http://schemas.openxmlformats.org/officeDocument/2006/relationships" ref="BI16" display="https://www.logixpathchef.com/app/food/getfoodnutrition?fdcid=170178" r:id="rId708"/>
    <hyperlink xmlns:r="http://schemas.openxmlformats.org/officeDocument/2006/relationships" ref="BJ16" display="https://www.logixpathchef.com/app/food/getfoodnutrition?fdcid=170178" r:id="rId709"/>
    <hyperlink xmlns:r="http://schemas.openxmlformats.org/officeDocument/2006/relationships" ref="BK16" display="https://www.logixpathchef.com/app/food/getfoodnutrition?fdcid=170178" r:id="rId710"/>
    <hyperlink xmlns:r="http://schemas.openxmlformats.org/officeDocument/2006/relationships" ref="BL16" display="Unknown" r:id="rId711"/>
    <hyperlink xmlns:r="http://schemas.openxmlformats.org/officeDocument/2006/relationships" ref="BM16" display="https://www.logixpathchef.com/app/food/getfoodnutrition?fdcid=170178" r:id="rId712"/>
    <hyperlink xmlns:r="http://schemas.openxmlformats.org/officeDocument/2006/relationships" ref="BN16" display="https://www.logixpathchef.com/app/food/getfoodnutrition?fdcid=170178" r:id="rId713"/>
    <hyperlink xmlns:r="http://schemas.openxmlformats.org/officeDocument/2006/relationships" ref="BO16" display="https://www.logixpathchef.com/app/food/getfoodnutrition?fdcid=170178" r:id="rId714"/>
    <hyperlink xmlns:r="http://schemas.openxmlformats.org/officeDocument/2006/relationships" ref="BP16" display="https://www.ars.usda.gov/ARSUserFiles/80400535/Data/Flav/Flav3.3.pdf" r:id="rId715"/>
    <hyperlink xmlns:r="http://schemas.openxmlformats.org/officeDocument/2006/relationships" ref="BQ16" display="https://www.ars.usda.gov/ARSUserFiles/80400535/Data/Flav/Flav3.3.pdf" r:id="rId716"/>
    <hyperlink xmlns:r="http://schemas.openxmlformats.org/officeDocument/2006/relationships" ref="BR16" display="https://www.wholefoodsmarket.com/product/365-by-whole-foods-market-organic-macadamia-nuts-8-oz-b086hk83yf" r:id="rId717"/>
    <hyperlink xmlns:r="http://schemas.openxmlformats.org/officeDocument/2006/relationships" ref="BS16" display="https://www.wholefoodsmarket.com/product/365-by-whole-foods-market-organic-macadamia-nuts-8-oz-b086hk83yf" r:id="rId718"/>
    <hyperlink xmlns:r="http://schemas.openxmlformats.org/officeDocument/2006/relationships" ref="BT16" display="https://www.ars.usda.gov/ARSUserFiles/80400535/Data/PA/PA02-1.pdf" r:id="rId719"/>
    <hyperlink xmlns:r="http://schemas.openxmlformats.org/officeDocument/2006/relationships" ref="BU16" display="https://www.wholefoodsmarket.com/product/365-by-whole-foods-market-organic-macadamia-nuts-8-oz-b086hk83yf" r:id="rId720"/>
    <hyperlink xmlns:r="http://schemas.openxmlformats.org/officeDocument/2006/relationships" ref="BV16" display="Unknown" r:id="rId721"/>
    <hyperlink xmlns:r="http://schemas.openxmlformats.org/officeDocument/2006/relationships" ref="BW16" display="Unknown" r:id="rId722"/>
    <hyperlink xmlns:r="http://schemas.openxmlformats.org/officeDocument/2006/relationships" ref="BX16" display="Unknown" r:id="rId723"/>
    <hyperlink xmlns:r="http://schemas.openxmlformats.org/officeDocument/2006/relationships" ref="BY16" display="Unknown" r:id="rId724"/>
    <hyperlink xmlns:r="http://schemas.openxmlformats.org/officeDocument/2006/relationships" ref="BZ16" display="https://www.wholefoodsmarket.com/product/365-by-whole-foods-market-organic-macadamia-nuts-8-oz-b086hk83yf" r:id="rId725"/>
    <hyperlink xmlns:r="http://schemas.openxmlformats.org/officeDocument/2006/relationships" ref="CA16" display="https://www.wholefoodsmarket.com/product/365-by-whole-foods-market-organic-macadamia-nuts-8-oz-b086hk83yf" r:id="rId726"/>
    <hyperlink xmlns:r="http://schemas.openxmlformats.org/officeDocument/2006/relationships" ref="CB16" display="https://www.wholefoodsmarket.com/product/365-by-whole-foods-market-organic-macadamia-nuts-8-oz-b086hk83yf" r:id="rId727"/>
    <hyperlink xmlns:r="http://schemas.openxmlformats.org/officeDocument/2006/relationships" ref="CC16" display="https://www.logixpathchef.com/app/food/getfoodnutrition?fdcid=170178" r:id="rId728"/>
    <hyperlink xmlns:r="http://schemas.openxmlformats.org/officeDocument/2006/relationships" ref="CD16" display="Unknown" r:id="rId729"/>
    <hyperlink xmlns:r="http://schemas.openxmlformats.org/officeDocument/2006/relationships" ref="CE16" display="Unknown" r:id="rId730"/>
    <hyperlink xmlns:r="http://schemas.openxmlformats.org/officeDocument/2006/relationships" ref="CF16" display="https://www.logixpathchef.com/app/food/getfoodnutrition?fdcid=170178" r:id="rId731"/>
    <hyperlink xmlns:r="http://schemas.openxmlformats.org/officeDocument/2006/relationships" ref="CG16" display="https://www.wholefoodsmarket.com/product/365-by-whole-foods-market-organic-macadamia-nuts-8-oz-b086hk83yf" r:id="rId732"/>
    <hyperlink xmlns:r="http://schemas.openxmlformats.org/officeDocument/2006/relationships" ref="CH16" display="https://www.logixpathchef.com/app/food/getfoodnutrition?fdcid=170178" r:id="rId733"/>
    <hyperlink xmlns:r="http://schemas.openxmlformats.org/officeDocument/2006/relationships" ref="CI16" display="https://www.wholefoodsmarket.com/product/365-by-whole-foods-market-organic-macadamia-nuts-8-oz-b086hk83yf" r:id="rId734"/>
    <hyperlink xmlns:r="http://schemas.openxmlformats.org/officeDocument/2006/relationships" ref="CJ16" display="https://superfoodly.com/coq10-foods-the-50-highest-natural-dietary-sources/" r:id="rId735"/>
    <hyperlink xmlns:r="http://schemas.openxmlformats.org/officeDocument/2006/relationships" ref="CK16" display="https://www.wholefoodsmarket.com/product/365-by-whole-foods-market-organic-macadamia-nuts-8-oz-b086hk83yf" r:id="rId736"/>
    <hyperlink xmlns:r="http://schemas.openxmlformats.org/officeDocument/2006/relationships" ref="CL16" display="Unknown" r:id="rId737"/>
    <hyperlink xmlns:r="http://schemas.openxmlformats.org/officeDocument/2006/relationships" ref="CM16" display="https://www.wholefoodsmarket.com/product/365-by-whole-foods-market-organic-macadamia-nuts-8-oz-b086hk83yf" r:id="rId738"/>
    <hyperlink xmlns:r="http://schemas.openxmlformats.org/officeDocument/2006/relationships" ref="CN16" display="https://www.wholefoodsmarket.com/product/365-by-whole-foods-market-organic-macadamia-nuts-8-oz-b086hk83yf" r:id="rId739"/>
    <hyperlink xmlns:r="http://schemas.openxmlformats.org/officeDocument/2006/relationships" ref="CO16" display="https://www.wholefoodsmarket.com/product/365-by-whole-foods-market-organic-macadamia-nuts-8-oz-b086hk83yf" r:id="rId740"/>
    <hyperlink xmlns:r="http://schemas.openxmlformats.org/officeDocument/2006/relationships" ref="CP16" display="https://www.wholefoodsmarket.com/product/365-by-whole-foods-market-organic-macadamia-nuts-8-oz-b086hk83yf" r:id="rId741"/>
    <hyperlink xmlns:r="http://schemas.openxmlformats.org/officeDocument/2006/relationships" ref="CQ16" display="https://pubmed.ncbi.nlm.nih.gov/15223592/" r:id="rId742"/>
    <hyperlink xmlns:r="http://schemas.openxmlformats.org/officeDocument/2006/relationships" ref="CR16" display="https://www.wholefoodsmarket.com/product/365-by-whole-foods-market-organic-macadamia-nuts-8-oz-b086hk83yf" r:id="rId743"/>
    <hyperlink xmlns:r="http://schemas.openxmlformats.org/officeDocument/2006/relationships" ref="CS16" display="https://www.fda.gov/media/159745/download" r:id="rId744"/>
    <hyperlink xmlns:r="http://schemas.openxmlformats.org/officeDocument/2006/relationships" ref="CT16" display="https://www.fda.gov/media/159745/download" r:id="rId745"/>
    <hyperlink xmlns:r="http://schemas.openxmlformats.org/officeDocument/2006/relationships" ref="CU16" display="https://www.fda.gov/media/159745/download" r:id="rId746"/>
    <hyperlink xmlns:r="http://schemas.openxmlformats.org/officeDocument/2006/relationships" ref="CV16" display="https://www.fda.gov/media/159745/download" r:id="rId747"/>
    <hyperlink xmlns:r="http://schemas.openxmlformats.org/officeDocument/2006/relationships" ref="O17" display="https://www.logixpathchef.com/app/food/getfoodnutrition?fdcid=173427" r:id="rId748"/>
    <hyperlink xmlns:r="http://schemas.openxmlformats.org/officeDocument/2006/relationships" ref="P17" display="https://www.logixpathchef.com/app/food/getfoodnutrition?fdcid=173427" r:id="rId749"/>
    <hyperlink xmlns:r="http://schemas.openxmlformats.org/officeDocument/2006/relationships" ref="Q17" display="https://www.judeesfromscratch.com/products/dried-egg-white-powder" r:id="rId750"/>
    <hyperlink xmlns:r="http://schemas.openxmlformats.org/officeDocument/2006/relationships" ref="R17" display="https://www.judeesfromscratch.com/products/dried-egg-white-powder" r:id="rId751"/>
    <hyperlink xmlns:r="http://schemas.openxmlformats.org/officeDocument/2006/relationships" ref="S17" display="https://www.logixpathchef.com/app/food/getfoodnutrition?fdcid=173427" r:id="rId752"/>
    <hyperlink xmlns:r="http://schemas.openxmlformats.org/officeDocument/2006/relationships" ref="T17" display="https://www.judeesfromscratch.com/products/dried-egg-white-powder" r:id="rId753"/>
    <hyperlink xmlns:r="http://schemas.openxmlformats.org/officeDocument/2006/relationships" ref="U17" display="https://www.judeesfromscratch.com/products/dried-egg-white-powder" r:id="rId754"/>
    <hyperlink xmlns:r="http://schemas.openxmlformats.org/officeDocument/2006/relationships" ref="W17" display="https://www.logixpathchef.com/app/food/getfoodnutrition?fdcid=173427" r:id="rId755"/>
    <hyperlink xmlns:r="http://schemas.openxmlformats.org/officeDocument/2006/relationships" ref="X17" display="https://www.logixpathchef.com/app/food/getfoodnutrition?fdcid=173427" r:id="rId756"/>
    <hyperlink xmlns:r="http://schemas.openxmlformats.org/officeDocument/2006/relationships" ref="Y17" display="https://www.logixpathchef.com/app/food/getfoodnutrition?fdcid=173427" r:id="rId757"/>
    <hyperlink xmlns:r="http://schemas.openxmlformats.org/officeDocument/2006/relationships" ref="Z17" display="https://www.logixpathchef.com/app/food/getfoodnutrition?fdcid=173427" r:id="rId758"/>
    <hyperlink xmlns:r="http://schemas.openxmlformats.org/officeDocument/2006/relationships" ref="AA17" display="https://www.logixpathchef.com/app/food/getfoodnutrition?fdcid=173427" r:id="rId759"/>
    <hyperlink xmlns:r="http://schemas.openxmlformats.org/officeDocument/2006/relationships" ref="AB17" display="https://www.logixpathchef.com/app/food/getfoodnutrition?fdcid=173427" r:id="rId760"/>
    <hyperlink xmlns:r="http://schemas.openxmlformats.org/officeDocument/2006/relationships" ref="AC17" display="https://www.logixpathchef.com/app/food/getfoodnutrition?fdcid=173427" r:id="rId761"/>
    <hyperlink xmlns:r="http://schemas.openxmlformats.org/officeDocument/2006/relationships" ref="AD17" display="https://www.logixpathchef.com/app/food/getfoodnutrition?fdcid=173427" r:id="rId762"/>
    <hyperlink xmlns:r="http://schemas.openxmlformats.org/officeDocument/2006/relationships" ref="AE17" display="https://www.logixpathchef.com/app/food/getfoodnutrition?fdcid=173427" r:id="rId763"/>
    <hyperlink xmlns:r="http://schemas.openxmlformats.org/officeDocument/2006/relationships" ref="AF17" display="https://www.judeesfromscratch.com/products/dried-egg-white-powder" r:id="rId764"/>
    <hyperlink xmlns:r="http://schemas.openxmlformats.org/officeDocument/2006/relationships" ref="AH17" display="https://www.logixpathchef.com/app/food/getfoodnutrition?fdcid=173427" r:id="rId765"/>
    <hyperlink xmlns:r="http://schemas.openxmlformats.org/officeDocument/2006/relationships" ref="AJ17" display="https://www.logixpathchef.com/app/food/getfoodnutrition?fdcid=173427" r:id="rId766"/>
    <hyperlink xmlns:r="http://schemas.openxmlformats.org/officeDocument/2006/relationships" ref="AK17" display="https://www.logixpathchef.com/app/food/getfoodnutrition?fdcid=173427" r:id="rId767"/>
    <hyperlink xmlns:r="http://schemas.openxmlformats.org/officeDocument/2006/relationships" ref="AL17" display="https://www.logixpathchef.com/app/food/getfoodnutrition?fdcid=173427" r:id="rId768"/>
    <hyperlink xmlns:r="http://schemas.openxmlformats.org/officeDocument/2006/relationships" ref="AM17" display="https://www.logixpathchef.com/app/food/getfoodnutrition?fdcid=173427" r:id="rId769"/>
    <hyperlink xmlns:r="http://schemas.openxmlformats.org/officeDocument/2006/relationships" ref="AN17" display="https://www.logixpathchef.com/app/food/getfoodnutrition?fdcid=173427" r:id="rId770"/>
    <hyperlink xmlns:r="http://schemas.openxmlformats.org/officeDocument/2006/relationships" ref="AO17" display="https://www.logixpathchef.com/app/food/getfoodnutrition?fdcid=173427" r:id="rId771"/>
    <hyperlink xmlns:r="http://schemas.openxmlformats.org/officeDocument/2006/relationships" ref="AP17" display="https://ods.od.nih.gov/factsheets/Molybdenum-HealthProfessional/" r:id="rId772"/>
    <hyperlink xmlns:r="http://schemas.openxmlformats.org/officeDocument/2006/relationships" ref="AQ17" display="https://www.logixpathchef.com/app/food/getfoodnutrition?fdcid=173427" r:id="rId773"/>
    <hyperlink xmlns:r="http://schemas.openxmlformats.org/officeDocument/2006/relationships" ref="AR17" display="https://www.logixpathchef.com/app/food/getfoodnutrition?fdcid=173427" r:id="rId774"/>
    <hyperlink xmlns:r="http://schemas.openxmlformats.org/officeDocument/2006/relationships" ref="AS17" display="https://www.logixpathchef.com/app/food/getfoodnutrition?fdcid=173427" r:id="rId775"/>
    <hyperlink xmlns:r="http://schemas.openxmlformats.org/officeDocument/2006/relationships" ref="AT17" display="https://www.logixpathchef.com/app/food/getfoodnutrition?fdcid=173427" r:id="rId776"/>
    <hyperlink xmlns:r="http://schemas.openxmlformats.org/officeDocument/2006/relationships" ref="AU17" display="https://www.logixpathchef.com/app/food/getfoodnutrition?fdcid=173427" r:id="rId777"/>
    <hyperlink xmlns:r="http://schemas.openxmlformats.org/officeDocument/2006/relationships" ref="AV17" display="Unknown" r:id="rId778"/>
    <hyperlink xmlns:r="http://schemas.openxmlformats.org/officeDocument/2006/relationships" ref="AW17" display="https://www.ars.usda.gov/ARSUserFiles/80400535/DATA/IODINE/IODINE_DATABASE_PDFVersion_2020.PDF" r:id="rId779"/>
    <hyperlink xmlns:r="http://schemas.openxmlformats.org/officeDocument/2006/relationships" ref="AX17" display="Unknown" r:id="rId780"/>
    <hyperlink xmlns:r="http://schemas.openxmlformats.org/officeDocument/2006/relationships" ref="AY17" display="https://www.logixpathchef.com/app/food/getfoodnutrition?fdcid=173427" r:id="rId781"/>
    <hyperlink xmlns:r="http://schemas.openxmlformats.org/officeDocument/2006/relationships" ref="AZ17" display="https://www.logixpathchef.com/app/food/getfoodnutrition?fdcid=173427" r:id="rId782"/>
    <hyperlink xmlns:r="http://schemas.openxmlformats.org/officeDocument/2006/relationships" ref="BA17" display="https://www.logixpathchef.com/app/food/getfoodnutrition?fdcid=173427" r:id="rId783"/>
    <hyperlink xmlns:r="http://schemas.openxmlformats.org/officeDocument/2006/relationships" ref="BB17" display="https://www.logixpathchef.com/app/food/getfoodnutrition?fdcid=173427" r:id="rId784"/>
    <hyperlink xmlns:r="http://schemas.openxmlformats.org/officeDocument/2006/relationships" ref="BC17" display="https://www.logixpathchef.com/app/food/getfoodnutrition?fdcid=173427" r:id="rId785"/>
    <hyperlink xmlns:r="http://schemas.openxmlformats.org/officeDocument/2006/relationships" ref="BD17" display="https://www.logixpathchef.com/app/food/getfoodnutrition?fdcid=173427" r:id="rId786"/>
    <hyperlink xmlns:r="http://schemas.openxmlformats.org/officeDocument/2006/relationships" ref="BE17" display="https://www.logixpathchef.com/app/food/getfoodnutrition?fdcid=173427" r:id="rId787"/>
    <hyperlink xmlns:r="http://schemas.openxmlformats.org/officeDocument/2006/relationships" ref="BF17" display="https://www.logixpathchef.com/app/food/getfoodnutrition?fdcid=173427" r:id="rId788"/>
    <hyperlink xmlns:r="http://schemas.openxmlformats.org/officeDocument/2006/relationships" ref="BG17" display="https://www.logixpathchef.com/app/food/getfoodnutrition?fdcid=173427" r:id="rId789"/>
    <hyperlink xmlns:r="http://schemas.openxmlformats.org/officeDocument/2006/relationships" ref="BH17" display="https://www.logixpathchef.com/app/food/getfoodnutrition?fdcid=173427" r:id="rId790"/>
    <hyperlink xmlns:r="http://schemas.openxmlformats.org/officeDocument/2006/relationships" ref="BI17" display="https://www.logixpathchef.com/app/food/getfoodnutrition?fdcid=173427" r:id="rId791"/>
    <hyperlink xmlns:r="http://schemas.openxmlformats.org/officeDocument/2006/relationships" ref="BJ17" display="https://www.logixpathchef.com/app/food/getfoodnutrition?fdcid=173427" r:id="rId792"/>
    <hyperlink xmlns:r="http://schemas.openxmlformats.org/officeDocument/2006/relationships" ref="BK17" display="https://www.logixpathchef.com/app/food/getfoodnutrition?fdcid=173427" r:id="rId793"/>
    <hyperlink xmlns:r="http://schemas.openxmlformats.org/officeDocument/2006/relationships" ref="BL17" display="Unknown" r:id="rId794"/>
    <hyperlink xmlns:r="http://schemas.openxmlformats.org/officeDocument/2006/relationships" ref="BM17" display="https://www.logixpathchef.com/app/food/getfoodnutrition?fdcid=173427" r:id="rId795"/>
    <hyperlink xmlns:r="http://schemas.openxmlformats.org/officeDocument/2006/relationships" ref="BN17" display="https://www.logixpathchef.com/app/food/getfoodnutrition?fdcid=173427" r:id="rId796"/>
    <hyperlink xmlns:r="http://schemas.openxmlformats.org/officeDocument/2006/relationships" ref="BO17" display="https://www.logixpathchef.com/app/food/getfoodnutrition?fdcid=173427" r:id="rId797"/>
    <hyperlink xmlns:r="http://schemas.openxmlformats.org/officeDocument/2006/relationships" ref="BP17" display="https://www.logixpathchef.com/app/food/getfoodnutrition?fdcid=173427" r:id="rId798"/>
    <hyperlink xmlns:r="http://schemas.openxmlformats.org/officeDocument/2006/relationships" ref="BQ17" display="https://www.logixpathchef.com/app/food/getfoodnutrition?fdcid=173427" r:id="rId799"/>
    <hyperlink xmlns:r="http://schemas.openxmlformats.org/officeDocument/2006/relationships" ref="BR17" display="https://www.logixpathchef.com/app/food/getfoodnutrition?fdcid=173427" r:id="rId800"/>
    <hyperlink xmlns:r="http://schemas.openxmlformats.org/officeDocument/2006/relationships" ref="BS17" display="https://www.logixpathchef.com/app/food/getfoodnutrition?fdcid=173427" r:id="rId801"/>
    <hyperlink xmlns:r="http://schemas.openxmlformats.org/officeDocument/2006/relationships" ref="BT17" display="https://www.logixpathchef.com/app/food/getfoodnutrition?fdcid=173427" r:id="rId802"/>
    <hyperlink xmlns:r="http://schemas.openxmlformats.org/officeDocument/2006/relationships" ref="BU17" display="https://www.logixpathchef.com/app/food/getfoodnutrition?fdcid=173427" r:id="rId803"/>
    <hyperlink xmlns:r="http://schemas.openxmlformats.org/officeDocument/2006/relationships" ref="BV17" display="https://www.logixpathchef.com/app/food/getfoodnutrition?fdcid=173427" r:id="rId804"/>
    <hyperlink xmlns:r="http://schemas.openxmlformats.org/officeDocument/2006/relationships" ref="BW17" display="https://www.logixpathchef.com/app/food/getfoodnutrition?fdcid=173427" r:id="rId805"/>
    <hyperlink xmlns:r="http://schemas.openxmlformats.org/officeDocument/2006/relationships" ref="BX17" display="https://www.logixpathchef.com/app/food/getfoodnutrition?fdcid=173427" r:id="rId806"/>
    <hyperlink xmlns:r="http://schemas.openxmlformats.org/officeDocument/2006/relationships" ref="BY17" display="https://www.logixpathchef.com/app/food/getfoodnutrition?fdcid=173427" r:id="rId807"/>
    <hyperlink xmlns:r="http://schemas.openxmlformats.org/officeDocument/2006/relationships" ref="BZ17" display="https://www.logixpathchef.com/app/food/getfoodnutrition?fdcid=173427" r:id="rId808"/>
    <hyperlink xmlns:r="http://schemas.openxmlformats.org/officeDocument/2006/relationships" ref="CA17" display="https://www.logixpathchef.com/app/food/getfoodnutrition?fdcid=173427" r:id="rId809"/>
    <hyperlink xmlns:r="http://schemas.openxmlformats.org/officeDocument/2006/relationships" ref="CB17" display="https://www.logixpathchef.com/app/food/getfoodnutrition?fdcid=173427" r:id="rId810"/>
    <hyperlink xmlns:r="http://schemas.openxmlformats.org/officeDocument/2006/relationships" ref="CC17" display="https://www.logixpathchef.com/app/food/getfoodnutrition?fdcid=173427" r:id="rId811"/>
    <hyperlink xmlns:r="http://schemas.openxmlformats.org/officeDocument/2006/relationships" ref="CD17" display="https://www.logixpathchef.com/app/food/getfoodnutrition?fdcid=173427" r:id="rId812"/>
    <hyperlink xmlns:r="http://schemas.openxmlformats.org/officeDocument/2006/relationships" ref="CE17" display="https://pmc.ncbi.nlm.nih.gov/articles/PMC6637774/" r:id="rId813"/>
    <hyperlink xmlns:r="http://schemas.openxmlformats.org/officeDocument/2006/relationships" ref="CF17" display="https://www.logixpathchef.com/app/food/getfoodnutrition?fdcid=173427" r:id="rId814"/>
    <hyperlink xmlns:r="http://schemas.openxmlformats.org/officeDocument/2006/relationships" ref="CG17" display="https://www.judeesfromscratch.com/products/dried-egg-white-powder" r:id="rId815"/>
    <hyperlink xmlns:r="http://schemas.openxmlformats.org/officeDocument/2006/relationships" ref="CH17" display="https://www.logixpathchef.com/app/food/getfoodnutrition?fdcid=173427" r:id="rId816"/>
    <hyperlink xmlns:r="http://schemas.openxmlformats.org/officeDocument/2006/relationships" ref="CI17" display="https://pubmed.ncbi.nlm.nih.gov/22779912/" r:id="rId817"/>
    <hyperlink xmlns:r="http://schemas.openxmlformats.org/officeDocument/2006/relationships" ref="CJ17" display="Unknown" r:id="rId818"/>
    <hyperlink xmlns:r="http://schemas.openxmlformats.org/officeDocument/2006/relationships" ref="CK17" display="https://www.logixpathchef.com/app/food/getfoodnutrition?fdcid=173427" r:id="rId819"/>
    <hyperlink xmlns:r="http://schemas.openxmlformats.org/officeDocument/2006/relationships" ref="CL17" display="Unknown" r:id="rId820"/>
    <hyperlink xmlns:r="http://schemas.openxmlformats.org/officeDocument/2006/relationships" ref="CM17" display="https://www.judeesfromscratch.com/products/dried-egg-white-powder" r:id="rId821"/>
    <hyperlink xmlns:r="http://schemas.openxmlformats.org/officeDocument/2006/relationships" ref="CN17" display="https://www.judeesfromscratch.com/products/dried-egg-white-powder" r:id="rId822"/>
    <hyperlink xmlns:r="http://schemas.openxmlformats.org/officeDocument/2006/relationships" ref="CO17" display="https://www.judeesfromscratch.com/products/dried-egg-white-powder" r:id="rId823"/>
    <hyperlink xmlns:r="http://schemas.openxmlformats.org/officeDocument/2006/relationships" ref="CP17" display="https://www.judeesfromscratch.com/products/dried-egg-white-powder" r:id="rId824"/>
    <hyperlink xmlns:r="http://schemas.openxmlformats.org/officeDocument/2006/relationships" ref="CQ17" display="https://www.logixpathchef.com/app/food/getfoodnutrition?fdcid=173427" r:id="rId825"/>
    <hyperlink xmlns:r="http://schemas.openxmlformats.org/officeDocument/2006/relationships" ref="CR17" display="https://www.judeesfromscratch.com/products/dried-egg-white-powder" r:id="rId826"/>
    <hyperlink xmlns:r="http://schemas.openxmlformats.org/officeDocument/2006/relationships" ref="CS17" display="https://www.fda.gov/media/159745/download" r:id="rId827"/>
    <hyperlink xmlns:r="http://schemas.openxmlformats.org/officeDocument/2006/relationships" ref="CT17" display="https://www.fda.gov/media/159745/download" r:id="rId828"/>
    <hyperlink xmlns:r="http://schemas.openxmlformats.org/officeDocument/2006/relationships" ref="CU17" display="https://www.fda.gov/media/159745/download" r:id="rId829"/>
    <hyperlink xmlns:r="http://schemas.openxmlformats.org/officeDocument/2006/relationships" ref="CV17" display="https://www.fda.gov/media/159745/download" r:id="rId830"/>
    <hyperlink xmlns:r="http://schemas.openxmlformats.org/officeDocument/2006/relationships" ref="O19" display="https://www.fatsecret.com/calories-nutrition/love-beets/organic-cooked-beets" r:id="rId831"/>
    <hyperlink xmlns:r="http://schemas.openxmlformats.org/officeDocument/2006/relationships" ref="P19" display="https://www.fatsecret.com/calories-nutrition/love-beets/organic-cooked-beets" r:id="rId832"/>
    <hyperlink xmlns:r="http://schemas.openxmlformats.org/officeDocument/2006/relationships" ref="Q19" display="https://www.fatsecret.com/calories-nutrition/love-beets/organic-cooked-beets" r:id="rId833"/>
    <hyperlink xmlns:r="http://schemas.openxmlformats.org/officeDocument/2006/relationships" ref="R19" display="https://www.fatsecret.com/calories-nutrition/love-beets/organic-cooked-beets" r:id="rId834"/>
    <hyperlink xmlns:r="http://schemas.openxmlformats.org/officeDocument/2006/relationships" ref="S19" display="https://www.fatsecret.com/calories-nutrition/love-beets/organic-cooked-beets" r:id="rId835"/>
    <hyperlink xmlns:r="http://schemas.openxmlformats.org/officeDocument/2006/relationships" ref="T19" display="https://www.fatsecret.com/calories-nutrition/love-beets/organic-cooked-beets" r:id="rId836"/>
    <hyperlink xmlns:r="http://schemas.openxmlformats.org/officeDocument/2006/relationships" ref="U19" display="https://www.fatsecret.com/calories-nutrition/love-beets/organic-cooked-beets" r:id="rId837"/>
    <hyperlink xmlns:r="http://schemas.openxmlformats.org/officeDocument/2006/relationships" ref="W19" display="https://www.fatsecret.com/calories-nutrition/love-beets/organic-cooked-beets" r:id="rId838"/>
    <hyperlink xmlns:r="http://schemas.openxmlformats.org/officeDocument/2006/relationships" ref="X19" display="https://www.fatsecret.com/calories-nutrition/love-beets/organic-cooked-beets" r:id="rId839"/>
    <hyperlink xmlns:r="http://schemas.openxmlformats.org/officeDocument/2006/relationships" ref="Y19" display="https://www.logixpathchef.com/app/food/getfoodnutrition?fdcid=169145" r:id="rId840"/>
    <hyperlink xmlns:r="http://schemas.openxmlformats.org/officeDocument/2006/relationships" ref="Z19" display="https://www.logixpathchef.com/app/food/getfoodnutrition?fdcid=169145" r:id="rId841"/>
    <hyperlink xmlns:r="http://schemas.openxmlformats.org/officeDocument/2006/relationships" ref="AA19" display="https://www.logixpathchef.com/app/food/getfoodnutrition?fdcid=169145" r:id="rId842"/>
    <hyperlink xmlns:r="http://schemas.openxmlformats.org/officeDocument/2006/relationships" ref="AB19" display="https://www.logixpathchef.com/app/food/getfoodnutrition?fdcid=169145" r:id="rId843"/>
    <hyperlink xmlns:r="http://schemas.openxmlformats.org/officeDocument/2006/relationships" ref="AC19" display="https://www.fatsecret.com/calories-nutrition/love-beets/organic-cooked-beets" r:id="rId844"/>
    <hyperlink xmlns:r="http://schemas.openxmlformats.org/officeDocument/2006/relationships" ref="AD19" display="https://www.fatsecret.com/calories-nutrition/love-beets/organic-cooked-beets" r:id="rId845"/>
    <hyperlink xmlns:r="http://schemas.openxmlformats.org/officeDocument/2006/relationships" ref="AE19" display="https://www.fatsecret.com/calories-nutrition/love-beets/organic-cooked-beets" r:id="rId846"/>
    <hyperlink xmlns:r="http://schemas.openxmlformats.org/officeDocument/2006/relationships" ref="AF19" display="https://www.fatsecret.com/calories-nutrition/love-beets/organic-cooked-beets" r:id="rId847"/>
    <hyperlink xmlns:r="http://schemas.openxmlformats.org/officeDocument/2006/relationships" ref="AH19" display="https://www.fatsecret.com/calories-nutrition/love-beets/organic-cooked-beets" r:id="rId848"/>
    <hyperlink xmlns:r="http://schemas.openxmlformats.org/officeDocument/2006/relationships" ref="AJ19" display="https://www.logixpathchef.com/app/food/getfoodnutrition?fdcid=169145" r:id="rId849"/>
    <hyperlink xmlns:r="http://schemas.openxmlformats.org/officeDocument/2006/relationships" ref="AK19" display="https://www.logixpathchef.com/app/food/getfoodnutrition?fdcid=169145" r:id="rId850"/>
    <hyperlink xmlns:r="http://schemas.openxmlformats.org/officeDocument/2006/relationships" ref="AL19" display="https://www.logixpathchef.com/app/food/getfoodnutrition?fdcid=169145" r:id="rId851"/>
    <hyperlink xmlns:r="http://schemas.openxmlformats.org/officeDocument/2006/relationships" ref="AM19" display="https://www.logixpathchef.com/app/food/getfoodnutrition?fdcid=169145" r:id="rId852"/>
    <hyperlink xmlns:r="http://schemas.openxmlformats.org/officeDocument/2006/relationships" ref="AN19" display="https://www.logixpathchef.com/app/food/getfoodnutrition?fdcid=169145" r:id="rId853"/>
    <hyperlink xmlns:r="http://schemas.openxmlformats.org/officeDocument/2006/relationships" ref="AO19" display="https://www.fatsecret.com/calories-nutrition/love-beets/organic-cooked-beets" r:id="rId854"/>
    <hyperlink xmlns:r="http://schemas.openxmlformats.org/officeDocument/2006/relationships" ref="AP19" display="Unknown" r:id="rId855"/>
    <hyperlink xmlns:r="http://schemas.openxmlformats.org/officeDocument/2006/relationships" ref="AQ19" display="https://www.logixpathchef.com/app/food/getfoodnutrition?fdcid=169145" r:id="rId856"/>
    <hyperlink xmlns:r="http://schemas.openxmlformats.org/officeDocument/2006/relationships" ref="AR19" display="https://www.logixpathchef.com/app/food/getfoodnutrition?fdcid=169145" r:id="rId857"/>
    <hyperlink xmlns:r="http://schemas.openxmlformats.org/officeDocument/2006/relationships" ref="AS19" display="https://www.logixpathchef.com/app/food/getfoodnutrition?fdcid=169145" r:id="rId858"/>
    <hyperlink xmlns:r="http://schemas.openxmlformats.org/officeDocument/2006/relationships" ref="AT19" display="https://www.logixpathchef.com/app/food/getfoodnutrition?fdcid=169145" r:id="rId859"/>
    <hyperlink xmlns:r="http://schemas.openxmlformats.org/officeDocument/2006/relationships" ref="AU19" display="https://www.logixpathchef.com/app/food/getfoodnutrition?fdcid=169145" r:id="rId860"/>
    <hyperlink xmlns:r="http://schemas.openxmlformats.org/officeDocument/2006/relationships" ref="AV19" display="Unknown" r:id="rId861"/>
    <hyperlink xmlns:r="http://schemas.openxmlformats.org/officeDocument/2006/relationships" ref="AW19" display="https://www.ars.usda.gov/ARSUserFiles/80400535/DATA/IODINE/IODINE_DATABASE_PDFVersion_2020.PDF" r:id="rId862"/>
    <hyperlink xmlns:r="http://schemas.openxmlformats.org/officeDocument/2006/relationships" ref="AX19" display="Unknown" r:id="rId863"/>
    <hyperlink xmlns:r="http://schemas.openxmlformats.org/officeDocument/2006/relationships" ref="AY19" display="https://www.logixpathchef.com/app/food/getfoodnutrition?fdcid=169145" r:id="rId864"/>
    <hyperlink xmlns:r="http://schemas.openxmlformats.org/officeDocument/2006/relationships" ref="AZ19" display="https://www.logixpathchef.com/app/food/getfoodnutrition?fdcid=169145" r:id="rId865"/>
    <hyperlink xmlns:r="http://schemas.openxmlformats.org/officeDocument/2006/relationships" ref="BA19" display="https://www.logixpathchef.com/app/food/getfoodnutrition?fdcid=169145" r:id="rId866"/>
    <hyperlink xmlns:r="http://schemas.openxmlformats.org/officeDocument/2006/relationships" ref="BB19" display="https://www.logixpathchef.com/app/food/getfoodnutrition?fdcid=169145" r:id="rId867"/>
    <hyperlink xmlns:r="http://schemas.openxmlformats.org/officeDocument/2006/relationships" ref="BC19" display="https://www.logixpathchef.com/app/food/getfoodnutrition?fdcid=169145" r:id="rId868"/>
    <hyperlink xmlns:r="http://schemas.openxmlformats.org/officeDocument/2006/relationships" ref="BD19" display="https://www.logixpathchef.com/app/food/getfoodnutrition?fdcid=169145" r:id="rId869"/>
    <hyperlink xmlns:r="http://schemas.openxmlformats.org/officeDocument/2006/relationships" ref="BE19" display="https://www.logixpathchef.com/app/food/getfoodnutrition?fdcid=169145" r:id="rId870"/>
    <hyperlink xmlns:r="http://schemas.openxmlformats.org/officeDocument/2006/relationships" ref="BF19" display="https://www.logixpathchef.com/app/food/getfoodnutrition?fdcid=169145" r:id="rId871"/>
    <hyperlink xmlns:r="http://schemas.openxmlformats.org/officeDocument/2006/relationships" ref="BG19" display="https://www.logixpathchef.com/app/food/getfoodnutrition?fdcid=169145" r:id="rId872"/>
    <hyperlink xmlns:r="http://schemas.openxmlformats.org/officeDocument/2006/relationships" ref="BH19" display="https://www.logixpathchef.com/app/food/getfoodnutrition?fdcid=169145" r:id="rId873"/>
    <hyperlink xmlns:r="http://schemas.openxmlformats.org/officeDocument/2006/relationships" ref="BI19" display="https://www.logixpathchef.com/app/food/getfoodnutrition?fdcid=169145" r:id="rId874"/>
    <hyperlink xmlns:r="http://schemas.openxmlformats.org/officeDocument/2006/relationships" ref="BJ19" display="https://www.logixpathchef.com/app/food/getfoodnutrition?fdcid=169145" r:id="rId875"/>
    <hyperlink xmlns:r="http://schemas.openxmlformats.org/officeDocument/2006/relationships" ref="BK19" display="https://www.logixpathchef.com/app/food/getfoodnutrition?fdcid=169145" r:id="rId876"/>
    <hyperlink xmlns:r="http://schemas.openxmlformats.org/officeDocument/2006/relationships" ref="BL19" display="Unknown" r:id="rId877"/>
    <hyperlink xmlns:r="http://schemas.openxmlformats.org/officeDocument/2006/relationships" ref="BM19" display="https://www.logixpathchef.com/app/food/getfoodnutrition?fdcid=169145" r:id="rId878"/>
    <hyperlink xmlns:r="http://schemas.openxmlformats.org/officeDocument/2006/relationships" ref="BN19" display="https://www.logixpathchef.com/app/food/getfoodnutrition?fdcid=169145" r:id="rId879"/>
    <hyperlink xmlns:r="http://schemas.openxmlformats.org/officeDocument/2006/relationships" ref="BO19" display="https://www.logixpathchef.com/app/food/getfoodnutrition?fdcid=169145" r:id="rId880"/>
    <hyperlink xmlns:r="http://schemas.openxmlformats.org/officeDocument/2006/relationships" ref="BP19" display="https://www.logixpathchef.com/app/food/getfoodnutrition?fdcid=169145" r:id="rId881"/>
    <hyperlink xmlns:r="http://schemas.openxmlformats.org/officeDocument/2006/relationships" ref="BQ19" display="https://www.logixpathchef.com/app/food/getfoodnutrition?fdcid=169145" r:id="rId882"/>
    <hyperlink xmlns:r="http://schemas.openxmlformats.org/officeDocument/2006/relationships" ref="BR19" display="https://www.logixpathchef.com/app/food/getfoodnutrition?fdcid=169145" r:id="rId883"/>
    <hyperlink xmlns:r="http://schemas.openxmlformats.org/officeDocument/2006/relationships" ref="BS19" display="https://www.logixpathchef.com/app/food/getfoodnutrition?fdcid=169145" r:id="rId884"/>
    <hyperlink xmlns:r="http://schemas.openxmlformats.org/officeDocument/2006/relationships" ref="BT19" display="https://www.logixpathchef.com/app/food/getfoodnutrition?fdcid=169145" r:id="rId885"/>
    <hyperlink xmlns:r="http://schemas.openxmlformats.org/officeDocument/2006/relationships" ref="BU19" display="https://www.logixpathchef.com/app/food/getfoodnutrition?fdcid=169145" r:id="rId886"/>
    <hyperlink xmlns:r="http://schemas.openxmlformats.org/officeDocument/2006/relationships" ref="BV19" display="https://www.logixpathchef.com/app/food/getfoodnutrition?fdcid=169145" r:id="rId887"/>
    <hyperlink xmlns:r="http://schemas.openxmlformats.org/officeDocument/2006/relationships" ref="BW19" display="https://www.cambridge.org/core/services/aop-cambridge-core/content/view/9AAD5BFE984EF28D7DC741C0ECE73724/S0007114505000504a.pdf/lignan_contents_of_dutch_plant_foods_a_database_including_lariciresinol_pinoresinol_secoisolariciresinol_and_matairesinol.pdf" r:id="rId888"/>
    <hyperlink xmlns:r="http://schemas.openxmlformats.org/officeDocument/2006/relationships" ref="BX19" display="https://www.logixpathchef.com/app/food/getfoodnutrition?fdcid=169145" r:id="rId889"/>
    <hyperlink xmlns:r="http://schemas.openxmlformats.org/officeDocument/2006/relationships" ref="BY19" display="https://www.logixpathchef.com/app/food/getfoodnutrition?fdcid=169145" r:id="rId890"/>
    <hyperlink xmlns:r="http://schemas.openxmlformats.org/officeDocument/2006/relationships" ref="BZ19" display="https://www.logixpathchef.com/app/food/getfoodnutrition?fdcid=169145" r:id="rId891"/>
    <hyperlink xmlns:r="http://schemas.openxmlformats.org/officeDocument/2006/relationships" ref="CA19" display="https://www.logixpathchef.com/app/food/getfoodnutrition?fdcid=169145" r:id="rId892"/>
    <hyperlink xmlns:r="http://schemas.openxmlformats.org/officeDocument/2006/relationships" ref="CB19" display="https://www.logixpathchef.com/app/food/getfoodnutrition?fdcid=169145" r:id="rId893"/>
    <hyperlink xmlns:r="http://schemas.openxmlformats.org/officeDocument/2006/relationships" ref="CC19" display="https://fdc.nal.usda.gov/fdc-datasets/FoodData_Central_sr_legacy_food_csv_2018-04.zip" r:id="rId894"/>
    <hyperlink xmlns:r="http://schemas.openxmlformats.org/officeDocument/2006/relationships" ref="CD19" display="https://pmc.ncbi.nlm.nih.gov/articles/PMC10000616/" r:id="rId895"/>
    <hyperlink xmlns:r="http://schemas.openxmlformats.org/officeDocument/2006/relationships" ref="CE19" display="https://pmc.ncbi.nlm.nih.gov/articles/PMC6637774/" r:id="rId896"/>
    <hyperlink xmlns:r="http://schemas.openxmlformats.org/officeDocument/2006/relationships" ref="CF19" display="https://www.logixpathchef.com/app/food/getfoodnutrition?fdcid=169145" r:id="rId897"/>
    <hyperlink xmlns:r="http://schemas.openxmlformats.org/officeDocument/2006/relationships" ref="CG19" display="https://www.fatsecret.com/calories-nutrition/love-beets/organic-cooked-beets" r:id="rId898"/>
    <hyperlink xmlns:r="http://schemas.openxmlformats.org/officeDocument/2006/relationships" ref="CH19" display="https://www.logixpathchef.com/app/food/getfoodnutrition?fdcid=169145" r:id="rId899"/>
    <hyperlink xmlns:r="http://schemas.openxmlformats.org/officeDocument/2006/relationships" ref="CI19" display="https://www.fatsecret.com/calories-nutrition/love-beets/organic-cooked-beets" r:id="rId900"/>
    <hyperlink xmlns:r="http://schemas.openxmlformats.org/officeDocument/2006/relationships" ref="CJ19" display="Unknown" r:id="rId901"/>
    <hyperlink xmlns:r="http://schemas.openxmlformats.org/officeDocument/2006/relationships" ref="CK19" display="https://www.fatsecret.com/calories-nutrition/love-beets/organic-cooked-beets" r:id="rId902"/>
    <hyperlink xmlns:r="http://schemas.openxmlformats.org/officeDocument/2006/relationships" ref="CL19" display="Unknown" r:id="rId903"/>
    <hyperlink xmlns:r="http://schemas.openxmlformats.org/officeDocument/2006/relationships" ref="CM19" display="https://www.fatsecret.com/calories-nutrition/love-beets/organic-cooked-beets" r:id="rId904"/>
    <hyperlink xmlns:r="http://schemas.openxmlformats.org/officeDocument/2006/relationships" ref="CN19" display="https://www.fatsecret.com/calories-nutrition/love-beets/organic-cooked-beets" r:id="rId905"/>
    <hyperlink xmlns:r="http://schemas.openxmlformats.org/officeDocument/2006/relationships" ref="CO19" display="https://www.fatsecret.com/calories-nutrition/love-beets/organic-cooked-beets" r:id="rId906"/>
    <hyperlink xmlns:r="http://schemas.openxmlformats.org/officeDocument/2006/relationships" ref="CP19" display="https://www.fatsecret.com/calories-nutrition/love-beets/organic-cooked-beets" r:id="rId907"/>
    <hyperlink xmlns:r="http://schemas.openxmlformats.org/officeDocument/2006/relationships" ref="CQ19" display="Unknown" r:id="rId908"/>
    <hyperlink xmlns:r="http://schemas.openxmlformats.org/officeDocument/2006/relationships" ref="CR19" display="https://www.fatsecret.com/calories-nutrition/love-beets/organic-cooked-beets" r:id="rId909"/>
    <hyperlink xmlns:r="http://schemas.openxmlformats.org/officeDocument/2006/relationships" ref="CS19" display="https://www.fda.gov/media/159745/download" r:id="rId910"/>
    <hyperlink xmlns:r="http://schemas.openxmlformats.org/officeDocument/2006/relationships" ref="CT19" display="https://www.fda.gov/media/159745/download" r:id="rId911"/>
    <hyperlink xmlns:r="http://schemas.openxmlformats.org/officeDocument/2006/relationships" ref="CU19" display="https://www.fda.gov/media/159745/download" r:id="rId912"/>
    <hyperlink xmlns:r="http://schemas.openxmlformats.org/officeDocument/2006/relationships" ref="CV19" display="https://www.fda.gov/media/159745/download" r:id="rId913"/>
    <hyperlink xmlns:r="http://schemas.openxmlformats.org/officeDocument/2006/relationships" ref="O22" display="https://pmc.ncbi.nlm.nih.gov/articles/PMC7796401/" r:id="rId914"/>
    <hyperlink xmlns:r="http://schemas.openxmlformats.org/officeDocument/2006/relationships" ref="P22" display="https://pmc.ncbi.nlm.nih.gov/articles/PMC7796401/" r:id="rId915"/>
    <hyperlink xmlns:r="http://schemas.openxmlformats.org/officeDocument/2006/relationships" ref="Q22" display="https://caffoff.com/products/traditional-decaf-matcha" r:id="rId916"/>
    <hyperlink xmlns:r="http://schemas.openxmlformats.org/officeDocument/2006/relationships" ref="R22" display="https://caffoff.com/products/traditional-decaf-matcha" r:id="rId917"/>
    <hyperlink xmlns:r="http://schemas.openxmlformats.org/officeDocument/2006/relationships" ref="S22" display="https://caffoff.com/products/traditional-decaf-matcha" r:id="rId918"/>
    <hyperlink xmlns:r="http://schemas.openxmlformats.org/officeDocument/2006/relationships" ref="T22" display="https://caffoff.com/products/traditional-decaf-matcha" r:id="rId919"/>
    <hyperlink xmlns:r="http://schemas.openxmlformats.org/officeDocument/2006/relationships" ref="U22" display="https://pmc.ncbi.nlm.nih.gov/articles/PMC7796401/" r:id="rId920"/>
    <hyperlink xmlns:r="http://schemas.openxmlformats.org/officeDocument/2006/relationships" ref="W22" display="https://pmc.ncbi.nlm.nih.gov/articles/PMC11049459/" r:id="rId921"/>
    <hyperlink xmlns:r="http://schemas.openxmlformats.org/officeDocument/2006/relationships" ref="X22" display="https://pmc.ncbi.nlm.nih.gov/articles/PMC11049459/" r:id="rId922"/>
    <hyperlink xmlns:r="http://schemas.openxmlformats.org/officeDocument/2006/relationships" ref="Y22" display="https://pmc.ncbi.nlm.nih.gov/articles/PMC11049459/" r:id="rId923"/>
    <hyperlink xmlns:r="http://schemas.openxmlformats.org/officeDocument/2006/relationships" ref="Z22" display="https://pmc.ncbi.nlm.nih.gov/articles/PMC11049459/" r:id="rId924"/>
    <hyperlink xmlns:r="http://schemas.openxmlformats.org/officeDocument/2006/relationships" ref="AA22" display="https://pmc.ncbi.nlm.nih.gov/articles/PMC11049459/" r:id="rId925"/>
    <hyperlink xmlns:r="http://schemas.openxmlformats.org/officeDocument/2006/relationships" ref="AB22" display="https://pmc.ncbi.nlm.nih.gov/articles/PMC11049459/" r:id="rId926"/>
    <hyperlink xmlns:r="http://schemas.openxmlformats.org/officeDocument/2006/relationships" ref="AC22" display="https://pmc.ncbi.nlm.nih.gov/articles/PMC7796401/" r:id="rId927"/>
    <hyperlink xmlns:r="http://schemas.openxmlformats.org/officeDocument/2006/relationships" ref="AD22" display="https://pmc.ncbi.nlm.nih.gov/articles/PMC7796401/" r:id="rId928"/>
    <hyperlink xmlns:r="http://schemas.openxmlformats.org/officeDocument/2006/relationships" ref="AE22" display="https://pmc.ncbi.nlm.nih.gov/articles/PMC7796401/" r:id="rId929"/>
    <hyperlink xmlns:r="http://schemas.openxmlformats.org/officeDocument/2006/relationships" ref="AF22" display="https://caffoff.com/products/traditional-decaf-matcha" r:id="rId930"/>
    <hyperlink xmlns:r="http://schemas.openxmlformats.org/officeDocument/2006/relationships" ref="AH22" display="https://pmc.ncbi.nlm.nih.gov/articles/PMC7796401/" r:id="rId931"/>
    <hyperlink xmlns:r="http://schemas.openxmlformats.org/officeDocument/2006/relationships" ref="AJ22" display="Unknown" r:id="rId932"/>
    <hyperlink xmlns:r="http://schemas.openxmlformats.org/officeDocument/2006/relationships" ref="AK22" display="https://www.gotmatcha.com/pages/matcha-nutritional-facts" r:id="rId933"/>
    <hyperlink xmlns:r="http://schemas.openxmlformats.org/officeDocument/2006/relationships" ref="AL22" display="https://www.gotmatcha.com/pages/matcha-nutritional-facts" r:id="rId934"/>
    <hyperlink xmlns:r="http://schemas.openxmlformats.org/officeDocument/2006/relationships" ref="AM22" display="https://www.gotmatcha.com/pages/matcha-nutritional-facts" r:id="rId935"/>
    <hyperlink xmlns:r="http://schemas.openxmlformats.org/officeDocument/2006/relationships" ref="AN22" display="https://www.gotmatcha.com/pages/matcha-nutritional-facts" r:id="rId936"/>
    <hyperlink xmlns:r="http://schemas.openxmlformats.org/officeDocument/2006/relationships" ref="AO22" display="https://www.gotmatcha.com/pages/matcha-nutritional-facts" r:id="rId937"/>
    <hyperlink xmlns:r="http://schemas.openxmlformats.org/officeDocument/2006/relationships" ref="AP22" display="Unknown" r:id="rId938"/>
    <hyperlink xmlns:r="http://schemas.openxmlformats.org/officeDocument/2006/relationships" ref="AQ22" display="https://www.gotmatcha.com/pages/matcha-nutritional-facts" r:id="rId939"/>
    <hyperlink xmlns:r="http://schemas.openxmlformats.org/officeDocument/2006/relationships" ref="AR22" display="https://www.gotmatcha.com/pages/matcha-nutritional-facts" r:id="rId940"/>
    <hyperlink xmlns:r="http://schemas.openxmlformats.org/officeDocument/2006/relationships" ref="AS22" display="Unknown" r:id="rId941"/>
    <hyperlink xmlns:r="http://schemas.openxmlformats.org/officeDocument/2006/relationships" ref="AT22" display="Unknown" r:id="rId942"/>
    <hyperlink xmlns:r="http://schemas.openxmlformats.org/officeDocument/2006/relationships" ref="AU22" display="Unknown" r:id="rId943"/>
    <hyperlink xmlns:r="http://schemas.openxmlformats.org/officeDocument/2006/relationships" ref="AV22" display="Unknown" r:id="rId944"/>
    <hyperlink xmlns:r="http://schemas.openxmlformats.org/officeDocument/2006/relationships" ref="AW22" display="Unknown" r:id="rId945"/>
    <hyperlink xmlns:r="http://schemas.openxmlformats.org/officeDocument/2006/relationships" ref="AX22" display="Unknown" r:id="rId946"/>
    <hyperlink xmlns:r="http://schemas.openxmlformats.org/officeDocument/2006/relationships" ref="AY22" display="Unknown" r:id="rId947"/>
    <hyperlink xmlns:r="http://schemas.openxmlformats.org/officeDocument/2006/relationships" ref="AZ22" display="https://pmc.ncbi.nlm.nih.gov/articles/PMC7796401/" r:id="rId948"/>
    <hyperlink xmlns:r="http://schemas.openxmlformats.org/officeDocument/2006/relationships" ref="BA22" display="https://caffoff.com/products/traditional-decaf-matcha" r:id="rId949"/>
    <hyperlink xmlns:r="http://schemas.openxmlformats.org/officeDocument/2006/relationships" ref="BB22" display="Unknown" r:id="rId950"/>
    <hyperlink xmlns:r="http://schemas.openxmlformats.org/officeDocument/2006/relationships" ref="BC22" display="https://pmc.ncbi.nlm.nih.gov/articles/PMC7796401/" r:id="rId951"/>
    <hyperlink xmlns:r="http://schemas.openxmlformats.org/officeDocument/2006/relationships" ref="BD22" display="https://caffoff.com/products/traditional-decaf-matcha" r:id="rId952"/>
    <hyperlink xmlns:r="http://schemas.openxmlformats.org/officeDocument/2006/relationships" ref="BE22" display="https://caffoff.com/products/traditional-decaf-matcha" r:id="rId953"/>
    <hyperlink xmlns:r="http://schemas.openxmlformats.org/officeDocument/2006/relationships" ref="BF22" display="Unknown" r:id="rId954"/>
    <hyperlink xmlns:r="http://schemas.openxmlformats.org/officeDocument/2006/relationships" ref="BG22" display="Unknown" r:id="rId955"/>
    <hyperlink xmlns:r="http://schemas.openxmlformats.org/officeDocument/2006/relationships" ref="BH22" display="Unknown" r:id="rId956"/>
    <hyperlink xmlns:r="http://schemas.openxmlformats.org/officeDocument/2006/relationships" ref="BI22" display="Unknown" r:id="rId957"/>
    <hyperlink xmlns:r="http://schemas.openxmlformats.org/officeDocument/2006/relationships" ref="BJ22" display="Unknown" r:id="rId958"/>
    <hyperlink xmlns:r="http://schemas.openxmlformats.org/officeDocument/2006/relationships" ref="BK22" display="https://caffoff.com/products/traditional-decaf-matcha" r:id="rId959"/>
    <hyperlink xmlns:r="http://schemas.openxmlformats.org/officeDocument/2006/relationships" ref="BL22" display="Unknown" r:id="rId960"/>
    <hyperlink xmlns:r="http://schemas.openxmlformats.org/officeDocument/2006/relationships" ref="BM22" display="Unknown" r:id="rId961"/>
    <hyperlink xmlns:r="http://schemas.openxmlformats.org/officeDocument/2006/relationships" ref="BN22" display="https://caffoff.com/products/traditional-decaf-matcha" r:id="rId962"/>
    <hyperlink xmlns:r="http://schemas.openxmlformats.org/officeDocument/2006/relationships" ref="BO22" display="https://caffoff.com/products/traditional-decaf-matcha" r:id="rId963"/>
    <hyperlink xmlns:r="http://schemas.openxmlformats.org/officeDocument/2006/relationships" ref="BP22" display="https://caffoff.com/products/traditional-decaf-matcha" r:id="rId964"/>
    <hyperlink xmlns:r="http://schemas.openxmlformats.org/officeDocument/2006/relationships" ref="BQ22" display="https://pubmed.ncbi.nlm.nih.gov/14579431/" r:id="rId965"/>
    <hyperlink xmlns:r="http://schemas.openxmlformats.org/officeDocument/2006/relationships" ref="BR22" display="https://caffoff.com/products/traditional-decaf-matcha" r:id="rId966"/>
    <hyperlink xmlns:r="http://schemas.openxmlformats.org/officeDocument/2006/relationships" ref="BS22" display="https://caffoff.com/products/traditional-decaf-matcha" r:id="rId967"/>
    <hyperlink xmlns:r="http://schemas.openxmlformats.org/officeDocument/2006/relationships" ref="BT22" display="https://caffoff.com/products/traditional-decaf-matcha" r:id="rId968"/>
    <hyperlink xmlns:r="http://schemas.openxmlformats.org/officeDocument/2006/relationships" ref="BU22" display="https://caffoff.com/products/traditional-decaf-matcha" r:id="rId969"/>
    <hyperlink xmlns:r="http://schemas.openxmlformats.org/officeDocument/2006/relationships" ref="BV22" display="Unknown" r:id="rId970"/>
    <hyperlink xmlns:r="http://schemas.openxmlformats.org/officeDocument/2006/relationships" ref="BW22" display="Unknown" r:id="rId971"/>
    <hyperlink xmlns:r="http://schemas.openxmlformats.org/officeDocument/2006/relationships" ref="BX22" display="Unknown" r:id="rId972"/>
    <hyperlink xmlns:r="http://schemas.openxmlformats.org/officeDocument/2006/relationships" ref="BY22" display="Unknown" r:id="rId973"/>
    <hyperlink xmlns:r="http://schemas.openxmlformats.org/officeDocument/2006/relationships" ref="BZ22" display="https://caffoff.com/products/traditional-decaf-matcha" r:id="rId974"/>
    <hyperlink xmlns:r="http://schemas.openxmlformats.org/officeDocument/2006/relationships" ref="CA22" display="https://caffoff.com/products/traditional-decaf-matcha" r:id="rId975"/>
    <hyperlink xmlns:r="http://schemas.openxmlformats.org/officeDocument/2006/relationships" ref="CB22" display="https://caffoff.com/products/traditional-decaf-matcha" r:id="rId976"/>
    <hyperlink xmlns:r="http://schemas.openxmlformats.org/officeDocument/2006/relationships" ref="CC22" display="Unknown" r:id="rId977"/>
    <hyperlink xmlns:r="http://schemas.openxmlformats.org/officeDocument/2006/relationships" ref="CD22" display="https://caffoff.com/products/traditional-decaf-matcha" r:id="rId978"/>
    <hyperlink xmlns:r="http://schemas.openxmlformats.org/officeDocument/2006/relationships" ref="CE22" display="Unknown" r:id="rId979"/>
    <hyperlink xmlns:r="http://schemas.openxmlformats.org/officeDocument/2006/relationships" ref="CF22" display="Unknown" r:id="rId980"/>
    <hyperlink xmlns:r="http://schemas.openxmlformats.org/officeDocument/2006/relationships" ref="CG22" display="https://caffoff.com/products/traditional-decaf-matcha" r:id="rId981"/>
    <hyperlink xmlns:r="http://schemas.openxmlformats.org/officeDocument/2006/relationships" ref="CH22" display="https://pmc.ncbi.nlm.nih.gov/articles/PMC7796401/" r:id="rId982"/>
    <hyperlink xmlns:r="http://schemas.openxmlformats.org/officeDocument/2006/relationships" ref="CI22" display="https://caffoff.com/products/traditional-decaf-matcha" r:id="rId983"/>
    <hyperlink xmlns:r="http://schemas.openxmlformats.org/officeDocument/2006/relationships" ref="CJ22" display="Unknown" r:id="rId984"/>
    <hyperlink xmlns:r="http://schemas.openxmlformats.org/officeDocument/2006/relationships" ref="CK22" display="https://caffoff.com/products/traditional-decaf-matcha" r:id="rId985"/>
    <hyperlink xmlns:r="http://schemas.openxmlformats.org/officeDocument/2006/relationships" ref="CL22" display="Unknown" r:id="rId986"/>
    <hyperlink xmlns:r="http://schemas.openxmlformats.org/officeDocument/2006/relationships" ref="CM22" display="https://caffoff.com/products/traditional-decaf-matcha" r:id="rId987"/>
    <hyperlink xmlns:r="http://schemas.openxmlformats.org/officeDocument/2006/relationships" ref="CN22" display="https://pubmed.ncbi.nlm.nih.gov/25675136/" r:id="rId988"/>
    <hyperlink xmlns:r="http://schemas.openxmlformats.org/officeDocument/2006/relationships" ref="CO22" display="https://caffoff.com/products/traditional-decaf-matcha" r:id="rId989"/>
    <hyperlink xmlns:r="http://schemas.openxmlformats.org/officeDocument/2006/relationships" ref="CP22" display="https://pubmed.ncbi.nlm.nih.gov/14579431/" r:id="rId990"/>
    <hyperlink xmlns:r="http://schemas.openxmlformats.org/officeDocument/2006/relationships" ref="CQ22" display="Unknown" r:id="rId991"/>
    <hyperlink xmlns:r="http://schemas.openxmlformats.org/officeDocument/2006/relationships" ref="CR22" display="https://caffoff.com/products/traditional-decaf-matcha" r:id="rId992"/>
    <hyperlink xmlns:r="http://schemas.openxmlformats.org/officeDocument/2006/relationships" ref="CS22" display="https://www.fda.gov/media/159745/download" r:id="rId993"/>
    <hyperlink xmlns:r="http://schemas.openxmlformats.org/officeDocument/2006/relationships" ref="CT22" display="https://www.fda.gov/media/159745/download" r:id="rId994"/>
    <hyperlink xmlns:r="http://schemas.openxmlformats.org/officeDocument/2006/relationships" ref="CU22" display="https://www.fda.gov/media/159745/download" r:id="rId995"/>
    <hyperlink xmlns:r="http://schemas.openxmlformats.org/officeDocument/2006/relationships" ref="CV22" display="https://www.fda.gov/media/159745/download" r:id="rId996"/>
    <hyperlink xmlns:r="http://schemas.openxmlformats.org/officeDocument/2006/relationships" ref="O23" display="https://lakewoodorganic.com/products/lakewood-organic-pure-pomegranate-juice-32-ounce-pack-of-6" r:id="rId997"/>
    <hyperlink xmlns:r="http://schemas.openxmlformats.org/officeDocument/2006/relationships" ref="P23" display="https://www.logixpathchef.com/app/food/getfoodnutrition?fdcid=167787" r:id="rId998"/>
    <hyperlink xmlns:r="http://schemas.openxmlformats.org/officeDocument/2006/relationships" ref="Q23" display="https://lakewoodorganic.com/products/lakewood-organic-pure-pomegranate-juice-32-ounce-pack-of-6" r:id="rId999"/>
    <hyperlink xmlns:r="http://schemas.openxmlformats.org/officeDocument/2006/relationships" ref="R23" display="https://lakewoodorganic.com/products/lakewood-organic-pure-pomegranate-juice-32-ounce-pack-of-6" r:id="rId1000"/>
    <hyperlink xmlns:r="http://schemas.openxmlformats.org/officeDocument/2006/relationships" ref="S23" display="https://lakewoodorganic.com/products/lakewood-organic-pure-pomegranate-juice-32-ounce-pack-of-6" r:id="rId1001"/>
    <hyperlink xmlns:r="http://schemas.openxmlformats.org/officeDocument/2006/relationships" ref="T23" display="https://lakewoodorganic.com/products/lakewood-organic-pure-pomegranate-juice-32-ounce-pack-of-6" r:id="rId1002"/>
    <hyperlink xmlns:r="http://schemas.openxmlformats.org/officeDocument/2006/relationships" ref="U23" display="https://www.logixpathchef.com/app/food/getfoodnutrition?fdcid=167787" r:id="rId1003"/>
    <hyperlink xmlns:r="http://schemas.openxmlformats.org/officeDocument/2006/relationships" ref="W23" display="https://www.logixpathchef.com/app/food/getfoodnutrition?fdcid=167787" r:id="rId1004"/>
    <hyperlink xmlns:r="http://schemas.openxmlformats.org/officeDocument/2006/relationships" ref="X23" display="https://www.logixpathchef.com/app/food/getfoodnutrition?fdcid=167787" r:id="rId1005"/>
    <hyperlink xmlns:r="http://schemas.openxmlformats.org/officeDocument/2006/relationships" ref="Y23" display="https://www.logixpathchef.com/app/food/getfoodnutrition?fdcid=167787" r:id="rId1006"/>
    <hyperlink xmlns:r="http://schemas.openxmlformats.org/officeDocument/2006/relationships" ref="Z23" display="https://www.logixpathchef.com/app/food/getfoodnutrition?fdcid=167787" r:id="rId1007"/>
    <hyperlink xmlns:r="http://schemas.openxmlformats.org/officeDocument/2006/relationships" ref="AA23" display="https://www.logixpathchef.com/app/food/getfoodnutrition?fdcid=167787" r:id="rId1008"/>
    <hyperlink xmlns:r="http://schemas.openxmlformats.org/officeDocument/2006/relationships" ref="AB23" display="https://www.logixpathchef.com/app/food/getfoodnutrition?fdcid=167787" r:id="rId1009"/>
    <hyperlink xmlns:r="http://schemas.openxmlformats.org/officeDocument/2006/relationships" ref="AC23" display="https://www.logixpathchef.com/app/food/getfoodnutrition?fdcid=167787" r:id="rId1010"/>
    <hyperlink xmlns:r="http://schemas.openxmlformats.org/officeDocument/2006/relationships" ref="AD23" display="https://lakewoodorganic.com/products/lakewood-organic-pure-pomegranate-juice-32-ounce-pack-of-6" r:id="rId1011"/>
    <hyperlink xmlns:r="http://schemas.openxmlformats.org/officeDocument/2006/relationships" ref="AE23" display="https://lakewoodorganic.com/products/lakewood-organic-pure-pomegranate-juice-32-ounce-pack-of-6" r:id="rId1012"/>
    <hyperlink xmlns:r="http://schemas.openxmlformats.org/officeDocument/2006/relationships" ref="AF23" display="https://lakewoodorganic.com/products/lakewood-organic-pure-pomegranate-juice-32-ounce-pack-of-6" r:id="rId1013"/>
    <hyperlink xmlns:r="http://schemas.openxmlformats.org/officeDocument/2006/relationships" ref="AH23" display="https://www.logixpathchef.com/app/food/getfoodnutrition?fdcid=167787" r:id="rId1014"/>
    <hyperlink xmlns:r="http://schemas.openxmlformats.org/officeDocument/2006/relationships" ref="AJ23" display="https://www.logixpathchef.com/app/food/getfoodnutrition?fdcid=167787" r:id="rId1015"/>
    <hyperlink xmlns:r="http://schemas.openxmlformats.org/officeDocument/2006/relationships" ref="AK23" display="https://www.logixpathchef.com/app/food/getfoodnutrition?fdcid=167787" r:id="rId1016"/>
    <hyperlink xmlns:r="http://schemas.openxmlformats.org/officeDocument/2006/relationships" ref="AL23" display="https://www.logixpathchef.com/app/food/getfoodnutrition?fdcid=167787" r:id="rId1017"/>
    <hyperlink xmlns:r="http://schemas.openxmlformats.org/officeDocument/2006/relationships" ref="AM23" display="https://www.logixpathchef.com/app/food/getfoodnutrition?fdcid=167787" r:id="rId1018"/>
    <hyperlink xmlns:r="http://schemas.openxmlformats.org/officeDocument/2006/relationships" ref="AN23" display="https://www.logixpathchef.com/app/food/getfoodnutrition?fdcid=167787" r:id="rId1019"/>
    <hyperlink xmlns:r="http://schemas.openxmlformats.org/officeDocument/2006/relationships" ref="AO23" display="https://www.logixpathchef.com/app/food/getfoodnutrition?fdcid=167787" r:id="rId1020"/>
    <hyperlink xmlns:r="http://schemas.openxmlformats.org/officeDocument/2006/relationships" ref="AP23" display="Unknown" r:id="rId1021"/>
    <hyperlink xmlns:r="http://schemas.openxmlformats.org/officeDocument/2006/relationships" ref="AQ23" display="https://www.logixpathchef.com/app/food/getfoodnutrition?fdcid=167787" r:id="rId1022"/>
    <hyperlink xmlns:r="http://schemas.openxmlformats.org/officeDocument/2006/relationships" ref="AR23" display="https://www.logixpathchef.com/app/food/getfoodnutrition?fdcid=167787" r:id="rId1023"/>
    <hyperlink xmlns:r="http://schemas.openxmlformats.org/officeDocument/2006/relationships" ref="AS23" display="https://www.logixpathchef.com/app/food/getfoodnutrition?fdcid=167787" r:id="rId1024"/>
    <hyperlink xmlns:r="http://schemas.openxmlformats.org/officeDocument/2006/relationships" ref="AT23" display="https://www.logixpathchef.com/app/food/getfoodnutrition?fdcid=167787" r:id="rId1025"/>
    <hyperlink xmlns:r="http://schemas.openxmlformats.org/officeDocument/2006/relationships" ref="AU23" display="https://www.logixpathchef.com/app/food/getfoodnutrition?fdcid=167787" r:id="rId1026"/>
    <hyperlink xmlns:r="http://schemas.openxmlformats.org/officeDocument/2006/relationships" ref="AV23" display="Unknown" r:id="rId1027"/>
    <hyperlink xmlns:r="http://schemas.openxmlformats.org/officeDocument/2006/relationships" ref="AW23" display="Unknown" r:id="rId1028"/>
    <hyperlink xmlns:r="http://schemas.openxmlformats.org/officeDocument/2006/relationships" ref="AX23" display="Unknown" r:id="rId1029"/>
    <hyperlink xmlns:r="http://schemas.openxmlformats.org/officeDocument/2006/relationships" ref="AY23" display="https://www.logixpathchef.com/app/food/getfoodnutrition?fdcid=167787" r:id="rId1030"/>
    <hyperlink xmlns:r="http://schemas.openxmlformats.org/officeDocument/2006/relationships" ref="AZ23" display="https://www.logixpathchef.com/app/food/getfoodnutrition?fdcid=167787" r:id="rId1031"/>
    <hyperlink xmlns:r="http://schemas.openxmlformats.org/officeDocument/2006/relationships" ref="BA23" display="https://www.logixpathchef.com/app/food/getfoodnutrition?fdcid=167787" r:id="rId1032"/>
    <hyperlink xmlns:r="http://schemas.openxmlformats.org/officeDocument/2006/relationships" ref="BB23" display="https://www.logixpathchef.com/app/food/getfoodnutrition?fdcid=167787" r:id="rId1033"/>
    <hyperlink xmlns:r="http://schemas.openxmlformats.org/officeDocument/2006/relationships" ref="BC23" display="https://www.logixpathchef.com/app/food/getfoodnutrition?fdcid=167787" r:id="rId1034"/>
    <hyperlink xmlns:r="http://schemas.openxmlformats.org/officeDocument/2006/relationships" ref="BD23" display="https://www.logixpathchef.com/app/food/getfoodnutrition?fdcid=167787" r:id="rId1035"/>
    <hyperlink xmlns:r="http://schemas.openxmlformats.org/officeDocument/2006/relationships" ref="BE23" display="https://www.logixpathchef.com/app/food/getfoodnutrition?fdcid=167787" r:id="rId1036"/>
    <hyperlink xmlns:r="http://schemas.openxmlformats.org/officeDocument/2006/relationships" ref="BF23" display="https://www.logixpathchef.com/app/food/getfoodnutrition?fdcid=167787" r:id="rId1037"/>
    <hyperlink xmlns:r="http://schemas.openxmlformats.org/officeDocument/2006/relationships" ref="BG23" display="https://www.logixpathchef.com/app/food/getfoodnutrition?fdcid=167787" r:id="rId1038"/>
    <hyperlink xmlns:r="http://schemas.openxmlformats.org/officeDocument/2006/relationships" ref="BH23" display="https://www.logixpathchef.com/app/food/getfoodnutrition?fdcid=167787" r:id="rId1039"/>
    <hyperlink xmlns:r="http://schemas.openxmlformats.org/officeDocument/2006/relationships" ref="BI23" display="https://www.logixpathchef.com/app/food/getfoodnutrition?fdcid=167787" r:id="rId1040"/>
    <hyperlink xmlns:r="http://schemas.openxmlformats.org/officeDocument/2006/relationships" ref="BJ23" display="https://www.logixpathchef.com/app/food/getfoodnutrition?fdcid=167787" r:id="rId1041"/>
    <hyperlink xmlns:r="http://schemas.openxmlformats.org/officeDocument/2006/relationships" ref="BK23" display="https://www.logixpathchef.com/app/food/getfoodnutrition?fdcid=167787" r:id="rId1042"/>
    <hyperlink xmlns:r="http://schemas.openxmlformats.org/officeDocument/2006/relationships" ref="BL23" display="Unknown" r:id="rId1043"/>
    <hyperlink xmlns:r="http://schemas.openxmlformats.org/officeDocument/2006/relationships" ref="BM23" display="https://www.logixpathchef.com/app/food/getfoodnutrition?fdcid=167787" r:id="rId1044"/>
    <hyperlink xmlns:r="http://schemas.openxmlformats.org/officeDocument/2006/relationships" ref="BN23" display="https://www.logixpathchef.com/app/food/getfoodnutrition?fdcid=167787" r:id="rId1045"/>
    <hyperlink xmlns:r="http://schemas.openxmlformats.org/officeDocument/2006/relationships" ref="BO23" display="https://www.logixpathchef.com/app/food/getfoodnutrition?fdcid=167787" r:id="rId1046"/>
    <hyperlink xmlns:r="http://schemas.openxmlformats.org/officeDocument/2006/relationships" ref="BP23" display="https://www.ars.usda.gov/ARSUserFiles/80400535/Data/Flav/Flav3.3.pdf" r:id="rId1047"/>
    <hyperlink xmlns:r="http://schemas.openxmlformats.org/officeDocument/2006/relationships" ref="BQ23" display="https://lakewoodorganic.com/products/lakewood-organic-pure-pomegranate-juice-32-ounce-pack-of-6" r:id="rId1048"/>
    <hyperlink xmlns:r="http://schemas.openxmlformats.org/officeDocument/2006/relationships" ref="BR23" display="https://lakewoodorganic.com/products/lakewood-organic-pure-pomegranate-juice-32-ounce-pack-of-6" r:id="rId1049"/>
    <hyperlink xmlns:r="http://schemas.openxmlformats.org/officeDocument/2006/relationships" ref="BS23" display="http://phenol-explorer.eu/reports/39" r:id="rId1050"/>
    <hyperlink xmlns:r="http://schemas.openxmlformats.org/officeDocument/2006/relationships" ref="BT23" display="https://www.ars.usda.gov/ARSUserFiles/80400535/Data/PA/PA02-1.pdf" r:id="rId1051"/>
    <hyperlink xmlns:r="http://schemas.openxmlformats.org/officeDocument/2006/relationships" ref="BU23" display="https://lakewoodorganic.com/products/lakewood-organic-pure-pomegranate-juice-32-ounce-pack-of-6" r:id="rId1052"/>
    <hyperlink xmlns:r="http://schemas.openxmlformats.org/officeDocument/2006/relationships" ref="BV23" display="https://www.ars.usda.gov/ARSUserFiles/80400535/Data/Flav/Flav3.3.pdf" r:id="rId1053"/>
    <hyperlink xmlns:r="http://schemas.openxmlformats.org/officeDocument/2006/relationships" ref="BW23" display="https://pmc.ncbi.nlm.nih.gov/articles/PMC6429205/" r:id="rId1054"/>
    <hyperlink xmlns:r="http://schemas.openxmlformats.org/officeDocument/2006/relationships" ref="BX23" display="Unknown" r:id="rId1055"/>
    <hyperlink xmlns:r="http://schemas.openxmlformats.org/officeDocument/2006/relationships" ref="BY23" display="Unknown" r:id="rId1056"/>
    <hyperlink xmlns:r="http://schemas.openxmlformats.org/officeDocument/2006/relationships" ref="BZ23" display="https://www.logixpathchef.com/app/food/getfoodnutrition?fdcid=167787" r:id="rId1057"/>
    <hyperlink xmlns:r="http://schemas.openxmlformats.org/officeDocument/2006/relationships" ref="CA23" display="https://www.logixpathchef.com/app/food/getfoodnutrition?fdcid=167787" r:id="rId1058"/>
    <hyperlink xmlns:r="http://schemas.openxmlformats.org/officeDocument/2006/relationships" ref="CB23" display="https://www.logixpathchef.com/app/food/getfoodnutrition?fdcid=167787" r:id="rId1059"/>
    <hyperlink xmlns:r="http://schemas.openxmlformats.org/officeDocument/2006/relationships" ref="CC23" display="Unknown" r:id="rId1060"/>
    <hyperlink xmlns:r="http://schemas.openxmlformats.org/officeDocument/2006/relationships" ref="CD23" display="https://www.logixpathchef.com/app/food/getfoodnutrition?fdcid=167787" r:id="rId1061"/>
    <hyperlink xmlns:r="http://schemas.openxmlformats.org/officeDocument/2006/relationships" ref="CE23" display="Unknown" r:id="rId1062"/>
    <hyperlink xmlns:r="http://schemas.openxmlformats.org/officeDocument/2006/relationships" ref="CF23" display="Unknown" r:id="rId1063"/>
    <hyperlink xmlns:r="http://schemas.openxmlformats.org/officeDocument/2006/relationships" ref="CG23" display="https://lakewoodorganic.com/products/lakewood-organic-pure-pomegranate-juice-32-ounce-pack-of-6" r:id="rId1064"/>
    <hyperlink xmlns:r="http://schemas.openxmlformats.org/officeDocument/2006/relationships" ref="CH23" display="https://www.logixpathchef.com/app/food/getfoodnutrition?fdcid=167787" r:id="rId1065"/>
    <hyperlink xmlns:r="http://schemas.openxmlformats.org/officeDocument/2006/relationships" ref="CI23" display="https://lakewoodorganic.com/products/lakewood-organic-pure-pomegranate-juice-32-ounce-pack-of-6" r:id="rId1066"/>
    <hyperlink xmlns:r="http://schemas.openxmlformats.org/officeDocument/2006/relationships" ref="CJ23" display="Unknown" r:id="rId1067"/>
    <hyperlink xmlns:r="http://schemas.openxmlformats.org/officeDocument/2006/relationships" ref="CK23" display="https://lakewoodorganic.com/products/lakewood-organic-pure-pomegranate-juice-32-ounce-pack-of-6" r:id="rId1068"/>
    <hyperlink xmlns:r="http://schemas.openxmlformats.org/officeDocument/2006/relationships" ref="CL23" display="Unknown" r:id="rId1069"/>
    <hyperlink xmlns:r="http://schemas.openxmlformats.org/officeDocument/2006/relationships" ref="CM23" display="https://lakewoodorganic.com/products/lakewood-organic-pure-pomegranate-juice-32-ounce-pack-of-6" r:id="rId1070"/>
    <hyperlink xmlns:r="http://schemas.openxmlformats.org/officeDocument/2006/relationships" ref="CN23" display="https://www.logixpathchef.com/app/food/getfoodnutrition?fdcid=167787" r:id="rId1071"/>
    <hyperlink xmlns:r="http://schemas.openxmlformats.org/officeDocument/2006/relationships" ref="CO23" display="https://lakewoodorganic.com/products/lakewood-organic-pure-pomegranate-juice-32-ounce-pack-of-6" r:id="rId1072"/>
    <hyperlink xmlns:r="http://schemas.openxmlformats.org/officeDocument/2006/relationships" ref="CP23" display="https://lakewoodorganic.com/products/lakewood-organic-pure-pomegranate-juice-32-ounce-pack-of-6" r:id="rId1073"/>
    <hyperlink xmlns:r="http://schemas.openxmlformats.org/officeDocument/2006/relationships" ref="CQ23" display="Unknown" r:id="rId1074"/>
    <hyperlink xmlns:r="http://schemas.openxmlformats.org/officeDocument/2006/relationships" ref="CR23" display="https://lakewoodorganic.com/products/lakewood-organic-pure-pomegranate-juice-32-ounce-pack-of-6" r:id="rId1075"/>
    <hyperlink xmlns:r="http://schemas.openxmlformats.org/officeDocument/2006/relationships" ref="CS23" display="https://www.fda.gov/media/159745/download" r:id="rId1076"/>
    <hyperlink xmlns:r="http://schemas.openxmlformats.org/officeDocument/2006/relationships" ref="CT23" display="https://www.fda.gov/media/159745/download" r:id="rId1077"/>
    <hyperlink xmlns:r="http://schemas.openxmlformats.org/officeDocument/2006/relationships" ref="CU23" display="https://www.fda.gov/media/159745/download" r:id="rId1078"/>
    <hyperlink xmlns:r="http://schemas.openxmlformats.org/officeDocument/2006/relationships" ref="CV23" display="https://www.fda.gov/media/159745/download" r:id="rId1079"/>
    <hyperlink xmlns:r="http://schemas.openxmlformats.org/officeDocument/2006/relationships" ref="O24" display="https://www.logixpathchef.com/app/food/getfoodnutrition?fdcid=171413" r:id="rId1080"/>
    <hyperlink xmlns:r="http://schemas.openxmlformats.org/officeDocument/2006/relationships" ref="P24" display="https://www.logixpathchef.com/app/food/getfoodnutrition?fdcid=171413" r:id="rId1081"/>
    <hyperlink xmlns:r="http://schemas.openxmlformats.org/officeDocument/2006/relationships" ref="Q24" display="https://www.logixpathchef.com/app/food/getfoodnutrition?fdcid=171413" r:id="rId1082"/>
    <hyperlink xmlns:r="http://schemas.openxmlformats.org/officeDocument/2006/relationships" ref="R24" display="https://www.logixpathchef.com/app/food/getfoodnutrition?fdcid=171413" r:id="rId1083"/>
    <hyperlink xmlns:r="http://schemas.openxmlformats.org/officeDocument/2006/relationships" ref="S24" display="https://www.logixpathchef.com/app/food/getfoodnutrition?fdcid=171413" r:id="rId1084"/>
    <hyperlink xmlns:r="http://schemas.openxmlformats.org/officeDocument/2006/relationships" ref="T24" display="https://www.logixpathchef.com/app/food/getfoodnutrition?fdcid=171413" r:id="rId1085"/>
    <hyperlink xmlns:r="http://schemas.openxmlformats.org/officeDocument/2006/relationships" ref="U24" display="https://www.logixpathchef.com/app/food/getfoodnutrition?fdcid=171413" r:id="rId1086"/>
    <hyperlink xmlns:r="http://schemas.openxmlformats.org/officeDocument/2006/relationships" ref="W24" display="https://www.logixpathchef.com/app/food/getfoodnutrition?fdcid=171413" r:id="rId1087"/>
    <hyperlink xmlns:r="http://schemas.openxmlformats.org/officeDocument/2006/relationships" ref="X24" display="https://www.logixpathchef.com/app/food/getfoodnutrition?fdcid=171413" r:id="rId1088"/>
    <hyperlink xmlns:r="http://schemas.openxmlformats.org/officeDocument/2006/relationships" ref="Y24" display="https://www.logixpathchef.com/app/food/getfoodnutrition?fdcid=171413" r:id="rId1089"/>
    <hyperlink xmlns:r="http://schemas.openxmlformats.org/officeDocument/2006/relationships" ref="Z24" display="https://www.logixpathchef.com/app/food/getfoodnutrition?fdcid=171413" r:id="rId1090"/>
    <hyperlink xmlns:r="http://schemas.openxmlformats.org/officeDocument/2006/relationships" ref="AA24" display="https://www.logixpathchef.com/app/food/getfoodnutrition?fdcid=171413" r:id="rId1091"/>
    <hyperlink xmlns:r="http://schemas.openxmlformats.org/officeDocument/2006/relationships" ref="AB24" display="https://www.logixpathchef.com/app/food/getfoodnutrition?fdcid=171413" r:id="rId1092"/>
    <hyperlink xmlns:r="http://schemas.openxmlformats.org/officeDocument/2006/relationships" ref="AC24" display="https://www.logixpathchef.com/app/food/getfoodnutrition?fdcid=171413" r:id="rId1093"/>
    <hyperlink xmlns:r="http://schemas.openxmlformats.org/officeDocument/2006/relationships" ref="AD24" display="https://www.logixpathchef.com/app/food/getfoodnutrition?fdcid=171413" r:id="rId1094"/>
    <hyperlink xmlns:r="http://schemas.openxmlformats.org/officeDocument/2006/relationships" ref="AE24" display="https://www.logixpathchef.com/app/food/getfoodnutrition?fdcid=171413" r:id="rId1095"/>
    <hyperlink xmlns:r="http://schemas.openxmlformats.org/officeDocument/2006/relationships" ref="AF24" display="https://www.logixpathchef.com/app/food/getfoodnutrition?fdcid=171413" r:id="rId1096"/>
    <hyperlink xmlns:r="http://schemas.openxmlformats.org/officeDocument/2006/relationships" ref="AH24" display="https://www.logixpathchef.com/app/food/getfoodnutrition?fdcid=171413" r:id="rId1097"/>
    <hyperlink xmlns:r="http://schemas.openxmlformats.org/officeDocument/2006/relationships" ref="AJ24" display="https://www.logixpathchef.com/app/food/getfoodnutrition?fdcid=171413" r:id="rId1098"/>
    <hyperlink xmlns:r="http://schemas.openxmlformats.org/officeDocument/2006/relationships" ref="AK24" display="https://www.logixpathchef.com/app/food/getfoodnutrition?fdcid=171413" r:id="rId1099"/>
    <hyperlink xmlns:r="http://schemas.openxmlformats.org/officeDocument/2006/relationships" ref="AL24" display="https://www.logixpathchef.com/app/food/getfoodnutrition?fdcid=171413" r:id="rId1100"/>
    <hyperlink xmlns:r="http://schemas.openxmlformats.org/officeDocument/2006/relationships" ref="AM24" display="https://www.logixpathchef.com/app/food/getfoodnutrition?fdcid=171413" r:id="rId1101"/>
    <hyperlink xmlns:r="http://schemas.openxmlformats.org/officeDocument/2006/relationships" ref="AN24" display="https://www.logixpathchef.com/app/food/getfoodnutrition?fdcid=171413" r:id="rId1102"/>
    <hyperlink xmlns:r="http://schemas.openxmlformats.org/officeDocument/2006/relationships" ref="AO24" display="https://www.logixpathchef.com/app/food/getfoodnutrition?fdcid=171413" r:id="rId1103"/>
    <hyperlink xmlns:r="http://schemas.openxmlformats.org/officeDocument/2006/relationships" ref="AP24" display="Unknown" r:id="rId1104"/>
    <hyperlink xmlns:r="http://schemas.openxmlformats.org/officeDocument/2006/relationships" ref="AQ24" display="https://www.logixpathchef.com/app/food/getfoodnutrition?fdcid=171413" r:id="rId1105"/>
    <hyperlink xmlns:r="http://schemas.openxmlformats.org/officeDocument/2006/relationships" ref="AR24" display="https://www.logixpathchef.com/app/food/getfoodnutrition?fdcid=171413" r:id="rId1106"/>
    <hyperlink xmlns:r="http://schemas.openxmlformats.org/officeDocument/2006/relationships" ref="AS24" display="https://www.logixpathchef.com/app/food/getfoodnutrition?fdcid=171413" r:id="rId1107"/>
    <hyperlink xmlns:r="http://schemas.openxmlformats.org/officeDocument/2006/relationships" ref="AT24" display="https://www.logixpathchef.com/app/food/getfoodnutrition?fdcid=171413" r:id="rId1108"/>
    <hyperlink xmlns:r="http://schemas.openxmlformats.org/officeDocument/2006/relationships" ref="AU24" display="https://www.logixpathchef.com/app/food/getfoodnutrition?fdcid=171413" r:id="rId1109"/>
    <hyperlink xmlns:r="http://schemas.openxmlformats.org/officeDocument/2006/relationships" ref="AV24" display="Unknown" r:id="rId1110"/>
    <hyperlink xmlns:r="http://schemas.openxmlformats.org/officeDocument/2006/relationships" ref="AW24" display="https://www.ars.usda.gov/ARSUserFiles/80400535/DATA/IODINE/IODINE_DATABASE_PDFVersion_2020.PDF" r:id="rId1111"/>
    <hyperlink xmlns:r="http://schemas.openxmlformats.org/officeDocument/2006/relationships" ref="AX24" display="Unknown" r:id="rId1112"/>
    <hyperlink xmlns:r="http://schemas.openxmlformats.org/officeDocument/2006/relationships" ref="AY24" display="https://www.logixpathchef.com/app/food/getfoodnutrition?fdcid=171413" r:id="rId1113"/>
    <hyperlink xmlns:r="http://schemas.openxmlformats.org/officeDocument/2006/relationships" ref="AZ24" display="https://www.logixpathchef.com/app/food/getfoodnutrition?fdcid=171413" r:id="rId1114"/>
    <hyperlink xmlns:r="http://schemas.openxmlformats.org/officeDocument/2006/relationships" ref="BA24" display="https://www.logixpathchef.com/app/food/getfoodnutrition?fdcid=171413" r:id="rId1115"/>
    <hyperlink xmlns:r="http://schemas.openxmlformats.org/officeDocument/2006/relationships" ref="BB24" display="https://www.logixpathchef.com/app/food/getfoodnutrition?fdcid=171413" r:id="rId1116"/>
    <hyperlink xmlns:r="http://schemas.openxmlformats.org/officeDocument/2006/relationships" ref="BC24" display="https://www.logixpathchef.com/app/food/getfoodnutrition?fdcid=171413" r:id="rId1117"/>
    <hyperlink xmlns:r="http://schemas.openxmlformats.org/officeDocument/2006/relationships" ref="BD24" display="https://www.logixpathchef.com/app/food/getfoodnutrition?fdcid=171413" r:id="rId1118"/>
    <hyperlink xmlns:r="http://schemas.openxmlformats.org/officeDocument/2006/relationships" ref="BE24" display="https://www.logixpathchef.com/app/food/getfoodnutrition?fdcid=171413" r:id="rId1119"/>
    <hyperlink xmlns:r="http://schemas.openxmlformats.org/officeDocument/2006/relationships" ref="BF24" display="https://www.logixpathchef.com/app/food/getfoodnutrition?fdcid=171413" r:id="rId1120"/>
    <hyperlink xmlns:r="http://schemas.openxmlformats.org/officeDocument/2006/relationships" ref="BG24" display="https://www.logixpathchef.com/app/food/getfoodnutrition?fdcid=171413" r:id="rId1121"/>
    <hyperlink xmlns:r="http://schemas.openxmlformats.org/officeDocument/2006/relationships" ref="BH24" display="https://www.logixpathchef.com/app/food/getfoodnutrition?fdcid=171413" r:id="rId1122"/>
    <hyperlink xmlns:r="http://schemas.openxmlformats.org/officeDocument/2006/relationships" ref="BI24" display="https://www.logixpathchef.com/app/food/getfoodnutrition?fdcid=171413" r:id="rId1123"/>
    <hyperlink xmlns:r="http://schemas.openxmlformats.org/officeDocument/2006/relationships" ref="BJ24" display="https://www.logixpathchef.com/app/food/getfoodnutrition?fdcid=171413" r:id="rId1124"/>
    <hyperlink xmlns:r="http://schemas.openxmlformats.org/officeDocument/2006/relationships" ref="BK24" display="https://www.logixpathchef.com/app/food/getfoodnutrition?fdcid=171413" r:id="rId1125"/>
    <hyperlink xmlns:r="http://schemas.openxmlformats.org/officeDocument/2006/relationships" ref="BL24" display="Unknown" r:id="rId1126"/>
    <hyperlink xmlns:r="http://schemas.openxmlformats.org/officeDocument/2006/relationships" ref="BM24" display="https://www.logixpathchef.com/app/food/getfoodnutrition?fdcid=171413" r:id="rId1127"/>
    <hyperlink xmlns:r="http://schemas.openxmlformats.org/officeDocument/2006/relationships" ref="BN24" display="https://www.logixpathchef.com/app/food/getfoodnutrition?fdcid=171413" r:id="rId1128"/>
    <hyperlink xmlns:r="http://schemas.openxmlformats.org/officeDocument/2006/relationships" ref="BO24" display="https://www.logixpathchef.com/app/food/getfoodnutrition?fdcid=171413" r:id="rId1129"/>
    <hyperlink xmlns:r="http://schemas.openxmlformats.org/officeDocument/2006/relationships" ref="BP24" display="https://www.logixpathchef.com/app/food/getfoodnutrition?fdcid=171413" r:id="rId1130"/>
    <hyperlink xmlns:r="http://schemas.openxmlformats.org/officeDocument/2006/relationships" ref="BQ24" display="https://www.logixpathchef.com/app/food/getfoodnutrition?fdcid=171413" r:id="rId1131"/>
    <hyperlink xmlns:r="http://schemas.openxmlformats.org/officeDocument/2006/relationships" ref="BR24" display="https://www.logixpathchef.com/app/food/getfoodnutrition?fdcid=171413" r:id="rId1132"/>
    <hyperlink xmlns:r="http://schemas.openxmlformats.org/officeDocument/2006/relationships" ref="BS24" display="https://www.logixpathchef.com/app/food/getfoodnutrition?fdcid=171413" r:id="rId1133"/>
    <hyperlink xmlns:r="http://schemas.openxmlformats.org/officeDocument/2006/relationships" ref="BT24" display="https://www.logixpathchef.com/app/food/getfoodnutrition?fdcid=171413" r:id="rId1134"/>
    <hyperlink xmlns:r="http://schemas.openxmlformats.org/officeDocument/2006/relationships" ref="BU24" display="https://www.wholefoodsmarket.com/product/molon-lave-organic-extra-virgin-olive-oil-b09mqy45j3" r:id="rId1135"/>
    <hyperlink xmlns:r="http://schemas.openxmlformats.org/officeDocument/2006/relationships" ref="BV24" display="Unknown" r:id="rId1136"/>
    <hyperlink xmlns:r="http://schemas.openxmlformats.org/officeDocument/2006/relationships" ref="BW24" display="https://pmc.ncbi.nlm.nih.gov/articles/PMC6429205/" r:id="rId1137"/>
    <hyperlink xmlns:r="http://schemas.openxmlformats.org/officeDocument/2006/relationships" ref="BX24" display="Unknown" r:id="rId1138"/>
    <hyperlink xmlns:r="http://schemas.openxmlformats.org/officeDocument/2006/relationships" ref="BY24" display="Unknown" r:id="rId1139"/>
    <hyperlink xmlns:r="http://schemas.openxmlformats.org/officeDocument/2006/relationships" ref="BZ24" display="https://www.logixpathchef.com/app/food/getfoodnutrition?fdcid=171413" r:id="rId1140"/>
    <hyperlink xmlns:r="http://schemas.openxmlformats.org/officeDocument/2006/relationships" ref="CA24" display="https://www.logixpathchef.com/app/food/getfoodnutrition?fdcid=171413" r:id="rId1141"/>
    <hyperlink xmlns:r="http://schemas.openxmlformats.org/officeDocument/2006/relationships" ref="CB24" display="https://www.logixpathchef.com/app/food/getfoodnutrition?fdcid=171413" r:id="rId1142"/>
    <hyperlink xmlns:r="http://schemas.openxmlformats.org/officeDocument/2006/relationships" ref="CC24" display="https://www.logixpathchef.com/app/food/getfoodnutrition?fdcid=171413" r:id="rId1143"/>
    <hyperlink xmlns:r="http://schemas.openxmlformats.org/officeDocument/2006/relationships" ref="CD24" display="https://www.logixpathchef.com/app/food/getfoodnutrition?fdcid=171413" r:id="rId1144"/>
    <hyperlink xmlns:r="http://schemas.openxmlformats.org/officeDocument/2006/relationships" ref="CE24" display="Unknown" r:id="rId1145"/>
    <hyperlink xmlns:r="http://schemas.openxmlformats.org/officeDocument/2006/relationships" ref="CF24" display="https://www.logixpathchef.com/app/food/getfoodnutrition?fdcid=171413" r:id="rId1146"/>
    <hyperlink xmlns:r="http://schemas.openxmlformats.org/officeDocument/2006/relationships" ref="CG24" display="https://www.logixpathchef.com/app/food/getfoodnutrition?fdcid=171413" r:id="rId1147"/>
    <hyperlink xmlns:r="http://schemas.openxmlformats.org/officeDocument/2006/relationships" ref="CH24" display="https://www.logixpathchef.com/app/food/getfoodnutrition?fdcid=171413" r:id="rId1148"/>
    <hyperlink xmlns:r="http://schemas.openxmlformats.org/officeDocument/2006/relationships" ref="CI24" display="https://www.logixpathchef.com/app/food/getfoodnutrition?fdcid=171413" r:id="rId1149"/>
    <hyperlink xmlns:r="http://schemas.openxmlformats.org/officeDocument/2006/relationships" ref="CJ24" display="https://superfoodly.com/coq10-foods-the-50-highest-natural-dietary-sources/" r:id="rId1150"/>
    <hyperlink xmlns:r="http://schemas.openxmlformats.org/officeDocument/2006/relationships" ref="CK24" display="https://www.logixpathchef.com/app/food/getfoodnutrition?fdcid=171413" r:id="rId1151"/>
    <hyperlink xmlns:r="http://schemas.openxmlformats.org/officeDocument/2006/relationships" ref="CL24" display="Unknown" r:id="rId1152"/>
    <hyperlink xmlns:r="http://schemas.openxmlformats.org/officeDocument/2006/relationships" ref="CM24" display="https://www.logixpathchef.com/app/food/getfoodnutrition?fdcid=171413" r:id="rId1153"/>
    <hyperlink xmlns:r="http://schemas.openxmlformats.org/officeDocument/2006/relationships" ref="CN24" display="https://www.logixpathchef.com/app/food/getfoodnutrition?fdcid=171413" r:id="rId1154"/>
    <hyperlink xmlns:r="http://schemas.openxmlformats.org/officeDocument/2006/relationships" ref="CO24" display="https://www.logixpathchef.com/app/food/getfoodnutrition?fdcid=171413" r:id="rId1155"/>
    <hyperlink xmlns:r="http://schemas.openxmlformats.org/officeDocument/2006/relationships" ref="CP24" display="https://www.logixpathchef.com/app/food/getfoodnutrition?fdcid=171413" r:id="rId1156"/>
    <hyperlink xmlns:r="http://schemas.openxmlformats.org/officeDocument/2006/relationships" ref="CQ24" display="https://fdc.nal.usda.gov/fdc-datasets/FoodData_Central_sr_legacy_food_csv_2018-04.zip" r:id="rId1157"/>
    <hyperlink xmlns:r="http://schemas.openxmlformats.org/officeDocument/2006/relationships" ref="CR24" display="https://www.logixpathchef.com/app/food/getfoodnutrition?fdcid=171413" r:id="rId1158"/>
    <hyperlink xmlns:r="http://schemas.openxmlformats.org/officeDocument/2006/relationships" ref="CS24" display="https://www.fda.gov/media/159745/download" r:id="rId1159"/>
    <hyperlink xmlns:r="http://schemas.openxmlformats.org/officeDocument/2006/relationships" ref="CT24" display="https://www.fda.gov/media/159745/download" r:id="rId1160"/>
    <hyperlink xmlns:r="http://schemas.openxmlformats.org/officeDocument/2006/relationships" ref="CU24" display="https://www.fda.gov/media/159745/download" r:id="rId1161"/>
    <hyperlink xmlns:r="http://schemas.openxmlformats.org/officeDocument/2006/relationships" ref="CV24" display="https://www.fda.gov/media/159745/download" r:id="rId1162"/>
    <hyperlink xmlns:r="http://schemas.openxmlformats.org/officeDocument/2006/relationships" ref="O25" display="https://lekithos.com/products/organic-deoiled-sunflower-lecithin-powder" r:id="rId1163"/>
    <hyperlink xmlns:r="http://schemas.openxmlformats.org/officeDocument/2006/relationships" ref="P25" display="https://lekithos.com/products/organic-deoiled-sunflower-lecithin-powder" r:id="rId1164"/>
    <hyperlink xmlns:r="http://schemas.openxmlformats.org/officeDocument/2006/relationships" ref="Q25" display="https://lekithos.com/products/organic-deoiled-sunflower-lecithin-powder" r:id="rId1165"/>
    <hyperlink xmlns:r="http://schemas.openxmlformats.org/officeDocument/2006/relationships" ref="R25" display="https://lekithos.com/products/organic-deoiled-sunflower-lecithin-powder" r:id="rId1166"/>
    <hyperlink xmlns:r="http://schemas.openxmlformats.org/officeDocument/2006/relationships" ref="S25" display="https://lekithos.com/products/organic-deoiled-sunflower-lecithin-powder" r:id="rId1167"/>
    <hyperlink xmlns:r="http://schemas.openxmlformats.org/officeDocument/2006/relationships" ref="T25" display="https://lekithos.com/products/organic-deoiled-sunflower-lecithin-powder" r:id="rId1168"/>
    <hyperlink xmlns:r="http://schemas.openxmlformats.org/officeDocument/2006/relationships" ref="U25" display="https://lekithos.com/products/organic-deoiled-sunflower-lecithin-powder" r:id="rId1169"/>
    <hyperlink xmlns:r="http://schemas.openxmlformats.org/officeDocument/2006/relationships" ref="W25" display="https://lekithos.com/products/organic-deoiled-sunflower-lecithin-powder" r:id="rId1170"/>
    <hyperlink xmlns:r="http://schemas.openxmlformats.org/officeDocument/2006/relationships" ref="X25" display="https://www.logixpathchef.com/app/food/getfoodnutrition?fdcid=171015" r:id="rId1171"/>
    <hyperlink xmlns:r="http://schemas.openxmlformats.org/officeDocument/2006/relationships" ref="Y25" display="https://www.logixpathchef.com/app/food/getfoodnutrition?fdcid=171015" r:id="rId1172"/>
    <hyperlink xmlns:r="http://schemas.openxmlformats.org/officeDocument/2006/relationships" ref="Z25" display="https://www.logixpathchef.com/app/food/getfoodnutrition?fdcid=171015" r:id="rId1173"/>
    <hyperlink xmlns:r="http://schemas.openxmlformats.org/officeDocument/2006/relationships" ref="AA25" display="https://www.logixpathchef.com/app/food/getfoodnutrition?fdcid=171015" r:id="rId1174"/>
    <hyperlink xmlns:r="http://schemas.openxmlformats.org/officeDocument/2006/relationships" ref="AB25" display="https://www.logixpathchef.com/app/food/getfoodnutrition?fdcid=171015" r:id="rId1175"/>
    <hyperlink xmlns:r="http://schemas.openxmlformats.org/officeDocument/2006/relationships" ref="AC25" display="https://lekithos.com/products/organic-deoiled-sunflower-lecithin-powder" r:id="rId1176"/>
    <hyperlink xmlns:r="http://schemas.openxmlformats.org/officeDocument/2006/relationships" ref="AD25" display="https://lekithos.com/products/organic-deoiled-sunflower-lecithin-powder" r:id="rId1177"/>
    <hyperlink xmlns:r="http://schemas.openxmlformats.org/officeDocument/2006/relationships" ref="AE25" display="https://lekithos.com/products/organic-deoiled-sunflower-lecithin-powder" r:id="rId1178"/>
    <hyperlink xmlns:r="http://schemas.openxmlformats.org/officeDocument/2006/relationships" ref="AF25" display="https://lekithos.com/products/organic-deoiled-sunflower-lecithin-powder" r:id="rId1179"/>
    <hyperlink xmlns:r="http://schemas.openxmlformats.org/officeDocument/2006/relationships" ref="AH25" display="https://lekithos.com/products/organic-deoiled-sunflower-lecithin-powder" r:id="rId1180"/>
    <hyperlink xmlns:r="http://schemas.openxmlformats.org/officeDocument/2006/relationships" ref="AJ25" display="https://www.amazon.com/Lekithos-Organic-Deoiled-Sunflower-Lecithin/dp/B0DK6226T5" r:id="rId1181"/>
    <hyperlink xmlns:r="http://schemas.openxmlformats.org/officeDocument/2006/relationships" ref="AK25" display="https://lekithos.com/products/organic-deoiled-sunflower-lecithin-powder" r:id="rId1182"/>
    <hyperlink xmlns:r="http://schemas.openxmlformats.org/officeDocument/2006/relationships" ref="AL25" display="https://lekithos.com/products/organic-deoiled-sunflower-lecithin-powder" r:id="rId1183"/>
    <hyperlink xmlns:r="http://schemas.openxmlformats.org/officeDocument/2006/relationships" ref="AM25" display="https://lekithos.com/products/organic-deoiled-sunflower-lecithin-powder" r:id="rId1184"/>
    <hyperlink xmlns:r="http://schemas.openxmlformats.org/officeDocument/2006/relationships" ref="AN25" display="https://lekithos.com/products/organic-deoiled-sunflower-lecithin-powder" r:id="rId1185"/>
    <hyperlink xmlns:r="http://schemas.openxmlformats.org/officeDocument/2006/relationships" ref="AO25" display="https://lekithos.com/products/organic-deoiled-sunflower-lecithin-powder" r:id="rId1186"/>
    <hyperlink xmlns:r="http://schemas.openxmlformats.org/officeDocument/2006/relationships" ref="AP25" display="https://lekithos.com/products/organic-deoiled-sunflower-lecithin-powder" r:id="rId1187"/>
    <hyperlink xmlns:r="http://schemas.openxmlformats.org/officeDocument/2006/relationships" ref="AQ25" display="https://lekithos.com/products/organic-deoiled-sunflower-lecithin-powder" r:id="rId1188"/>
    <hyperlink xmlns:r="http://schemas.openxmlformats.org/officeDocument/2006/relationships" ref="AR25" display="https://lekithos.com/products/organic-deoiled-sunflower-lecithin-powder" r:id="rId1189"/>
    <hyperlink xmlns:r="http://schemas.openxmlformats.org/officeDocument/2006/relationships" ref="AS25" display="https://lekithos.com/products/organic-deoiled-sunflower-lecithin-powder" r:id="rId1190"/>
    <hyperlink xmlns:r="http://schemas.openxmlformats.org/officeDocument/2006/relationships" ref="AT25" display="https://lekithos.com/products/organic-deoiled-sunflower-lecithin-powder" r:id="rId1191"/>
    <hyperlink xmlns:r="http://schemas.openxmlformats.org/officeDocument/2006/relationships" ref="AU25" display="https://lekithos.com/products/organic-deoiled-sunflower-lecithin-powder" r:id="rId1192"/>
    <hyperlink xmlns:r="http://schemas.openxmlformats.org/officeDocument/2006/relationships" ref="AV25" display="https://lekithos.com/products/organic-deoiled-sunflower-lecithin-powder" r:id="rId1193"/>
    <hyperlink xmlns:r="http://schemas.openxmlformats.org/officeDocument/2006/relationships" ref="AW25" display="https://lekithos.com/products/organic-deoiled-sunflower-lecithin-powder" r:id="rId1194"/>
    <hyperlink xmlns:r="http://schemas.openxmlformats.org/officeDocument/2006/relationships" ref="AX25" display="https://lekithos.com/products/organic-deoiled-sunflower-lecithin-powder" r:id="rId1195"/>
    <hyperlink xmlns:r="http://schemas.openxmlformats.org/officeDocument/2006/relationships" ref="AY25" display="https://lekithos.com/products/organic-deoiled-sunflower-lecithin-powder" r:id="rId1196"/>
    <hyperlink xmlns:r="http://schemas.openxmlformats.org/officeDocument/2006/relationships" ref="AZ25" display="https://lekithos.com/products/organic-deoiled-sunflower-lecithin-powder" r:id="rId1197"/>
    <hyperlink xmlns:r="http://schemas.openxmlformats.org/officeDocument/2006/relationships" ref="BA25" display="https://lekithos.com/products/organic-deoiled-sunflower-lecithin-powder" r:id="rId1198"/>
    <hyperlink xmlns:r="http://schemas.openxmlformats.org/officeDocument/2006/relationships" ref="BB25" display="https://lekithos.com/products/organic-deoiled-sunflower-lecithin-powder" r:id="rId1199"/>
    <hyperlink xmlns:r="http://schemas.openxmlformats.org/officeDocument/2006/relationships" ref="BC25" display="https://lekithos.com/products/organic-deoiled-sunflower-lecithin-powder" r:id="rId1200"/>
    <hyperlink xmlns:r="http://schemas.openxmlformats.org/officeDocument/2006/relationships" ref="BD25" display="https://lekithos.com/products/organic-deoiled-sunflower-lecithin-powder" r:id="rId1201"/>
    <hyperlink xmlns:r="http://schemas.openxmlformats.org/officeDocument/2006/relationships" ref="BE25" display="https://lekithos.com/products/organic-deoiled-sunflower-lecithin-powder" r:id="rId1202"/>
    <hyperlink xmlns:r="http://schemas.openxmlformats.org/officeDocument/2006/relationships" ref="BF25" display="https://lekithos.com/products/organic-deoiled-sunflower-lecithin-powder" r:id="rId1203"/>
    <hyperlink xmlns:r="http://schemas.openxmlformats.org/officeDocument/2006/relationships" ref="BG25" display="https://lekithos.com/products/organic-deoiled-sunflower-lecithin-powder" r:id="rId1204"/>
    <hyperlink xmlns:r="http://schemas.openxmlformats.org/officeDocument/2006/relationships" ref="BH25" display="https://lekithos.com/products/organic-deoiled-sunflower-lecithin-powder" r:id="rId1205"/>
    <hyperlink xmlns:r="http://schemas.openxmlformats.org/officeDocument/2006/relationships" ref="BI25" display="https://lekithos.com/products/organic-deoiled-sunflower-lecithin-powder" r:id="rId1206"/>
    <hyperlink xmlns:r="http://schemas.openxmlformats.org/officeDocument/2006/relationships" ref="BJ25" display="https://lekithos.com/products/organic-deoiled-sunflower-lecithin-powder" r:id="rId1207"/>
    <hyperlink xmlns:r="http://schemas.openxmlformats.org/officeDocument/2006/relationships" ref="BK25" display="https://lekithos.com/products/organic-deoiled-sunflower-lecithin-powder" r:id="rId1208"/>
    <hyperlink xmlns:r="http://schemas.openxmlformats.org/officeDocument/2006/relationships" ref="BL25" display="https://lekithos.com/products/organic-deoiled-sunflower-lecithin-powder" r:id="rId1209"/>
    <hyperlink xmlns:r="http://schemas.openxmlformats.org/officeDocument/2006/relationships" ref="BM25" display="https://lekithos.com/products/organic-deoiled-sunflower-lecithin-powder" r:id="rId1210"/>
    <hyperlink xmlns:r="http://schemas.openxmlformats.org/officeDocument/2006/relationships" ref="BN25" display="https://lekithos.com/products/organic-deoiled-sunflower-lecithin-powder" r:id="rId1211"/>
    <hyperlink xmlns:r="http://schemas.openxmlformats.org/officeDocument/2006/relationships" ref="BO25" display="https://lekithos.com/products/organic-deoiled-sunflower-lecithin-powder" r:id="rId1212"/>
    <hyperlink xmlns:r="http://schemas.openxmlformats.org/officeDocument/2006/relationships" ref="BP25" display="https://lekithos.com/products/organic-deoiled-sunflower-lecithin-powder" r:id="rId1213"/>
    <hyperlink xmlns:r="http://schemas.openxmlformats.org/officeDocument/2006/relationships" ref="BQ25" display="https://lekithos.com/products/organic-deoiled-sunflower-lecithin-powder" r:id="rId1214"/>
    <hyperlink xmlns:r="http://schemas.openxmlformats.org/officeDocument/2006/relationships" ref="BR25" display="https://lekithos.com/products/organic-deoiled-sunflower-lecithin-powder" r:id="rId1215"/>
    <hyperlink xmlns:r="http://schemas.openxmlformats.org/officeDocument/2006/relationships" ref="BS25" display="https://lekithos.com/products/organic-deoiled-sunflower-lecithin-powder" r:id="rId1216"/>
    <hyperlink xmlns:r="http://schemas.openxmlformats.org/officeDocument/2006/relationships" ref="BT25" display="https://lekithos.com/products/organic-deoiled-sunflower-lecithin-powder" r:id="rId1217"/>
    <hyperlink xmlns:r="http://schemas.openxmlformats.org/officeDocument/2006/relationships" ref="BU25" display="https://lekithos.com/products/organic-deoiled-sunflower-lecithin-powder" r:id="rId1218"/>
    <hyperlink xmlns:r="http://schemas.openxmlformats.org/officeDocument/2006/relationships" ref="BV25" display="https://lekithos.com/products/organic-deoiled-sunflower-lecithin-powder" r:id="rId1219"/>
    <hyperlink xmlns:r="http://schemas.openxmlformats.org/officeDocument/2006/relationships" ref="BW25" display="https://lekithos.com/products/organic-deoiled-sunflower-lecithin-powder" r:id="rId1220"/>
    <hyperlink xmlns:r="http://schemas.openxmlformats.org/officeDocument/2006/relationships" ref="BX25" display="https://lekithos.com/products/organic-deoiled-sunflower-lecithin-powder" r:id="rId1221"/>
    <hyperlink xmlns:r="http://schemas.openxmlformats.org/officeDocument/2006/relationships" ref="BY25" display="https://lekithos.com/products/organic-deoiled-sunflower-lecithin-powder" r:id="rId1222"/>
    <hyperlink xmlns:r="http://schemas.openxmlformats.org/officeDocument/2006/relationships" ref="BZ25" display="https://lekithos.com/products/organic-deoiled-sunflower-lecithin-powder" r:id="rId1223"/>
    <hyperlink xmlns:r="http://schemas.openxmlformats.org/officeDocument/2006/relationships" ref="CA25" display="https://lekithos.com/products/organic-deoiled-sunflower-lecithin-powder" r:id="rId1224"/>
    <hyperlink xmlns:r="http://schemas.openxmlformats.org/officeDocument/2006/relationships" ref="CB25" display="https://lekithos.com/products/organic-deoiled-sunflower-lecithin-powder" r:id="rId1225"/>
    <hyperlink xmlns:r="http://schemas.openxmlformats.org/officeDocument/2006/relationships" ref="CC25" display="https://lekithos.com/products/organic-deoiled-sunflower-lecithin-powder" r:id="rId1226"/>
    <hyperlink xmlns:r="http://schemas.openxmlformats.org/officeDocument/2006/relationships" ref="CD25" display="https://lekithos.com/products/organic-deoiled-sunflower-lecithin-powder" r:id="rId1227"/>
    <hyperlink xmlns:r="http://schemas.openxmlformats.org/officeDocument/2006/relationships" ref="CE25" display="https://lekithos.com/products/organic-deoiled-sunflower-lecithin-powder" r:id="rId1228"/>
    <hyperlink xmlns:r="http://schemas.openxmlformats.org/officeDocument/2006/relationships" ref="CF25" display="https://lekithos.com/products/organic-deoiled-sunflower-lecithin-powder" r:id="rId1229"/>
    <hyperlink xmlns:r="http://schemas.openxmlformats.org/officeDocument/2006/relationships" ref="CG25" display="https://lekithos.com/products/organic-deoiled-sunflower-lecithin-powder" r:id="rId1230"/>
    <hyperlink xmlns:r="http://schemas.openxmlformats.org/officeDocument/2006/relationships" ref="CH25" display="https://lekithos.com/products/organic-deoiled-sunflower-lecithin-powder" r:id="rId1231"/>
    <hyperlink xmlns:r="http://schemas.openxmlformats.org/officeDocument/2006/relationships" ref="CI25" display="https://lekithos.com/products/organic-deoiled-sunflower-lecithin-powder" r:id="rId1232"/>
    <hyperlink xmlns:r="http://schemas.openxmlformats.org/officeDocument/2006/relationships" ref="CJ25" display="https://lekithos.com/products/organic-deoiled-sunflower-lecithin-powder" r:id="rId1233"/>
    <hyperlink xmlns:r="http://schemas.openxmlformats.org/officeDocument/2006/relationships" ref="CK25" display="https://lekithos.com/products/organic-deoiled-sunflower-lecithin-powder" r:id="rId1234"/>
    <hyperlink xmlns:r="http://schemas.openxmlformats.org/officeDocument/2006/relationships" ref="CL25" display="https://lekithos.com/products/organic-deoiled-sunflower-lecithin-powder" r:id="rId1235"/>
    <hyperlink xmlns:r="http://schemas.openxmlformats.org/officeDocument/2006/relationships" ref="CM25" display="https://lekithos.com/products/organic-deoiled-sunflower-lecithin-powder" r:id="rId1236"/>
    <hyperlink xmlns:r="http://schemas.openxmlformats.org/officeDocument/2006/relationships" ref="CN25" display="https://lekithos.com/products/organic-deoiled-sunflower-lecithin-powder" r:id="rId1237"/>
    <hyperlink xmlns:r="http://schemas.openxmlformats.org/officeDocument/2006/relationships" ref="CO25" display="https://lekithos.com/products/organic-deoiled-sunflower-lecithin-powder" r:id="rId1238"/>
    <hyperlink xmlns:r="http://schemas.openxmlformats.org/officeDocument/2006/relationships" ref="CP25" display="https://lekithos.com/products/organic-deoiled-sunflower-lecithin-powder" r:id="rId1239"/>
    <hyperlink xmlns:r="http://schemas.openxmlformats.org/officeDocument/2006/relationships" ref="CQ25" display="https://lekithos.com/products/organic-deoiled-sunflower-lecithin-powder" r:id="rId1240"/>
    <hyperlink xmlns:r="http://schemas.openxmlformats.org/officeDocument/2006/relationships" ref="CR25" display="https://lekithos.com/products/organic-deoiled-sunflower-lecithin-powder" r:id="rId1241"/>
    <hyperlink xmlns:r="http://schemas.openxmlformats.org/officeDocument/2006/relationships" ref="CS25" display="https://www.fda.gov/media/159745/download" r:id="rId1242"/>
    <hyperlink xmlns:r="http://schemas.openxmlformats.org/officeDocument/2006/relationships" ref="CT25" display="https://www.fda.gov/media/159745/download" r:id="rId1243"/>
    <hyperlink xmlns:r="http://schemas.openxmlformats.org/officeDocument/2006/relationships" ref="CU25" display="https://www.fda.gov/media/159745/download" r:id="rId1244"/>
    <hyperlink xmlns:r="http://schemas.openxmlformats.org/officeDocument/2006/relationships" ref="CV25" display="https://www.fda.gov/media/159745/download" r:id="rId1245"/>
    <hyperlink xmlns:r="http://schemas.openxmlformats.org/officeDocument/2006/relationships" ref="O26" display="https://www.mortonsalt.com/product/morton-himalayan-pink-salt-iodized/" r:id="rId1246"/>
    <hyperlink xmlns:r="http://schemas.openxmlformats.org/officeDocument/2006/relationships" ref="P26" display="https://www.mortonsalt.com/product/morton-himalayan-pink-salt-iodized/" r:id="rId1247"/>
    <hyperlink xmlns:r="http://schemas.openxmlformats.org/officeDocument/2006/relationships" ref="Q26" display="https://www.mortonsalt.com/product/morton-himalayan-pink-salt-iodized/" r:id="rId1248"/>
    <hyperlink xmlns:r="http://schemas.openxmlformats.org/officeDocument/2006/relationships" ref="R26" display="https://www.mortonsalt.com/product/morton-himalayan-pink-salt-iodized/" r:id="rId1249"/>
    <hyperlink xmlns:r="http://schemas.openxmlformats.org/officeDocument/2006/relationships" ref="S26" display="https://www.mortonsalt.com/product/morton-himalayan-pink-salt-iodized/" r:id="rId1250"/>
    <hyperlink xmlns:r="http://schemas.openxmlformats.org/officeDocument/2006/relationships" ref="T26" display="https://www.mortonsalt.com/product/morton-himalayan-pink-salt-iodized/" r:id="rId1251"/>
    <hyperlink xmlns:r="http://schemas.openxmlformats.org/officeDocument/2006/relationships" ref="U26" display="https://www.mortonsalt.com/product/morton-himalayan-pink-salt-iodized/" r:id="rId1252"/>
    <hyperlink xmlns:r="http://schemas.openxmlformats.org/officeDocument/2006/relationships" ref="W26" display="https://www.mortonsalt.com/product/morton-himalayan-pink-salt-iodized/" r:id="rId1253"/>
    <hyperlink xmlns:r="http://schemas.openxmlformats.org/officeDocument/2006/relationships" ref="X26" display="https://www.mortonsalt.com/product/morton-himalayan-pink-salt-iodized/" r:id="rId1254"/>
    <hyperlink xmlns:r="http://schemas.openxmlformats.org/officeDocument/2006/relationships" ref="Y26" display="https://www.mortonsalt.com/product/morton-himalayan-pink-salt-iodized/" r:id="rId1255"/>
    <hyperlink xmlns:r="http://schemas.openxmlformats.org/officeDocument/2006/relationships" ref="Z26" display="https://www.mortonsalt.com/product/morton-himalayan-pink-salt-iodized/" r:id="rId1256"/>
    <hyperlink xmlns:r="http://schemas.openxmlformats.org/officeDocument/2006/relationships" ref="AA26" display="https://www.mortonsalt.com/product/morton-himalayan-pink-salt-iodized/" r:id="rId1257"/>
    <hyperlink xmlns:r="http://schemas.openxmlformats.org/officeDocument/2006/relationships" ref="AB26" display="https://www.mortonsalt.com/product/morton-himalayan-pink-salt-iodized/" r:id="rId1258"/>
    <hyperlink xmlns:r="http://schemas.openxmlformats.org/officeDocument/2006/relationships" ref="AC26" display="https://www.mortonsalt.com/product/morton-himalayan-pink-salt-iodized/" r:id="rId1259"/>
    <hyperlink xmlns:r="http://schemas.openxmlformats.org/officeDocument/2006/relationships" ref="AD26" display="https://www.mortonsalt.com/product/morton-himalayan-pink-salt-iodized/" r:id="rId1260"/>
    <hyperlink xmlns:r="http://schemas.openxmlformats.org/officeDocument/2006/relationships" ref="AE26" display="https://www.mortonsalt.com/product/morton-himalayan-pink-salt-iodized/" r:id="rId1261"/>
    <hyperlink xmlns:r="http://schemas.openxmlformats.org/officeDocument/2006/relationships" ref="AF26" display="https://www.mortonsalt.com/product/morton-himalayan-pink-salt-iodized/" r:id="rId1262"/>
    <hyperlink xmlns:r="http://schemas.openxmlformats.org/officeDocument/2006/relationships" ref="AH26" display="https://www.mortonsalt.com/product/morton-himalayan-pink-salt-iodized/" r:id="rId1263"/>
    <hyperlink xmlns:r="http://schemas.openxmlformats.org/officeDocument/2006/relationships" ref="AJ26" display="https://www.mortonsalt.com/product/morton-himalayan-pink-salt-iodized/" r:id="rId1264"/>
    <hyperlink xmlns:r="http://schemas.openxmlformats.org/officeDocument/2006/relationships" ref="AK26" display="https://www.mortonsalt.com/product/morton-himalayan-pink-salt-iodized/" r:id="rId1265"/>
    <hyperlink xmlns:r="http://schemas.openxmlformats.org/officeDocument/2006/relationships" ref="AL26" display="https://www.mortonsalt.com/product/morton-himalayan-pink-salt-iodized/" r:id="rId1266"/>
    <hyperlink xmlns:r="http://schemas.openxmlformats.org/officeDocument/2006/relationships" ref="AM26" display="https://www.mortonsalt.com/product/morton-himalayan-pink-salt-iodized/" r:id="rId1267"/>
    <hyperlink xmlns:r="http://schemas.openxmlformats.org/officeDocument/2006/relationships" ref="AN26" display="https://www.mortonsalt.com/product/morton-himalayan-pink-salt-iodized/" r:id="rId1268"/>
    <hyperlink xmlns:r="http://schemas.openxmlformats.org/officeDocument/2006/relationships" ref="AO26" display="https://www.mortonsalt.com/product/morton-himalayan-pink-salt-iodized/" r:id="rId1269"/>
    <hyperlink xmlns:r="http://schemas.openxmlformats.org/officeDocument/2006/relationships" ref="AP26" display="https://www.mortonsalt.com/product/morton-himalayan-pink-salt-iodized/" r:id="rId1270"/>
    <hyperlink xmlns:r="http://schemas.openxmlformats.org/officeDocument/2006/relationships" ref="AQ26" display="https://www.mortonsalt.com/product/morton-himalayan-pink-salt-iodized/" r:id="rId1271"/>
    <hyperlink xmlns:r="http://schemas.openxmlformats.org/officeDocument/2006/relationships" ref="AR26" display="https://www.mortonsalt.com/product/morton-himalayan-pink-salt-iodized/" r:id="rId1272"/>
    <hyperlink xmlns:r="http://schemas.openxmlformats.org/officeDocument/2006/relationships" ref="AS26" display="https://www.mortonsalt.com/product/morton-himalayan-pink-salt-iodized/" r:id="rId1273"/>
    <hyperlink xmlns:r="http://schemas.openxmlformats.org/officeDocument/2006/relationships" ref="AT26" display="https://www.mortonsalt.com/product/morton-himalayan-pink-salt-iodized/" r:id="rId1274"/>
    <hyperlink xmlns:r="http://schemas.openxmlformats.org/officeDocument/2006/relationships" ref="AU26" display="https://www.mortonsalt.com/product/morton-himalayan-pink-salt-iodized/" r:id="rId1275"/>
    <hyperlink xmlns:r="http://schemas.openxmlformats.org/officeDocument/2006/relationships" ref="AV26" display="https://www.mortonsalt.com/product/morton-himalayan-pink-salt-iodized/" r:id="rId1276"/>
    <hyperlink xmlns:r="http://schemas.openxmlformats.org/officeDocument/2006/relationships" ref="AW26" display="https://www.mortonsalt.com/product/morton-himalayan-pink-salt-iodized/" r:id="rId1277"/>
    <hyperlink xmlns:r="http://schemas.openxmlformats.org/officeDocument/2006/relationships" ref="AX26" display="https://www.mortonsalt.com/product/morton-himalayan-pink-salt-iodized/" r:id="rId1278"/>
    <hyperlink xmlns:r="http://schemas.openxmlformats.org/officeDocument/2006/relationships" ref="AY26" display="https://www.mortonsalt.com/product/morton-himalayan-pink-salt-iodized/" r:id="rId1279"/>
    <hyperlink xmlns:r="http://schemas.openxmlformats.org/officeDocument/2006/relationships" ref="AZ26" display="https://www.mortonsalt.com/product/morton-himalayan-pink-salt-iodized/" r:id="rId1280"/>
    <hyperlink xmlns:r="http://schemas.openxmlformats.org/officeDocument/2006/relationships" ref="BA26" display="https://www.mortonsalt.com/product/morton-himalayan-pink-salt-iodized/" r:id="rId1281"/>
    <hyperlink xmlns:r="http://schemas.openxmlformats.org/officeDocument/2006/relationships" ref="BB26" display="https://www.mortonsalt.com/product/morton-himalayan-pink-salt-iodized/" r:id="rId1282"/>
    <hyperlink xmlns:r="http://schemas.openxmlformats.org/officeDocument/2006/relationships" ref="BC26" display="https://www.mortonsalt.com/product/morton-himalayan-pink-salt-iodized/" r:id="rId1283"/>
    <hyperlink xmlns:r="http://schemas.openxmlformats.org/officeDocument/2006/relationships" ref="BD26" display="https://www.mortonsalt.com/product/morton-himalayan-pink-salt-iodized/" r:id="rId1284"/>
    <hyperlink xmlns:r="http://schemas.openxmlformats.org/officeDocument/2006/relationships" ref="BE26" display="https://www.mortonsalt.com/product/morton-himalayan-pink-salt-iodized/" r:id="rId1285"/>
    <hyperlink xmlns:r="http://schemas.openxmlformats.org/officeDocument/2006/relationships" ref="BF26" display="https://www.mortonsalt.com/product/morton-himalayan-pink-salt-iodized/" r:id="rId1286"/>
    <hyperlink xmlns:r="http://schemas.openxmlformats.org/officeDocument/2006/relationships" ref="BG26" display="https://www.mortonsalt.com/product/morton-himalayan-pink-salt-iodized/" r:id="rId1287"/>
    <hyperlink xmlns:r="http://schemas.openxmlformats.org/officeDocument/2006/relationships" ref="BH26" display="https://www.mortonsalt.com/product/morton-himalayan-pink-salt-iodized/" r:id="rId1288"/>
    <hyperlink xmlns:r="http://schemas.openxmlformats.org/officeDocument/2006/relationships" ref="BI26" display="https://www.mortonsalt.com/product/morton-himalayan-pink-salt-iodized/" r:id="rId1289"/>
    <hyperlink xmlns:r="http://schemas.openxmlformats.org/officeDocument/2006/relationships" ref="BJ26" display="https://www.mortonsalt.com/product/morton-himalayan-pink-salt-iodized/" r:id="rId1290"/>
    <hyperlink xmlns:r="http://schemas.openxmlformats.org/officeDocument/2006/relationships" ref="BK26" display="https://www.mortonsalt.com/product/morton-himalayan-pink-salt-iodized/" r:id="rId1291"/>
    <hyperlink xmlns:r="http://schemas.openxmlformats.org/officeDocument/2006/relationships" ref="BL26" display="https://www.mortonsalt.com/product/morton-himalayan-pink-salt-iodized/" r:id="rId1292"/>
    <hyperlink xmlns:r="http://schemas.openxmlformats.org/officeDocument/2006/relationships" ref="BM26" display="https://www.mortonsalt.com/product/morton-himalayan-pink-salt-iodized/" r:id="rId1293"/>
    <hyperlink xmlns:r="http://schemas.openxmlformats.org/officeDocument/2006/relationships" ref="BN26" display="https://www.mortonsalt.com/product/morton-himalayan-pink-salt-iodized/" r:id="rId1294"/>
    <hyperlink xmlns:r="http://schemas.openxmlformats.org/officeDocument/2006/relationships" ref="BO26" display="https://www.mortonsalt.com/product/morton-himalayan-pink-salt-iodized/" r:id="rId1295"/>
    <hyperlink xmlns:r="http://schemas.openxmlformats.org/officeDocument/2006/relationships" ref="BP26" display="https://www.mortonsalt.com/product/morton-himalayan-pink-salt-iodized/" r:id="rId1296"/>
    <hyperlink xmlns:r="http://schemas.openxmlformats.org/officeDocument/2006/relationships" ref="BQ26" display="https://www.mortonsalt.com/product/morton-himalayan-pink-salt-iodized/" r:id="rId1297"/>
    <hyperlink xmlns:r="http://schemas.openxmlformats.org/officeDocument/2006/relationships" ref="BR26" display="https://www.mortonsalt.com/product/morton-himalayan-pink-salt-iodized/" r:id="rId1298"/>
    <hyperlink xmlns:r="http://schemas.openxmlformats.org/officeDocument/2006/relationships" ref="BS26" display="https://www.mortonsalt.com/product/morton-himalayan-pink-salt-iodized/" r:id="rId1299"/>
    <hyperlink xmlns:r="http://schemas.openxmlformats.org/officeDocument/2006/relationships" ref="BT26" display="https://www.mortonsalt.com/product/morton-himalayan-pink-salt-iodized/" r:id="rId1300"/>
    <hyperlink xmlns:r="http://schemas.openxmlformats.org/officeDocument/2006/relationships" ref="BU26" display="https://www.mortonsalt.com/product/morton-himalayan-pink-salt-iodized/" r:id="rId1301"/>
    <hyperlink xmlns:r="http://schemas.openxmlformats.org/officeDocument/2006/relationships" ref="BV26" display="https://www.mortonsalt.com/product/morton-himalayan-pink-salt-iodized/" r:id="rId1302"/>
    <hyperlink xmlns:r="http://schemas.openxmlformats.org/officeDocument/2006/relationships" ref="BW26" display="https://www.mortonsalt.com/product/morton-himalayan-pink-salt-iodized/" r:id="rId1303"/>
    <hyperlink xmlns:r="http://schemas.openxmlformats.org/officeDocument/2006/relationships" ref="BX26" display="https://www.mortonsalt.com/product/morton-himalayan-pink-salt-iodized/" r:id="rId1304"/>
    <hyperlink xmlns:r="http://schemas.openxmlformats.org/officeDocument/2006/relationships" ref="BY26" display="https://www.mortonsalt.com/product/morton-himalayan-pink-salt-iodized/" r:id="rId1305"/>
    <hyperlink xmlns:r="http://schemas.openxmlformats.org/officeDocument/2006/relationships" ref="BZ26" display="https://www.mortonsalt.com/product/morton-himalayan-pink-salt-iodized/" r:id="rId1306"/>
    <hyperlink xmlns:r="http://schemas.openxmlformats.org/officeDocument/2006/relationships" ref="CA26" display="https://www.mortonsalt.com/product/morton-himalayan-pink-salt-iodized/" r:id="rId1307"/>
    <hyperlink xmlns:r="http://schemas.openxmlformats.org/officeDocument/2006/relationships" ref="CB26" display="https://www.mortonsalt.com/product/morton-himalayan-pink-salt-iodized/" r:id="rId1308"/>
    <hyperlink xmlns:r="http://schemas.openxmlformats.org/officeDocument/2006/relationships" ref="CC26" display="https://www.mortonsalt.com/product/morton-himalayan-pink-salt-iodized/" r:id="rId1309"/>
    <hyperlink xmlns:r="http://schemas.openxmlformats.org/officeDocument/2006/relationships" ref="CD26" display="https://www.mortonsalt.com/product/morton-himalayan-pink-salt-iodized/" r:id="rId1310"/>
    <hyperlink xmlns:r="http://schemas.openxmlformats.org/officeDocument/2006/relationships" ref="CE26" display="https://www.mortonsalt.com/product/morton-himalayan-pink-salt-iodized/" r:id="rId1311"/>
    <hyperlink xmlns:r="http://schemas.openxmlformats.org/officeDocument/2006/relationships" ref="CF26" display="https://www.mortonsalt.com/product/morton-himalayan-pink-salt-iodized/" r:id="rId1312"/>
    <hyperlink xmlns:r="http://schemas.openxmlformats.org/officeDocument/2006/relationships" ref="CG26" display="https://www.mortonsalt.com/product/morton-himalayan-pink-salt-iodized/" r:id="rId1313"/>
    <hyperlink xmlns:r="http://schemas.openxmlformats.org/officeDocument/2006/relationships" ref="CH26" display="https://www.mortonsalt.com/product/morton-himalayan-pink-salt-iodized/" r:id="rId1314"/>
    <hyperlink xmlns:r="http://schemas.openxmlformats.org/officeDocument/2006/relationships" ref="CI26" display="https://www.mortonsalt.com/product/morton-himalayan-pink-salt-iodized/" r:id="rId1315"/>
    <hyperlink xmlns:r="http://schemas.openxmlformats.org/officeDocument/2006/relationships" ref="CJ26" display="https://www.mortonsalt.com/product/morton-himalayan-pink-salt-iodized/" r:id="rId1316"/>
    <hyperlink xmlns:r="http://schemas.openxmlformats.org/officeDocument/2006/relationships" ref="CK26" display="https://www.mortonsalt.com/product/morton-himalayan-pink-salt-iodized/" r:id="rId1317"/>
    <hyperlink xmlns:r="http://schemas.openxmlformats.org/officeDocument/2006/relationships" ref="CL26" display="https://www.mortonsalt.com/product/morton-himalayan-pink-salt-iodized/" r:id="rId1318"/>
    <hyperlink xmlns:r="http://schemas.openxmlformats.org/officeDocument/2006/relationships" ref="CM26" display="https://www.mortonsalt.com/product/morton-himalayan-pink-salt-iodized/" r:id="rId1319"/>
    <hyperlink xmlns:r="http://schemas.openxmlformats.org/officeDocument/2006/relationships" ref="CN26" display="https://www.mortonsalt.com/product/morton-himalayan-pink-salt-iodized/" r:id="rId1320"/>
    <hyperlink xmlns:r="http://schemas.openxmlformats.org/officeDocument/2006/relationships" ref="CO26" display="https://www.mortonsalt.com/product/morton-himalayan-pink-salt-iodized/" r:id="rId1321"/>
    <hyperlink xmlns:r="http://schemas.openxmlformats.org/officeDocument/2006/relationships" ref="CP26" display="https://www.mortonsalt.com/product/morton-himalayan-pink-salt-iodized/" r:id="rId1322"/>
    <hyperlink xmlns:r="http://schemas.openxmlformats.org/officeDocument/2006/relationships" ref="CQ26" display="https://www.mortonsalt.com/product/morton-himalayan-pink-salt-iodized/" r:id="rId1323"/>
    <hyperlink xmlns:r="http://schemas.openxmlformats.org/officeDocument/2006/relationships" ref="CR26" display="https://www.mortonsalt.com/product/morton-himalayan-pink-salt-iodized/" r:id="rId1324"/>
    <hyperlink xmlns:r="http://schemas.openxmlformats.org/officeDocument/2006/relationships" ref="CS26" display="https://www.mortonsalt.com/product/morton-himalayan-pink-salt-iodized/" r:id="rId1325"/>
    <hyperlink xmlns:r="http://schemas.openxmlformats.org/officeDocument/2006/relationships" ref="CT26" display="https://www.mortonsalt.com/product/morton-himalayan-pink-salt-iodized/" r:id="rId1326"/>
    <hyperlink xmlns:r="http://schemas.openxmlformats.org/officeDocument/2006/relationships" ref="CU26" display="https://www.mortonsalt.com/product/morton-himalayan-pink-salt-iodized/" r:id="rId1327"/>
    <hyperlink xmlns:r="http://schemas.openxmlformats.org/officeDocument/2006/relationships" ref="CV26" display="https://www.mortonsalt.com/product/morton-himalayan-pink-salt-iodized/" r:id="rId1328"/>
    <hyperlink xmlns:r="http://schemas.openxmlformats.org/officeDocument/2006/relationships" ref="O27" display="https://www.logixpathchef.com/app/food/getfoodnutrition?fdcid=170903" r:id="rId1329"/>
    <hyperlink xmlns:r="http://schemas.openxmlformats.org/officeDocument/2006/relationships" ref="P27" display="https://www.logixpathchef.com/app/food/getfoodnutrition?fdcid=170903" r:id="rId1330"/>
    <hyperlink xmlns:r="http://schemas.openxmlformats.org/officeDocument/2006/relationships" ref="Q27" display="https://www.simplyorganic.com/products/vanilla-extract" r:id="rId1331"/>
    <hyperlink xmlns:r="http://schemas.openxmlformats.org/officeDocument/2006/relationships" ref="R27" display="https://www.simplyorganic.com/products/vanilla-extract" r:id="rId1332"/>
    <hyperlink xmlns:r="http://schemas.openxmlformats.org/officeDocument/2006/relationships" ref="S27" display="https://www.simplyorganic.com/products/vanilla-extract" r:id="rId1333"/>
    <hyperlink xmlns:r="http://schemas.openxmlformats.org/officeDocument/2006/relationships" ref="T27" display="https://www.simplyorganic.com/products/vanilla-extract" r:id="rId1334"/>
    <hyperlink xmlns:r="http://schemas.openxmlformats.org/officeDocument/2006/relationships" ref="U27" display="https://www.simplyorganic.com/products/vanilla-extract" r:id="rId1335"/>
    <hyperlink xmlns:r="http://schemas.openxmlformats.org/officeDocument/2006/relationships" ref="W27" display="https://www.logixpathchef.com/app/food/getfoodnutrition?fdcid=170903" r:id="rId1336"/>
    <hyperlink xmlns:r="http://schemas.openxmlformats.org/officeDocument/2006/relationships" ref="X27" display="https://www.logixpathchef.com/app/food/getfoodnutrition?fdcid=170903" r:id="rId1337"/>
    <hyperlink xmlns:r="http://schemas.openxmlformats.org/officeDocument/2006/relationships" ref="Y27" display="https://www.logixpathchef.com/app/food/getfoodnutrition?fdcid=170903" r:id="rId1338"/>
    <hyperlink xmlns:r="http://schemas.openxmlformats.org/officeDocument/2006/relationships" ref="Z27" display="https://www.logixpathchef.com/app/food/getfoodnutrition?fdcid=170903" r:id="rId1339"/>
    <hyperlink xmlns:r="http://schemas.openxmlformats.org/officeDocument/2006/relationships" ref="AA27" display="https://www.logixpathchef.com/app/food/getfoodnutrition?fdcid=170903" r:id="rId1340"/>
    <hyperlink xmlns:r="http://schemas.openxmlformats.org/officeDocument/2006/relationships" ref="AB27" display="https://www.logixpathchef.com/app/food/getfoodnutrition?fdcid=170903" r:id="rId1341"/>
    <hyperlink xmlns:r="http://schemas.openxmlformats.org/officeDocument/2006/relationships" ref="AC27" display="https://www.logixpathchef.com/app/food/getfoodnutrition?fdcid=170903" r:id="rId1342"/>
    <hyperlink xmlns:r="http://schemas.openxmlformats.org/officeDocument/2006/relationships" ref="AD27" display="https://www.logixpathchef.com/app/food/getfoodnutrition?fdcid=170903" r:id="rId1343"/>
    <hyperlink xmlns:r="http://schemas.openxmlformats.org/officeDocument/2006/relationships" ref="AE27" display="https://www.logixpathchef.com/app/food/getfoodnutrition?fdcid=170903" r:id="rId1344"/>
    <hyperlink xmlns:r="http://schemas.openxmlformats.org/officeDocument/2006/relationships" ref="AF27" display="https://www.simplyorganic.com/products/vanilla-extract" r:id="rId1345"/>
    <hyperlink xmlns:r="http://schemas.openxmlformats.org/officeDocument/2006/relationships" ref="AH27" display="https://www.logixpathchef.com/app/food/getfoodnutrition?fdcid=170903" r:id="rId1346"/>
    <hyperlink xmlns:r="http://schemas.openxmlformats.org/officeDocument/2006/relationships" ref="AJ27" display="https://www.logixpathchef.com/app/food/getfoodnutrition?fdcid=170903" r:id="rId1347"/>
    <hyperlink xmlns:r="http://schemas.openxmlformats.org/officeDocument/2006/relationships" ref="AK27" display="https://www.logixpathchef.com/app/food/getfoodnutrition?fdcid=170903" r:id="rId1348"/>
    <hyperlink xmlns:r="http://schemas.openxmlformats.org/officeDocument/2006/relationships" ref="AL27" display="https://www.logixpathchef.com/app/food/getfoodnutrition?fdcid=170903" r:id="rId1349"/>
    <hyperlink xmlns:r="http://schemas.openxmlformats.org/officeDocument/2006/relationships" ref="AM27" display="https://www.logixpathchef.com/app/food/getfoodnutrition?fdcid=170903" r:id="rId1350"/>
    <hyperlink xmlns:r="http://schemas.openxmlformats.org/officeDocument/2006/relationships" ref="AN27" display="https://www.logixpathchef.com/app/food/getfoodnutrition?fdcid=170903" r:id="rId1351"/>
    <hyperlink xmlns:r="http://schemas.openxmlformats.org/officeDocument/2006/relationships" ref="AO27" display="https://www.logixpathchef.com/app/food/getfoodnutrition?fdcid=170903" r:id="rId1352"/>
    <hyperlink xmlns:r="http://schemas.openxmlformats.org/officeDocument/2006/relationships" ref="AP27" display="https://www.logixpathchef.com/app/food/getfoodnutrition?fdcid=170903" r:id="rId1353"/>
    <hyperlink xmlns:r="http://schemas.openxmlformats.org/officeDocument/2006/relationships" ref="AQ27" display="https://www.logixpathchef.com/app/food/getfoodnutrition?fdcid=170903" r:id="rId1354"/>
    <hyperlink xmlns:r="http://schemas.openxmlformats.org/officeDocument/2006/relationships" ref="AR27" display="https://www.logixpathchef.com/app/food/getfoodnutrition?fdcid=170903" r:id="rId1355"/>
    <hyperlink xmlns:r="http://schemas.openxmlformats.org/officeDocument/2006/relationships" ref="AS27" display="https://www.logixpathchef.com/app/food/getfoodnutrition?fdcid=170903" r:id="rId1356"/>
    <hyperlink xmlns:r="http://schemas.openxmlformats.org/officeDocument/2006/relationships" ref="AT27" display="https://www.logixpathchef.com/app/food/getfoodnutrition?fdcid=170903" r:id="rId1357"/>
    <hyperlink xmlns:r="http://schemas.openxmlformats.org/officeDocument/2006/relationships" ref="AU27" display="https://www.logixpathchef.com/app/food/getfoodnutrition?fdcid=170903" r:id="rId1358"/>
    <hyperlink xmlns:r="http://schemas.openxmlformats.org/officeDocument/2006/relationships" ref="AV27" display="https://www.logixpathchef.com/app/food/getfoodnutrition?fdcid=170903" r:id="rId1359"/>
    <hyperlink xmlns:r="http://schemas.openxmlformats.org/officeDocument/2006/relationships" ref="AW27" display="https://www.logixpathchef.com/app/food/getfoodnutrition?fdcid=170903" r:id="rId1360"/>
    <hyperlink xmlns:r="http://schemas.openxmlformats.org/officeDocument/2006/relationships" ref="AX27" display="https://www.logixpathchef.com/app/food/getfoodnutrition?fdcid=170903" r:id="rId1361"/>
    <hyperlink xmlns:r="http://schemas.openxmlformats.org/officeDocument/2006/relationships" ref="AY27" display="https://www.logixpathchef.com/app/food/getfoodnutrition?fdcid=170903" r:id="rId1362"/>
    <hyperlink xmlns:r="http://schemas.openxmlformats.org/officeDocument/2006/relationships" ref="AZ27" display="https://www.logixpathchef.com/app/food/getfoodnutrition?fdcid=170903" r:id="rId1363"/>
    <hyperlink xmlns:r="http://schemas.openxmlformats.org/officeDocument/2006/relationships" ref="BA27" display="https://www.logixpathchef.com/app/food/getfoodnutrition?fdcid=170903" r:id="rId1364"/>
    <hyperlink xmlns:r="http://schemas.openxmlformats.org/officeDocument/2006/relationships" ref="BB27" display="https://www.logixpathchef.com/app/food/getfoodnutrition?fdcid=170903" r:id="rId1365"/>
    <hyperlink xmlns:r="http://schemas.openxmlformats.org/officeDocument/2006/relationships" ref="BC27" display="https://www.logixpathchef.com/app/food/getfoodnutrition?fdcid=170903" r:id="rId1366"/>
    <hyperlink xmlns:r="http://schemas.openxmlformats.org/officeDocument/2006/relationships" ref="BD27" display="https://www.logixpathchef.com/app/food/getfoodnutrition?fdcid=170903" r:id="rId1367"/>
    <hyperlink xmlns:r="http://schemas.openxmlformats.org/officeDocument/2006/relationships" ref="BE27" display="https://www.logixpathchef.com/app/food/getfoodnutrition?fdcid=170903" r:id="rId1368"/>
    <hyperlink xmlns:r="http://schemas.openxmlformats.org/officeDocument/2006/relationships" ref="BF27" display="https://www.logixpathchef.com/app/food/getfoodnutrition?fdcid=170903" r:id="rId1369"/>
    <hyperlink xmlns:r="http://schemas.openxmlformats.org/officeDocument/2006/relationships" ref="BG27" display="https://www.logixpathchef.com/app/food/getfoodnutrition?fdcid=170903" r:id="rId1370"/>
    <hyperlink xmlns:r="http://schemas.openxmlformats.org/officeDocument/2006/relationships" ref="BH27" display="https://www.logixpathchef.com/app/food/getfoodnutrition?fdcid=170903" r:id="rId1371"/>
    <hyperlink xmlns:r="http://schemas.openxmlformats.org/officeDocument/2006/relationships" ref="BI27" display="https://www.logixpathchef.com/app/food/getfoodnutrition?fdcid=170903" r:id="rId1372"/>
    <hyperlink xmlns:r="http://schemas.openxmlformats.org/officeDocument/2006/relationships" ref="BJ27" display="https://www.logixpathchef.com/app/food/getfoodnutrition?fdcid=170903" r:id="rId1373"/>
    <hyperlink xmlns:r="http://schemas.openxmlformats.org/officeDocument/2006/relationships" ref="BK27" display="https://www.logixpathchef.com/app/food/getfoodnutrition?fdcid=170903" r:id="rId1374"/>
    <hyperlink xmlns:r="http://schemas.openxmlformats.org/officeDocument/2006/relationships" ref="BL27" display="https://www.logixpathchef.com/app/food/getfoodnutrition?fdcid=170903" r:id="rId1375"/>
    <hyperlink xmlns:r="http://schemas.openxmlformats.org/officeDocument/2006/relationships" ref="BM27" display="https://www.logixpathchef.com/app/food/getfoodnutrition?fdcid=170903" r:id="rId1376"/>
    <hyperlink xmlns:r="http://schemas.openxmlformats.org/officeDocument/2006/relationships" ref="BN27" display="https://www.logixpathchef.com/app/food/getfoodnutrition?fdcid=170903" r:id="rId1377"/>
    <hyperlink xmlns:r="http://schemas.openxmlformats.org/officeDocument/2006/relationships" ref="BO27" display="https://www.logixpathchef.com/app/food/getfoodnutrition?fdcid=170903" r:id="rId1378"/>
    <hyperlink xmlns:r="http://schemas.openxmlformats.org/officeDocument/2006/relationships" ref="BP27" display="https://www.logixpathchef.com/app/food/getfoodnutrition?fdcid=170903" r:id="rId1379"/>
    <hyperlink xmlns:r="http://schemas.openxmlformats.org/officeDocument/2006/relationships" ref="BQ27" display="https://www.logixpathchef.com/app/food/getfoodnutrition?fdcid=170903" r:id="rId1380"/>
    <hyperlink xmlns:r="http://schemas.openxmlformats.org/officeDocument/2006/relationships" ref="BR27" display="https://www.logixpathchef.com/app/food/getfoodnutrition?fdcid=170903" r:id="rId1381"/>
    <hyperlink xmlns:r="http://schemas.openxmlformats.org/officeDocument/2006/relationships" ref="BS27" display="https://www.logixpathchef.com/app/food/getfoodnutrition?fdcid=170903" r:id="rId1382"/>
    <hyperlink xmlns:r="http://schemas.openxmlformats.org/officeDocument/2006/relationships" ref="BT27" display="https://www.logixpathchef.com/app/food/getfoodnutrition?fdcid=170903" r:id="rId1383"/>
    <hyperlink xmlns:r="http://schemas.openxmlformats.org/officeDocument/2006/relationships" ref="BU27" display="https://www.logixpathchef.com/app/food/getfoodnutrition?fdcid=170903" r:id="rId1384"/>
    <hyperlink xmlns:r="http://schemas.openxmlformats.org/officeDocument/2006/relationships" ref="BV27" display="https://www.logixpathchef.com/app/food/getfoodnutrition?fdcid=170903" r:id="rId1385"/>
    <hyperlink xmlns:r="http://schemas.openxmlformats.org/officeDocument/2006/relationships" ref="BW27" display="https://www.logixpathchef.com/app/food/getfoodnutrition?fdcid=170903" r:id="rId1386"/>
    <hyperlink xmlns:r="http://schemas.openxmlformats.org/officeDocument/2006/relationships" ref="BX27" display="https://www.logixpathchef.com/app/food/getfoodnutrition?fdcid=170903" r:id="rId1387"/>
    <hyperlink xmlns:r="http://schemas.openxmlformats.org/officeDocument/2006/relationships" ref="BY27" display="https://www.logixpathchef.com/app/food/getfoodnutrition?fdcid=170903" r:id="rId1388"/>
    <hyperlink xmlns:r="http://schemas.openxmlformats.org/officeDocument/2006/relationships" ref="BZ27" display="https://www.logixpathchef.com/app/food/getfoodnutrition?fdcid=170903" r:id="rId1389"/>
    <hyperlink xmlns:r="http://schemas.openxmlformats.org/officeDocument/2006/relationships" ref="CA27" display="https://www.logixpathchef.com/app/food/getfoodnutrition?fdcid=170903" r:id="rId1390"/>
    <hyperlink xmlns:r="http://schemas.openxmlformats.org/officeDocument/2006/relationships" ref="CB27" display="https://www.logixpathchef.com/app/food/getfoodnutrition?fdcid=170903" r:id="rId1391"/>
    <hyperlink xmlns:r="http://schemas.openxmlformats.org/officeDocument/2006/relationships" ref="CC27" display="https://www.logixpathchef.com/app/food/getfoodnutrition?fdcid=170903" r:id="rId1392"/>
    <hyperlink xmlns:r="http://schemas.openxmlformats.org/officeDocument/2006/relationships" ref="CD27" display="https://www.logixpathchef.com/app/food/getfoodnutrition?fdcid=170903" r:id="rId1393"/>
    <hyperlink xmlns:r="http://schemas.openxmlformats.org/officeDocument/2006/relationships" ref="CE27" display="https://www.logixpathchef.com/app/food/getfoodnutrition?fdcid=170903" r:id="rId1394"/>
    <hyperlink xmlns:r="http://schemas.openxmlformats.org/officeDocument/2006/relationships" ref="CF27" display="https://www.logixpathchef.com/app/food/getfoodnutrition?fdcid=170903" r:id="rId1395"/>
    <hyperlink xmlns:r="http://schemas.openxmlformats.org/officeDocument/2006/relationships" ref="CG27" display="https://www.logixpathchef.com/app/food/getfoodnutrition?fdcid=170903" r:id="rId1396"/>
    <hyperlink xmlns:r="http://schemas.openxmlformats.org/officeDocument/2006/relationships" ref="CH27" display="https://www.logixpathchef.com/app/food/getfoodnutrition?fdcid=170903" r:id="rId1397"/>
    <hyperlink xmlns:r="http://schemas.openxmlformats.org/officeDocument/2006/relationships" ref="CI27" display="https://www.logixpathchef.com/app/food/getfoodnutrition?fdcid=170903" r:id="rId1398"/>
    <hyperlink xmlns:r="http://schemas.openxmlformats.org/officeDocument/2006/relationships" ref="CJ27" display="https://www.logixpathchef.com/app/food/getfoodnutrition?fdcid=170903" r:id="rId1399"/>
    <hyperlink xmlns:r="http://schemas.openxmlformats.org/officeDocument/2006/relationships" ref="CK27" display="https://www.logixpathchef.com/app/food/getfoodnutrition?fdcid=170903" r:id="rId1400"/>
    <hyperlink xmlns:r="http://schemas.openxmlformats.org/officeDocument/2006/relationships" ref="CL27" display="https://www.logixpathchef.com/app/food/getfoodnutrition?fdcid=170903" r:id="rId1401"/>
    <hyperlink xmlns:r="http://schemas.openxmlformats.org/officeDocument/2006/relationships" ref="CM27" display="https://www.logixpathchef.com/app/food/getfoodnutrition?fdcid=170903" r:id="rId1402"/>
    <hyperlink xmlns:r="http://schemas.openxmlformats.org/officeDocument/2006/relationships" ref="CN27" display="https://www.logixpathchef.com/app/food/getfoodnutrition?fdcid=170903" r:id="rId1403"/>
    <hyperlink xmlns:r="http://schemas.openxmlformats.org/officeDocument/2006/relationships" ref="CO27" display="https://www.logixpathchef.com/app/food/getfoodnutrition?fdcid=170903" r:id="rId1404"/>
    <hyperlink xmlns:r="http://schemas.openxmlformats.org/officeDocument/2006/relationships" ref="CP27" display="https://www.logixpathchef.com/app/food/getfoodnutrition?fdcid=170903" r:id="rId1405"/>
    <hyperlink xmlns:r="http://schemas.openxmlformats.org/officeDocument/2006/relationships" ref="CQ27" display="https://www.logixpathchef.com/app/food/getfoodnutrition?fdcid=170903" r:id="rId1406"/>
    <hyperlink xmlns:r="http://schemas.openxmlformats.org/officeDocument/2006/relationships" ref="CR27" display="https://www.logixpathchef.com/app/food/getfoodnutrition?fdcid=170903" r:id="rId1407"/>
    <hyperlink xmlns:r="http://schemas.openxmlformats.org/officeDocument/2006/relationships" ref="CS27" display="https://www.logixpathchef.com/app/food/getfoodnutrition?fdcid=170903" r:id="rId1408"/>
    <hyperlink xmlns:r="http://schemas.openxmlformats.org/officeDocument/2006/relationships" ref="CT27" display="https://www.logixpathchef.com/app/food/getfoodnutrition?fdcid=170903" r:id="rId1409"/>
    <hyperlink xmlns:r="http://schemas.openxmlformats.org/officeDocument/2006/relationships" ref="CU27" display="https://www.logixpathchef.com/app/food/getfoodnutrition?fdcid=170903" r:id="rId1410"/>
    <hyperlink xmlns:r="http://schemas.openxmlformats.org/officeDocument/2006/relationships" ref="CV27" display="https://www.logixpathchef.com/app/food/getfoodnutrition?fdcid=170903" r:id="rId1411"/>
    <hyperlink xmlns:r="http://schemas.openxmlformats.org/officeDocument/2006/relationships" ref="O28" display="https://www.logixpathchef.com/app/food/getfoodnutrition?fdcid=171320" r:id="rId1412"/>
    <hyperlink xmlns:r="http://schemas.openxmlformats.org/officeDocument/2006/relationships" ref="P28" display="https://www.logixpathchef.com/app/food/getfoodnutrition?fdcid=171320" r:id="rId1413"/>
    <hyperlink xmlns:r="http://schemas.openxmlformats.org/officeDocument/2006/relationships" ref="Q28" display="https://www.logixpathchef.com/app/food/getfoodnutrition?fdcid=171320" r:id="rId1414"/>
    <hyperlink xmlns:r="http://schemas.openxmlformats.org/officeDocument/2006/relationships" ref="R28" display="https://www.logixpathchef.com/app/food/getfoodnutrition?fdcid=171320" r:id="rId1415"/>
    <hyperlink xmlns:r="http://schemas.openxmlformats.org/officeDocument/2006/relationships" ref="S28" display="https://www.logixpathchef.com/app/food/getfoodnutrition?fdcid=171320" r:id="rId1416"/>
    <hyperlink xmlns:r="http://schemas.openxmlformats.org/officeDocument/2006/relationships" ref="T28" display="https://www.logixpathchef.com/app/food/getfoodnutrition?fdcid=171320" r:id="rId1417"/>
    <hyperlink xmlns:r="http://schemas.openxmlformats.org/officeDocument/2006/relationships" ref="U28" display="https://www.logixpathchef.com/app/food/getfoodnutrition?fdcid=171320" r:id="rId1418"/>
    <hyperlink xmlns:r="http://schemas.openxmlformats.org/officeDocument/2006/relationships" ref="W28" display="https://www.logixpathchef.com/app/food/getfoodnutrition?fdcid=171320" r:id="rId1419"/>
    <hyperlink xmlns:r="http://schemas.openxmlformats.org/officeDocument/2006/relationships" ref="X28" display="https://www.logixpathchef.com/app/food/getfoodnutrition?fdcid=171320" r:id="rId1420"/>
    <hyperlink xmlns:r="http://schemas.openxmlformats.org/officeDocument/2006/relationships" ref="Y28" display="https://www.logixpathchef.com/app/food/getfoodnutrition?fdcid=171320" r:id="rId1421"/>
    <hyperlink xmlns:r="http://schemas.openxmlformats.org/officeDocument/2006/relationships" ref="Z28" display="https://www.logixpathchef.com/app/food/getfoodnutrition?fdcid=171320" r:id="rId1422"/>
    <hyperlink xmlns:r="http://schemas.openxmlformats.org/officeDocument/2006/relationships" ref="AA28" display="https://www.logixpathchef.com/app/food/getfoodnutrition?fdcid=171320" r:id="rId1423"/>
    <hyperlink xmlns:r="http://schemas.openxmlformats.org/officeDocument/2006/relationships" ref="AB28" display="https://www.logixpathchef.com/app/food/getfoodnutrition?fdcid=171320" r:id="rId1424"/>
    <hyperlink xmlns:r="http://schemas.openxmlformats.org/officeDocument/2006/relationships" ref="AC28" display="https://www.logixpathchef.com/app/food/getfoodnutrition?fdcid=171320" r:id="rId1425"/>
    <hyperlink xmlns:r="http://schemas.openxmlformats.org/officeDocument/2006/relationships" ref="AD28" display="https://www.logixpathchef.com/app/food/getfoodnutrition?fdcid=171320" r:id="rId1426"/>
    <hyperlink xmlns:r="http://schemas.openxmlformats.org/officeDocument/2006/relationships" ref="AE28" display="https://www.logixpathchef.com/app/food/getfoodnutrition?fdcid=171320" r:id="rId1427"/>
    <hyperlink xmlns:r="http://schemas.openxmlformats.org/officeDocument/2006/relationships" ref="AF28" display="https://www.logixpathchef.com/app/food/getfoodnutrition?fdcid=171320" r:id="rId1428"/>
    <hyperlink xmlns:r="http://schemas.openxmlformats.org/officeDocument/2006/relationships" ref="AH28" display="https://www.logixpathchef.com/app/food/getfoodnutrition?fdcid=171320" r:id="rId1429"/>
    <hyperlink xmlns:r="http://schemas.openxmlformats.org/officeDocument/2006/relationships" ref="AJ28" display="https://www.logixpathchef.com/app/food/getfoodnutrition?fdcid=171320" r:id="rId1430"/>
    <hyperlink xmlns:r="http://schemas.openxmlformats.org/officeDocument/2006/relationships" ref="AK28" display="https://www.logixpathchef.com/app/food/getfoodnutrition?fdcid=171320" r:id="rId1431"/>
    <hyperlink xmlns:r="http://schemas.openxmlformats.org/officeDocument/2006/relationships" ref="AL28" display="https://www.logixpathchef.com/app/food/getfoodnutrition?fdcid=171320" r:id="rId1432"/>
    <hyperlink xmlns:r="http://schemas.openxmlformats.org/officeDocument/2006/relationships" ref="AM28" display="https://www.logixpathchef.com/app/food/getfoodnutrition?fdcid=171320" r:id="rId1433"/>
    <hyperlink xmlns:r="http://schemas.openxmlformats.org/officeDocument/2006/relationships" ref="AN28" display="https://www.logixpathchef.com/app/food/getfoodnutrition?fdcid=171320" r:id="rId1434"/>
    <hyperlink xmlns:r="http://schemas.openxmlformats.org/officeDocument/2006/relationships" ref="AO28" display="https://www.logixpathchef.com/app/food/getfoodnutrition?fdcid=171320" r:id="rId1435"/>
    <hyperlink xmlns:r="http://schemas.openxmlformats.org/officeDocument/2006/relationships" ref="AP28" display="Unknown" r:id="rId1436"/>
    <hyperlink xmlns:r="http://schemas.openxmlformats.org/officeDocument/2006/relationships" ref="AQ28" display="https://www.logixpathchef.com/app/food/getfoodnutrition?fdcid=171320" r:id="rId1437"/>
    <hyperlink xmlns:r="http://schemas.openxmlformats.org/officeDocument/2006/relationships" ref="AR28" display="https://www.logixpathchef.com/app/food/getfoodnutrition?fdcid=171320" r:id="rId1438"/>
    <hyperlink xmlns:r="http://schemas.openxmlformats.org/officeDocument/2006/relationships" ref="AS28" display="https://www.logixpathchef.com/app/food/getfoodnutrition?fdcid=171320" r:id="rId1439"/>
    <hyperlink xmlns:r="http://schemas.openxmlformats.org/officeDocument/2006/relationships" ref="AT28" display="https://www.logixpathchef.com/app/food/getfoodnutrition?fdcid=171320" r:id="rId1440"/>
    <hyperlink xmlns:r="http://schemas.openxmlformats.org/officeDocument/2006/relationships" ref="AU28" display="https://www.logixpathchef.com/app/food/getfoodnutrition?fdcid=171320" r:id="rId1441"/>
    <hyperlink xmlns:r="http://schemas.openxmlformats.org/officeDocument/2006/relationships" ref="AV28" display="Unknown" r:id="rId1442"/>
    <hyperlink xmlns:r="http://schemas.openxmlformats.org/officeDocument/2006/relationships" ref="AW28" display="Unknown" r:id="rId1443"/>
    <hyperlink xmlns:r="http://schemas.openxmlformats.org/officeDocument/2006/relationships" ref="AX28" display="Unknown" r:id="rId1444"/>
    <hyperlink xmlns:r="http://schemas.openxmlformats.org/officeDocument/2006/relationships" ref="AY28" display="https://www.logixpathchef.com/app/food/getfoodnutrition?fdcid=171320" r:id="rId1445"/>
    <hyperlink xmlns:r="http://schemas.openxmlformats.org/officeDocument/2006/relationships" ref="AZ28" display="https://www.logixpathchef.com/app/food/getfoodnutrition?fdcid=171320" r:id="rId1446"/>
    <hyperlink xmlns:r="http://schemas.openxmlformats.org/officeDocument/2006/relationships" ref="BA28" display="https://www.logixpathchef.com/app/food/getfoodnutrition?fdcid=171320" r:id="rId1447"/>
    <hyperlink xmlns:r="http://schemas.openxmlformats.org/officeDocument/2006/relationships" ref="BB28" display="https://www.logixpathchef.com/app/food/getfoodnutrition?fdcid=171320" r:id="rId1448"/>
    <hyperlink xmlns:r="http://schemas.openxmlformats.org/officeDocument/2006/relationships" ref="BC28" display="https://www.logixpathchef.com/app/food/getfoodnutrition?fdcid=171320" r:id="rId1449"/>
    <hyperlink xmlns:r="http://schemas.openxmlformats.org/officeDocument/2006/relationships" ref="BD28" display="https://www.logixpathchef.com/app/food/getfoodnutrition?fdcid=171320" r:id="rId1450"/>
    <hyperlink xmlns:r="http://schemas.openxmlformats.org/officeDocument/2006/relationships" ref="BE28" display="https://www.logixpathchef.com/app/food/getfoodnutrition?fdcid=171320" r:id="rId1451"/>
    <hyperlink xmlns:r="http://schemas.openxmlformats.org/officeDocument/2006/relationships" ref="BF28" display="https://www.logixpathchef.com/app/food/getfoodnutrition?fdcid=171320" r:id="rId1452"/>
    <hyperlink xmlns:r="http://schemas.openxmlformats.org/officeDocument/2006/relationships" ref="BG28" display="https://www.logixpathchef.com/app/food/getfoodnutrition?fdcid=171320" r:id="rId1453"/>
    <hyperlink xmlns:r="http://schemas.openxmlformats.org/officeDocument/2006/relationships" ref="BH28" display="https://www.logixpathchef.com/app/food/getfoodnutrition?fdcid=171320" r:id="rId1454"/>
    <hyperlink xmlns:r="http://schemas.openxmlformats.org/officeDocument/2006/relationships" ref="BI28" display="https://www.logixpathchef.com/app/food/getfoodnutrition?fdcid=171320" r:id="rId1455"/>
    <hyperlink xmlns:r="http://schemas.openxmlformats.org/officeDocument/2006/relationships" ref="BJ28" display="https://www.logixpathchef.com/app/food/getfoodnutrition?fdcid=171320" r:id="rId1456"/>
    <hyperlink xmlns:r="http://schemas.openxmlformats.org/officeDocument/2006/relationships" ref="BK28" display="https://www.logixpathchef.com/app/food/getfoodnutrition?fdcid=171320" r:id="rId1457"/>
    <hyperlink xmlns:r="http://schemas.openxmlformats.org/officeDocument/2006/relationships" ref="BL28" display="https://www.logixpathchef.com/app/food/getfoodnutrition?fdcid=171320" r:id="rId1458"/>
    <hyperlink xmlns:r="http://schemas.openxmlformats.org/officeDocument/2006/relationships" ref="BM28" display="https://www.logixpathchef.com/app/food/getfoodnutrition?fdcid=171320" r:id="rId1459"/>
    <hyperlink xmlns:r="http://schemas.openxmlformats.org/officeDocument/2006/relationships" ref="BN28" display="https://www.logixpathchef.com/app/food/getfoodnutrition?fdcid=171320" r:id="rId1460"/>
    <hyperlink xmlns:r="http://schemas.openxmlformats.org/officeDocument/2006/relationships" ref="BO28" display="https://www.logixpathchef.com/app/food/getfoodnutrition?fdcid=171320" r:id="rId1461"/>
    <hyperlink xmlns:r="http://schemas.openxmlformats.org/officeDocument/2006/relationships" ref="BP28" display="https://www.logixpathchef.com/app/food/getfoodnutrition?fdcid=171320" r:id="rId1462"/>
    <hyperlink xmlns:r="http://schemas.openxmlformats.org/officeDocument/2006/relationships" ref="BQ28" display="https://www.logixpathchef.com/app/food/getfoodnutrition?fdcid=171320" r:id="rId1463"/>
    <hyperlink xmlns:r="http://schemas.openxmlformats.org/officeDocument/2006/relationships" ref="BR28" display="https://www.logixpathchef.com/app/food/getfoodnutrition?fdcid=171320" r:id="rId1464"/>
    <hyperlink xmlns:r="http://schemas.openxmlformats.org/officeDocument/2006/relationships" ref="BS28" display="https://www.logixpathchef.com/app/food/getfoodnutrition?fdcid=171320" r:id="rId1465"/>
    <hyperlink xmlns:r="http://schemas.openxmlformats.org/officeDocument/2006/relationships" ref="BT28" display="https://www.logixpathchef.com/app/food/getfoodnutrition?fdcid=171320" r:id="rId1466"/>
    <hyperlink xmlns:r="http://schemas.openxmlformats.org/officeDocument/2006/relationships" ref="BU28" display="https://www.logixpathchef.com/app/food/getfoodnutrition?fdcid=171320" r:id="rId1467"/>
    <hyperlink xmlns:r="http://schemas.openxmlformats.org/officeDocument/2006/relationships" ref="BV28" display="https://www.logixpathchef.com/app/food/getfoodnutrition?fdcid=171320" r:id="rId1468"/>
    <hyperlink xmlns:r="http://schemas.openxmlformats.org/officeDocument/2006/relationships" ref="BW28" display="https://www.logixpathchef.com/app/food/getfoodnutrition?fdcid=171320" r:id="rId1469"/>
    <hyperlink xmlns:r="http://schemas.openxmlformats.org/officeDocument/2006/relationships" ref="BX28" display="https://www.logixpathchef.com/app/food/getfoodnutrition?fdcid=171320" r:id="rId1470"/>
    <hyperlink xmlns:r="http://schemas.openxmlformats.org/officeDocument/2006/relationships" ref="BY28" display="https://www.logixpathchef.com/app/food/getfoodnutrition?fdcid=171320" r:id="rId1471"/>
    <hyperlink xmlns:r="http://schemas.openxmlformats.org/officeDocument/2006/relationships" ref="BZ28" display="https://www.logixpathchef.com/app/food/getfoodnutrition?fdcid=171320" r:id="rId1472"/>
    <hyperlink xmlns:r="http://schemas.openxmlformats.org/officeDocument/2006/relationships" ref="CA28" display="https://www.logixpathchef.com/app/food/getfoodnutrition?fdcid=171320" r:id="rId1473"/>
    <hyperlink xmlns:r="http://schemas.openxmlformats.org/officeDocument/2006/relationships" ref="CB28" display="https://www.logixpathchef.com/app/food/getfoodnutrition?fdcid=171320" r:id="rId1474"/>
    <hyperlink xmlns:r="http://schemas.openxmlformats.org/officeDocument/2006/relationships" ref="CC28" display="https://www.logixpathchef.com/app/food/getfoodnutrition?fdcid=171320" r:id="rId1475"/>
    <hyperlink xmlns:r="http://schemas.openxmlformats.org/officeDocument/2006/relationships" ref="CD28" display="https://www.logixpathchef.com/app/food/getfoodnutrition?fdcid=171320" r:id="rId1476"/>
    <hyperlink xmlns:r="http://schemas.openxmlformats.org/officeDocument/2006/relationships" ref="CE28" display="https://www.logixpathchef.com/app/food/getfoodnutrition?fdcid=171320" r:id="rId1477"/>
    <hyperlink xmlns:r="http://schemas.openxmlformats.org/officeDocument/2006/relationships" ref="CF28" display="https://www.logixpathchef.com/app/food/getfoodnutrition?fdcid=171320" r:id="rId1478"/>
    <hyperlink xmlns:r="http://schemas.openxmlformats.org/officeDocument/2006/relationships" ref="CG28" display="https://www.logixpathchef.com/app/food/getfoodnutrition?fdcid=171320" r:id="rId1479"/>
    <hyperlink xmlns:r="http://schemas.openxmlformats.org/officeDocument/2006/relationships" ref="CH28" display="https://www.logixpathchef.com/app/food/getfoodnutrition?fdcid=171320" r:id="rId1480"/>
    <hyperlink xmlns:r="http://schemas.openxmlformats.org/officeDocument/2006/relationships" ref="CI28" display="https://www.logixpathchef.com/app/food/getfoodnutrition?fdcid=171320" r:id="rId1481"/>
    <hyperlink xmlns:r="http://schemas.openxmlformats.org/officeDocument/2006/relationships" ref="CJ28" display="https://www.logixpathchef.com/app/food/getfoodnutrition?fdcid=171320" r:id="rId1482"/>
    <hyperlink xmlns:r="http://schemas.openxmlformats.org/officeDocument/2006/relationships" ref="CK28" display="https://www.logixpathchef.com/app/food/getfoodnutrition?fdcid=171320" r:id="rId1483"/>
    <hyperlink xmlns:r="http://schemas.openxmlformats.org/officeDocument/2006/relationships" ref="CL28" display="https://www.logixpathchef.com/app/food/getfoodnutrition?fdcid=171320" r:id="rId1484"/>
    <hyperlink xmlns:r="http://schemas.openxmlformats.org/officeDocument/2006/relationships" ref="CM28" display="https://www.logixpathchef.com/app/food/getfoodnutrition?fdcid=171320" r:id="rId1485"/>
    <hyperlink xmlns:r="http://schemas.openxmlformats.org/officeDocument/2006/relationships" ref="CN28" display="https://www.logixpathchef.com/app/food/getfoodnutrition?fdcid=171320" r:id="rId1486"/>
    <hyperlink xmlns:r="http://schemas.openxmlformats.org/officeDocument/2006/relationships" ref="CO28" display="https://www.logixpathchef.com/app/food/getfoodnutrition?fdcid=171320" r:id="rId1487"/>
    <hyperlink xmlns:r="http://schemas.openxmlformats.org/officeDocument/2006/relationships" ref="CP28" display="https://www.logixpathchef.com/app/food/getfoodnutrition?fdcid=171320" r:id="rId1488"/>
    <hyperlink xmlns:r="http://schemas.openxmlformats.org/officeDocument/2006/relationships" ref="CQ28" display="https://www.logixpathchef.com/app/food/getfoodnutrition?fdcid=171320" r:id="rId1489"/>
    <hyperlink xmlns:r="http://schemas.openxmlformats.org/officeDocument/2006/relationships" ref="CR28" display="https://www.logixpathchef.com/app/food/getfoodnutrition?fdcid=171320" r:id="rId1490"/>
    <hyperlink xmlns:r="http://schemas.openxmlformats.org/officeDocument/2006/relationships" ref="CS28" display="https://www.fda.gov/media/159745/download" r:id="rId1491"/>
    <hyperlink xmlns:r="http://schemas.openxmlformats.org/officeDocument/2006/relationships" ref="CT28" display="https://www.fda.gov/media/159745/download" r:id="rId1492"/>
    <hyperlink xmlns:r="http://schemas.openxmlformats.org/officeDocument/2006/relationships" ref="CU28" display="https://www.fda.gov/media/159745/download" r:id="rId1493"/>
    <hyperlink xmlns:r="http://schemas.openxmlformats.org/officeDocument/2006/relationships" ref="CV28" display="https://www.fda.gov/media/159745/download" r:id="rId1494"/>
    <hyperlink xmlns:r="http://schemas.openxmlformats.org/officeDocument/2006/relationships" ref="O30" display="https://www.wholefoodsmarket.com/product/365-by-whole-foods-market-organic-ground-mustard-seed-169-oz" r:id="rId1495"/>
    <hyperlink xmlns:r="http://schemas.openxmlformats.org/officeDocument/2006/relationships" ref="P30" display="https://www.wholefoodsmarket.com/product/365-by-whole-foods-market-organic-ground-mustard-seed-169-oz" r:id="rId1496"/>
    <hyperlink xmlns:r="http://schemas.openxmlformats.org/officeDocument/2006/relationships" ref="Q30" display="https://www.wholefoodsmarket.com/product/365-by-whole-foods-market-organic-ground-mustard-seed-169-oz" r:id="rId1497"/>
    <hyperlink xmlns:r="http://schemas.openxmlformats.org/officeDocument/2006/relationships" ref="R30" display="https://www.wholefoodsmarket.com/product/365-by-whole-foods-market-organic-ground-mustard-seed-169-oz" r:id="rId1498"/>
    <hyperlink xmlns:r="http://schemas.openxmlformats.org/officeDocument/2006/relationships" ref="S30" display="https://www.wholefoodsmarket.com/product/365-by-whole-foods-market-organic-ground-mustard-seed-169-oz" r:id="rId1499"/>
    <hyperlink xmlns:r="http://schemas.openxmlformats.org/officeDocument/2006/relationships" ref="T30" display="https://www.wholefoodsmarket.com/product/365-by-whole-foods-market-organic-ground-mustard-seed-169-oz" r:id="rId1500"/>
    <hyperlink xmlns:r="http://schemas.openxmlformats.org/officeDocument/2006/relationships" ref="U30" display="https://www.wholefoodsmarket.com/product/365-by-whole-foods-market-organic-ground-mustard-seed-169-oz" r:id="rId1501"/>
    <hyperlink xmlns:r="http://schemas.openxmlformats.org/officeDocument/2006/relationships" ref="W30" display="https://www.wholefoodsmarket.com/product/365-by-whole-foods-market-organic-ground-mustard-seed-169-oz" r:id="rId1502"/>
    <hyperlink xmlns:r="http://schemas.openxmlformats.org/officeDocument/2006/relationships" ref="X30" display="https://www.wholefoodsmarket.com/product/365-by-whole-foods-market-organic-ground-mustard-seed-169-oz" r:id="rId1503"/>
    <hyperlink xmlns:r="http://schemas.openxmlformats.org/officeDocument/2006/relationships" ref="Y30" display="https://www.wholefoodsmarket.com/product/365-by-whole-foods-market-organic-ground-mustard-seed-169-oz" r:id="rId1504"/>
    <hyperlink xmlns:r="http://schemas.openxmlformats.org/officeDocument/2006/relationships" ref="Z30" display="https://www.wholefoodsmarket.com/product/365-by-whole-foods-market-organic-ground-mustard-seed-169-oz" r:id="rId1505"/>
    <hyperlink xmlns:r="http://schemas.openxmlformats.org/officeDocument/2006/relationships" ref="AA30" display="https://www.wholefoodsmarket.com/product/365-by-whole-foods-market-organic-ground-mustard-seed-169-oz" r:id="rId1506"/>
    <hyperlink xmlns:r="http://schemas.openxmlformats.org/officeDocument/2006/relationships" ref="AB30" display="https://www.wholefoodsmarket.com/product/365-by-whole-foods-market-organic-ground-mustard-seed-169-oz" r:id="rId1507"/>
    <hyperlink xmlns:r="http://schemas.openxmlformats.org/officeDocument/2006/relationships" ref="AC30" display="https://www.wholefoodsmarket.com/product/365-by-whole-foods-market-organic-ground-mustard-seed-169-oz" r:id="rId1508"/>
    <hyperlink xmlns:r="http://schemas.openxmlformats.org/officeDocument/2006/relationships" ref="AD30" display="https://www.wholefoodsmarket.com/product/365-by-whole-foods-market-organic-ground-mustard-seed-169-oz" r:id="rId1509"/>
    <hyperlink xmlns:r="http://schemas.openxmlformats.org/officeDocument/2006/relationships" ref="AE30" display="https://www.wholefoodsmarket.com/product/365-by-whole-foods-market-organic-ground-mustard-seed-169-oz" r:id="rId1510"/>
    <hyperlink xmlns:r="http://schemas.openxmlformats.org/officeDocument/2006/relationships" ref="AF30" display="https://www.wholefoodsmarket.com/product/365-by-whole-foods-market-organic-ground-mustard-seed-169-oz" r:id="rId1511"/>
    <hyperlink xmlns:r="http://schemas.openxmlformats.org/officeDocument/2006/relationships" ref="AH30" display="https://www.wholefoodsmarket.com/product/365-by-whole-foods-market-organic-ground-mustard-seed-169-oz" r:id="rId1512"/>
    <hyperlink xmlns:r="http://schemas.openxmlformats.org/officeDocument/2006/relationships" ref="AJ30" display="https://www.wholefoodsmarket.com/product/365-by-whole-foods-market-organic-ground-mustard-seed-169-oz" r:id="rId1513"/>
    <hyperlink xmlns:r="http://schemas.openxmlformats.org/officeDocument/2006/relationships" ref="AK30" display="https://www.wholefoodsmarket.com/product/365-by-whole-foods-market-organic-ground-mustard-seed-169-oz" r:id="rId1514"/>
    <hyperlink xmlns:r="http://schemas.openxmlformats.org/officeDocument/2006/relationships" ref="AL30" display="https://www.wholefoodsmarket.com/product/365-by-whole-foods-market-organic-ground-mustard-seed-169-oz" r:id="rId1515"/>
    <hyperlink xmlns:r="http://schemas.openxmlformats.org/officeDocument/2006/relationships" ref="AM30" display="https://www.wholefoodsmarket.com/product/365-by-whole-foods-market-organic-ground-mustard-seed-169-oz" r:id="rId1516"/>
    <hyperlink xmlns:r="http://schemas.openxmlformats.org/officeDocument/2006/relationships" ref="AN30" display="https://www.wholefoodsmarket.com/product/365-by-whole-foods-market-organic-ground-mustard-seed-169-oz" r:id="rId1517"/>
    <hyperlink xmlns:r="http://schemas.openxmlformats.org/officeDocument/2006/relationships" ref="AO30" display="https://www.wholefoodsmarket.com/product/365-by-whole-foods-market-organic-ground-mustard-seed-169-oz" r:id="rId1518"/>
    <hyperlink xmlns:r="http://schemas.openxmlformats.org/officeDocument/2006/relationships" ref="AP30" display="https://www.wholefoodsmarket.com/product/365-by-whole-foods-market-organic-ground-mustard-seed-169-oz" r:id="rId1519"/>
    <hyperlink xmlns:r="http://schemas.openxmlformats.org/officeDocument/2006/relationships" ref="AQ30" display="https://www.wholefoodsmarket.com/product/365-by-whole-foods-market-organic-ground-mustard-seed-169-oz" r:id="rId1520"/>
    <hyperlink xmlns:r="http://schemas.openxmlformats.org/officeDocument/2006/relationships" ref="AR30" display="https://www.wholefoodsmarket.com/product/365-by-whole-foods-market-organic-ground-mustard-seed-169-oz" r:id="rId1521"/>
    <hyperlink xmlns:r="http://schemas.openxmlformats.org/officeDocument/2006/relationships" ref="AS30" display="https://www.wholefoodsmarket.com/product/365-by-whole-foods-market-organic-ground-mustard-seed-169-oz" r:id="rId1522"/>
    <hyperlink xmlns:r="http://schemas.openxmlformats.org/officeDocument/2006/relationships" ref="AT30" display="https://www.wholefoodsmarket.com/product/365-by-whole-foods-market-organic-ground-mustard-seed-169-oz" r:id="rId1523"/>
    <hyperlink xmlns:r="http://schemas.openxmlformats.org/officeDocument/2006/relationships" ref="AU30" display="https://www.wholefoodsmarket.com/product/365-by-whole-foods-market-organic-ground-mustard-seed-169-oz" r:id="rId1524"/>
    <hyperlink xmlns:r="http://schemas.openxmlformats.org/officeDocument/2006/relationships" ref="AV30" display="https://www.wholefoodsmarket.com/product/365-by-whole-foods-market-organic-ground-mustard-seed-169-oz" r:id="rId1525"/>
    <hyperlink xmlns:r="http://schemas.openxmlformats.org/officeDocument/2006/relationships" ref="AW30" display="https://www.wholefoodsmarket.com/product/365-by-whole-foods-market-organic-ground-mustard-seed-169-oz" r:id="rId1526"/>
    <hyperlink xmlns:r="http://schemas.openxmlformats.org/officeDocument/2006/relationships" ref="AX30" display="https://www.wholefoodsmarket.com/product/365-by-whole-foods-market-organic-ground-mustard-seed-169-oz" r:id="rId1527"/>
    <hyperlink xmlns:r="http://schemas.openxmlformats.org/officeDocument/2006/relationships" ref="AY30" display="https://www.wholefoodsmarket.com/product/365-by-whole-foods-market-organic-ground-mustard-seed-169-oz" r:id="rId1528"/>
    <hyperlink xmlns:r="http://schemas.openxmlformats.org/officeDocument/2006/relationships" ref="AZ30" display="https://www.wholefoodsmarket.com/product/365-by-whole-foods-market-organic-ground-mustard-seed-169-oz" r:id="rId1529"/>
    <hyperlink xmlns:r="http://schemas.openxmlformats.org/officeDocument/2006/relationships" ref="BA30" display="https://www.wholefoodsmarket.com/product/365-by-whole-foods-market-organic-ground-mustard-seed-169-oz" r:id="rId1530"/>
    <hyperlink xmlns:r="http://schemas.openxmlformats.org/officeDocument/2006/relationships" ref="BB30" display="https://www.wholefoodsmarket.com/product/365-by-whole-foods-market-organic-ground-mustard-seed-169-oz" r:id="rId1531"/>
    <hyperlink xmlns:r="http://schemas.openxmlformats.org/officeDocument/2006/relationships" ref="BC30" display="https://www.wholefoodsmarket.com/product/365-by-whole-foods-market-organic-ground-mustard-seed-169-oz" r:id="rId1532"/>
    <hyperlink xmlns:r="http://schemas.openxmlformats.org/officeDocument/2006/relationships" ref="BD30" display="https://www.wholefoodsmarket.com/product/365-by-whole-foods-market-organic-ground-mustard-seed-169-oz" r:id="rId1533"/>
    <hyperlink xmlns:r="http://schemas.openxmlformats.org/officeDocument/2006/relationships" ref="BE30" display="https://www.wholefoodsmarket.com/product/365-by-whole-foods-market-organic-ground-mustard-seed-169-oz" r:id="rId1534"/>
    <hyperlink xmlns:r="http://schemas.openxmlformats.org/officeDocument/2006/relationships" ref="BF30" display="https://www.wholefoodsmarket.com/product/365-by-whole-foods-market-organic-ground-mustard-seed-169-oz" r:id="rId1535"/>
    <hyperlink xmlns:r="http://schemas.openxmlformats.org/officeDocument/2006/relationships" ref="BG30" display="https://www.wholefoodsmarket.com/product/365-by-whole-foods-market-organic-ground-mustard-seed-169-oz" r:id="rId1536"/>
    <hyperlink xmlns:r="http://schemas.openxmlformats.org/officeDocument/2006/relationships" ref="BH30" display="https://www.wholefoodsmarket.com/product/365-by-whole-foods-market-organic-ground-mustard-seed-169-oz" r:id="rId1537"/>
    <hyperlink xmlns:r="http://schemas.openxmlformats.org/officeDocument/2006/relationships" ref="BI30" display="https://www.wholefoodsmarket.com/product/365-by-whole-foods-market-organic-ground-mustard-seed-169-oz" r:id="rId1538"/>
    <hyperlink xmlns:r="http://schemas.openxmlformats.org/officeDocument/2006/relationships" ref="BJ30" display="https://www.wholefoodsmarket.com/product/365-by-whole-foods-market-organic-ground-mustard-seed-169-oz" r:id="rId1539"/>
    <hyperlink xmlns:r="http://schemas.openxmlformats.org/officeDocument/2006/relationships" ref="BK30" display="https://www.wholefoodsmarket.com/product/365-by-whole-foods-market-organic-ground-mustard-seed-169-oz" r:id="rId1540"/>
    <hyperlink xmlns:r="http://schemas.openxmlformats.org/officeDocument/2006/relationships" ref="BL30" display="https://www.wholefoodsmarket.com/product/365-by-whole-foods-market-organic-ground-mustard-seed-169-oz" r:id="rId1541"/>
    <hyperlink xmlns:r="http://schemas.openxmlformats.org/officeDocument/2006/relationships" ref="BM30" display="https://www.wholefoodsmarket.com/product/365-by-whole-foods-market-organic-ground-mustard-seed-169-oz" r:id="rId1542"/>
    <hyperlink xmlns:r="http://schemas.openxmlformats.org/officeDocument/2006/relationships" ref="BN30" display="https://www.wholefoodsmarket.com/product/365-by-whole-foods-market-organic-ground-mustard-seed-169-oz" r:id="rId1543"/>
    <hyperlink xmlns:r="http://schemas.openxmlformats.org/officeDocument/2006/relationships" ref="BO30" display="https://www.wholefoodsmarket.com/product/365-by-whole-foods-market-organic-ground-mustard-seed-169-oz" r:id="rId1544"/>
    <hyperlink xmlns:r="http://schemas.openxmlformats.org/officeDocument/2006/relationships" ref="BP30" display="https://www.wholefoodsmarket.com/product/365-by-whole-foods-market-organic-ground-mustard-seed-169-oz" r:id="rId1545"/>
    <hyperlink xmlns:r="http://schemas.openxmlformats.org/officeDocument/2006/relationships" ref="BQ30" display="https://www.wholefoodsmarket.com/product/365-by-whole-foods-market-organic-ground-mustard-seed-169-oz" r:id="rId1546"/>
    <hyperlink xmlns:r="http://schemas.openxmlformats.org/officeDocument/2006/relationships" ref="BR30" display="https://www.wholefoodsmarket.com/product/365-by-whole-foods-market-organic-ground-mustard-seed-169-oz" r:id="rId1547"/>
    <hyperlink xmlns:r="http://schemas.openxmlformats.org/officeDocument/2006/relationships" ref="BS30" display="https://www.wholefoodsmarket.com/product/365-by-whole-foods-market-organic-ground-mustard-seed-169-oz" r:id="rId1548"/>
    <hyperlink xmlns:r="http://schemas.openxmlformats.org/officeDocument/2006/relationships" ref="BT30" display="https://www.wholefoodsmarket.com/product/365-by-whole-foods-market-organic-ground-mustard-seed-169-oz" r:id="rId1549"/>
    <hyperlink xmlns:r="http://schemas.openxmlformats.org/officeDocument/2006/relationships" ref="BU30" display="https://www.wholefoodsmarket.com/product/365-by-whole-foods-market-organic-ground-mustard-seed-169-oz" r:id="rId1550"/>
    <hyperlink xmlns:r="http://schemas.openxmlformats.org/officeDocument/2006/relationships" ref="BV30" display="https://www.wholefoodsmarket.com/product/365-by-whole-foods-market-organic-ground-mustard-seed-169-oz" r:id="rId1551"/>
    <hyperlink xmlns:r="http://schemas.openxmlformats.org/officeDocument/2006/relationships" ref="BW30" display="https://www.wholefoodsmarket.com/product/365-by-whole-foods-market-organic-ground-mustard-seed-169-oz" r:id="rId1552"/>
    <hyperlink xmlns:r="http://schemas.openxmlformats.org/officeDocument/2006/relationships" ref="BX30" display="https://www.wholefoodsmarket.com/product/365-by-whole-foods-market-organic-ground-mustard-seed-169-oz" r:id="rId1553"/>
    <hyperlink xmlns:r="http://schemas.openxmlformats.org/officeDocument/2006/relationships" ref="BY30" display="https://www.wholefoodsmarket.com/product/365-by-whole-foods-market-organic-ground-mustard-seed-169-oz" r:id="rId1554"/>
    <hyperlink xmlns:r="http://schemas.openxmlformats.org/officeDocument/2006/relationships" ref="BZ30" display="https://www.wholefoodsmarket.com/product/365-by-whole-foods-market-organic-ground-mustard-seed-169-oz" r:id="rId1555"/>
    <hyperlink xmlns:r="http://schemas.openxmlformats.org/officeDocument/2006/relationships" ref="CA30" display="https://www.wholefoodsmarket.com/product/365-by-whole-foods-market-organic-ground-mustard-seed-169-oz" r:id="rId1556"/>
    <hyperlink xmlns:r="http://schemas.openxmlformats.org/officeDocument/2006/relationships" ref="CB30" display="https://www.wholefoodsmarket.com/product/365-by-whole-foods-market-organic-ground-mustard-seed-169-oz" r:id="rId1557"/>
    <hyperlink xmlns:r="http://schemas.openxmlformats.org/officeDocument/2006/relationships" ref="CC30" display="https://www.wholefoodsmarket.com/product/365-by-whole-foods-market-organic-ground-mustard-seed-169-oz" r:id="rId1558"/>
    <hyperlink xmlns:r="http://schemas.openxmlformats.org/officeDocument/2006/relationships" ref="CD30" display="https://www.wholefoodsmarket.com/product/365-by-whole-foods-market-organic-ground-mustard-seed-169-oz" r:id="rId1559"/>
    <hyperlink xmlns:r="http://schemas.openxmlformats.org/officeDocument/2006/relationships" ref="CE30" display="https://www.wholefoodsmarket.com/product/365-by-whole-foods-market-organic-ground-mustard-seed-169-oz" r:id="rId1560"/>
    <hyperlink xmlns:r="http://schemas.openxmlformats.org/officeDocument/2006/relationships" ref="CF30" display="https://www.wholefoodsmarket.com/product/365-by-whole-foods-market-organic-ground-mustard-seed-169-oz" r:id="rId1561"/>
    <hyperlink xmlns:r="http://schemas.openxmlformats.org/officeDocument/2006/relationships" ref="CG30" display="https://www.wholefoodsmarket.com/product/365-by-whole-foods-market-organic-ground-mustard-seed-169-oz" r:id="rId1562"/>
    <hyperlink xmlns:r="http://schemas.openxmlformats.org/officeDocument/2006/relationships" ref="CH30" display="https://www.wholefoodsmarket.com/product/365-by-whole-foods-market-organic-ground-mustard-seed-169-oz" r:id="rId1563"/>
    <hyperlink xmlns:r="http://schemas.openxmlformats.org/officeDocument/2006/relationships" ref="CI30" display="https://www.wholefoodsmarket.com/product/365-by-whole-foods-market-organic-ground-mustard-seed-169-oz" r:id="rId1564"/>
    <hyperlink xmlns:r="http://schemas.openxmlformats.org/officeDocument/2006/relationships" ref="CJ30" display="https://www.wholefoodsmarket.com/product/365-by-whole-foods-market-organic-ground-mustard-seed-169-oz" r:id="rId1565"/>
    <hyperlink xmlns:r="http://schemas.openxmlformats.org/officeDocument/2006/relationships" ref="CK30" display="https://www.wholefoodsmarket.com/product/365-by-whole-foods-market-organic-ground-mustard-seed-169-oz" r:id="rId1566"/>
    <hyperlink xmlns:r="http://schemas.openxmlformats.org/officeDocument/2006/relationships" ref="CL30" display="https://www.wholefoodsmarket.com/product/365-by-whole-foods-market-organic-ground-mustard-seed-169-oz" r:id="rId1567"/>
    <hyperlink xmlns:r="http://schemas.openxmlformats.org/officeDocument/2006/relationships" ref="CM30" display="https://www.wholefoodsmarket.com/product/365-by-whole-foods-market-organic-ground-mustard-seed-169-oz" r:id="rId1568"/>
    <hyperlink xmlns:r="http://schemas.openxmlformats.org/officeDocument/2006/relationships" ref="CN30" display="https://www.wholefoodsmarket.com/product/365-by-whole-foods-market-organic-ground-mustard-seed-169-oz" r:id="rId1569"/>
    <hyperlink xmlns:r="http://schemas.openxmlformats.org/officeDocument/2006/relationships" ref="CO30" display="https://www.wholefoodsmarket.com/product/365-by-whole-foods-market-organic-ground-mustard-seed-169-oz" r:id="rId1570"/>
    <hyperlink xmlns:r="http://schemas.openxmlformats.org/officeDocument/2006/relationships" ref="CP30" display="https://www.wholefoodsmarket.com/product/365-by-whole-foods-market-organic-ground-mustard-seed-169-oz" r:id="rId1571"/>
    <hyperlink xmlns:r="http://schemas.openxmlformats.org/officeDocument/2006/relationships" ref="CQ30" display="https://www.wholefoodsmarket.com/product/365-by-whole-foods-market-organic-ground-mustard-seed-169-oz" r:id="rId1572"/>
    <hyperlink xmlns:r="http://schemas.openxmlformats.org/officeDocument/2006/relationships" ref="CR30" display="https://www.wholefoodsmarket.com/product/365-by-whole-foods-market-organic-ground-mustard-seed-169-oz" r:id="rId1573"/>
    <hyperlink xmlns:r="http://schemas.openxmlformats.org/officeDocument/2006/relationships" ref="CS30" display="https://www.wholefoodsmarket.com/product/365-by-whole-foods-market-organic-ground-mustard-seed-169-oz" r:id="rId1574"/>
    <hyperlink xmlns:r="http://schemas.openxmlformats.org/officeDocument/2006/relationships" ref="CT30" display="https://www.wholefoodsmarket.com/product/365-by-whole-foods-market-organic-ground-mustard-seed-169-oz" r:id="rId1575"/>
    <hyperlink xmlns:r="http://schemas.openxmlformats.org/officeDocument/2006/relationships" ref="CU30" display="https://www.wholefoodsmarket.com/product/365-by-whole-foods-market-organic-ground-mustard-seed-169-oz" r:id="rId1576"/>
    <hyperlink xmlns:r="http://schemas.openxmlformats.org/officeDocument/2006/relationships" ref="CV30" display="https://www.wholefoodsmarket.com/product/365-by-whole-foods-market-organic-ground-mustard-seed-169-oz" r:id="rId1577"/>
    <hyperlink xmlns:r="http://schemas.openxmlformats.org/officeDocument/2006/relationships" ref="O31" display="https://www.transparentlabs.com/products/strengthseries-cluster-dextrin" r:id="rId1578"/>
    <hyperlink xmlns:r="http://schemas.openxmlformats.org/officeDocument/2006/relationships" ref="P31" display="https://www.transparentlabs.com/products/strengthseries-cluster-dextrin" r:id="rId1579"/>
    <hyperlink xmlns:r="http://schemas.openxmlformats.org/officeDocument/2006/relationships" ref="Q31" display="https://www.transparentlabs.com/products/strengthseries-cluster-dextrin" r:id="rId1580"/>
    <hyperlink xmlns:r="http://schemas.openxmlformats.org/officeDocument/2006/relationships" ref="R31" display="https://www.transparentlabs.com/products/strengthseries-cluster-dextrin" r:id="rId1581"/>
    <hyperlink xmlns:r="http://schemas.openxmlformats.org/officeDocument/2006/relationships" ref="S31" display="https://www.transparentlabs.com/products/strengthseries-cluster-dextrin" r:id="rId1582"/>
    <hyperlink xmlns:r="http://schemas.openxmlformats.org/officeDocument/2006/relationships" ref="T31" display="https://www.transparentlabs.com/products/strengthseries-cluster-dextrin" r:id="rId1583"/>
    <hyperlink xmlns:r="http://schemas.openxmlformats.org/officeDocument/2006/relationships" ref="U31" display="https://www.transparentlabs.com/products/strengthseries-cluster-dextrin" r:id="rId1584"/>
    <hyperlink xmlns:r="http://schemas.openxmlformats.org/officeDocument/2006/relationships" ref="W31" display="https://www.transparentlabs.com/products/strengthseries-cluster-dextrin" r:id="rId1585"/>
    <hyperlink xmlns:r="http://schemas.openxmlformats.org/officeDocument/2006/relationships" ref="X31" display="https://www.transparentlabs.com/products/strengthseries-cluster-dextrin" r:id="rId1586"/>
    <hyperlink xmlns:r="http://schemas.openxmlformats.org/officeDocument/2006/relationships" ref="Y31" display="https://www.transparentlabs.com/products/strengthseries-cluster-dextrin" r:id="rId1587"/>
    <hyperlink xmlns:r="http://schemas.openxmlformats.org/officeDocument/2006/relationships" ref="Z31" display="https://www.transparentlabs.com/products/strengthseries-cluster-dextrin" r:id="rId1588"/>
    <hyperlink xmlns:r="http://schemas.openxmlformats.org/officeDocument/2006/relationships" ref="AA31" display="https://www.transparentlabs.com/products/strengthseries-cluster-dextrin" r:id="rId1589"/>
    <hyperlink xmlns:r="http://schemas.openxmlformats.org/officeDocument/2006/relationships" ref="AB31" display="https://www.transparentlabs.com/products/strengthseries-cluster-dextrin" r:id="rId1590"/>
    <hyperlink xmlns:r="http://schemas.openxmlformats.org/officeDocument/2006/relationships" ref="AC31" display="https://www.transparentlabs.com/products/strengthseries-cluster-dextrin" r:id="rId1591"/>
    <hyperlink xmlns:r="http://schemas.openxmlformats.org/officeDocument/2006/relationships" ref="AD31" display="https://www.transparentlabs.com/products/strengthseries-cluster-dextrin" r:id="rId1592"/>
    <hyperlink xmlns:r="http://schemas.openxmlformats.org/officeDocument/2006/relationships" ref="AE31" display="https://www.transparentlabs.com/products/strengthseries-cluster-dextrin" r:id="rId1593"/>
    <hyperlink xmlns:r="http://schemas.openxmlformats.org/officeDocument/2006/relationships" ref="AF31" display="https://www.transparentlabs.com/products/strengthseries-cluster-dextrin" r:id="rId1594"/>
    <hyperlink xmlns:r="http://schemas.openxmlformats.org/officeDocument/2006/relationships" ref="AH31" display="https://www.transparentlabs.com/products/strengthseries-cluster-dextrin" r:id="rId1595"/>
    <hyperlink xmlns:r="http://schemas.openxmlformats.org/officeDocument/2006/relationships" ref="AJ31" display="https://www.transparentlabs.com/products/strengthseries-cluster-dextrin" r:id="rId1596"/>
    <hyperlink xmlns:r="http://schemas.openxmlformats.org/officeDocument/2006/relationships" ref="AK31" display="https://www.transparentlabs.com/products/strengthseries-cluster-dextrin" r:id="rId1597"/>
    <hyperlink xmlns:r="http://schemas.openxmlformats.org/officeDocument/2006/relationships" ref="AL31" display="https://www.transparentlabs.com/products/strengthseries-cluster-dextrin" r:id="rId1598"/>
    <hyperlink xmlns:r="http://schemas.openxmlformats.org/officeDocument/2006/relationships" ref="AM31" display="https://www.transparentlabs.com/products/strengthseries-cluster-dextrin" r:id="rId1599"/>
    <hyperlink xmlns:r="http://schemas.openxmlformats.org/officeDocument/2006/relationships" ref="AN31" display="https://www.transparentlabs.com/products/strengthseries-cluster-dextrin" r:id="rId1600"/>
    <hyperlink xmlns:r="http://schemas.openxmlformats.org/officeDocument/2006/relationships" ref="AO31" display="https://www.transparentlabs.com/products/strengthseries-cluster-dextrin" r:id="rId1601"/>
    <hyperlink xmlns:r="http://schemas.openxmlformats.org/officeDocument/2006/relationships" ref="AP31" display="https://www.transparentlabs.com/products/strengthseries-cluster-dextrin" r:id="rId1602"/>
    <hyperlink xmlns:r="http://schemas.openxmlformats.org/officeDocument/2006/relationships" ref="AQ31" display="https://www.transparentlabs.com/products/strengthseries-cluster-dextrin" r:id="rId1603"/>
    <hyperlink xmlns:r="http://schemas.openxmlformats.org/officeDocument/2006/relationships" ref="AR31" display="https://www.transparentlabs.com/products/strengthseries-cluster-dextrin" r:id="rId1604"/>
    <hyperlink xmlns:r="http://schemas.openxmlformats.org/officeDocument/2006/relationships" ref="AS31" display="https://www.transparentlabs.com/products/strengthseries-cluster-dextrin" r:id="rId1605"/>
    <hyperlink xmlns:r="http://schemas.openxmlformats.org/officeDocument/2006/relationships" ref="AT31" display="https://www.transparentlabs.com/products/strengthseries-cluster-dextrin" r:id="rId1606"/>
    <hyperlink xmlns:r="http://schemas.openxmlformats.org/officeDocument/2006/relationships" ref="AU31" display="https://www.transparentlabs.com/products/strengthseries-cluster-dextrin" r:id="rId1607"/>
    <hyperlink xmlns:r="http://schemas.openxmlformats.org/officeDocument/2006/relationships" ref="AV31" display="https://www.transparentlabs.com/products/strengthseries-cluster-dextrin" r:id="rId1608"/>
    <hyperlink xmlns:r="http://schemas.openxmlformats.org/officeDocument/2006/relationships" ref="AW31" display="https://www.transparentlabs.com/products/strengthseries-cluster-dextrin" r:id="rId1609"/>
    <hyperlink xmlns:r="http://schemas.openxmlformats.org/officeDocument/2006/relationships" ref="AX31" display="https://www.transparentlabs.com/products/strengthseries-cluster-dextrin" r:id="rId1610"/>
    <hyperlink xmlns:r="http://schemas.openxmlformats.org/officeDocument/2006/relationships" ref="AY31" display="https://www.transparentlabs.com/products/strengthseries-cluster-dextrin" r:id="rId1611"/>
    <hyperlink xmlns:r="http://schemas.openxmlformats.org/officeDocument/2006/relationships" ref="AZ31" display="https://www.transparentlabs.com/products/strengthseries-cluster-dextrin" r:id="rId1612"/>
    <hyperlink xmlns:r="http://schemas.openxmlformats.org/officeDocument/2006/relationships" ref="BA31" display="https://www.transparentlabs.com/products/strengthseries-cluster-dextrin" r:id="rId1613"/>
    <hyperlink xmlns:r="http://schemas.openxmlformats.org/officeDocument/2006/relationships" ref="BB31" display="https://www.transparentlabs.com/products/strengthseries-cluster-dextrin" r:id="rId1614"/>
    <hyperlink xmlns:r="http://schemas.openxmlformats.org/officeDocument/2006/relationships" ref="BC31" display="https://www.transparentlabs.com/products/strengthseries-cluster-dextrin" r:id="rId1615"/>
    <hyperlink xmlns:r="http://schemas.openxmlformats.org/officeDocument/2006/relationships" ref="BD31" display="https://www.transparentlabs.com/products/strengthseries-cluster-dextrin" r:id="rId1616"/>
    <hyperlink xmlns:r="http://schemas.openxmlformats.org/officeDocument/2006/relationships" ref="BE31" display="https://www.transparentlabs.com/products/strengthseries-cluster-dextrin" r:id="rId1617"/>
    <hyperlink xmlns:r="http://schemas.openxmlformats.org/officeDocument/2006/relationships" ref="BF31" display="https://www.transparentlabs.com/products/strengthseries-cluster-dextrin" r:id="rId1618"/>
    <hyperlink xmlns:r="http://schemas.openxmlformats.org/officeDocument/2006/relationships" ref="BG31" display="https://www.transparentlabs.com/products/strengthseries-cluster-dextrin" r:id="rId1619"/>
    <hyperlink xmlns:r="http://schemas.openxmlformats.org/officeDocument/2006/relationships" ref="BH31" display="https://www.transparentlabs.com/products/strengthseries-cluster-dextrin" r:id="rId1620"/>
    <hyperlink xmlns:r="http://schemas.openxmlformats.org/officeDocument/2006/relationships" ref="BI31" display="https://www.transparentlabs.com/products/strengthseries-cluster-dextrin" r:id="rId1621"/>
    <hyperlink xmlns:r="http://schemas.openxmlformats.org/officeDocument/2006/relationships" ref="BJ31" display="https://www.transparentlabs.com/products/strengthseries-cluster-dextrin" r:id="rId1622"/>
    <hyperlink xmlns:r="http://schemas.openxmlformats.org/officeDocument/2006/relationships" ref="BK31" display="https://www.transparentlabs.com/products/strengthseries-cluster-dextrin" r:id="rId1623"/>
    <hyperlink xmlns:r="http://schemas.openxmlformats.org/officeDocument/2006/relationships" ref="BL31" display="https://www.transparentlabs.com/products/strengthseries-cluster-dextrin" r:id="rId1624"/>
    <hyperlink xmlns:r="http://schemas.openxmlformats.org/officeDocument/2006/relationships" ref="BM31" display="https://www.transparentlabs.com/products/strengthseries-cluster-dextrin" r:id="rId1625"/>
    <hyperlink xmlns:r="http://schemas.openxmlformats.org/officeDocument/2006/relationships" ref="BN31" display="https://www.transparentlabs.com/products/strengthseries-cluster-dextrin" r:id="rId1626"/>
    <hyperlink xmlns:r="http://schemas.openxmlformats.org/officeDocument/2006/relationships" ref="BO31" display="https://www.transparentlabs.com/products/strengthseries-cluster-dextrin" r:id="rId1627"/>
    <hyperlink xmlns:r="http://schemas.openxmlformats.org/officeDocument/2006/relationships" ref="BP31" display="https://www.transparentlabs.com/products/strengthseries-cluster-dextrin" r:id="rId1628"/>
    <hyperlink xmlns:r="http://schemas.openxmlformats.org/officeDocument/2006/relationships" ref="BQ31" display="https://www.transparentlabs.com/products/strengthseries-cluster-dextrin" r:id="rId1629"/>
    <hyperlink xmlns:r="http://schemas.openxmlformats.org/officeDocument/2006/relationships" ref="BR31" display="https://www.transparentlabs.com/products/strengthseries-cluster-dextrin" r:id="rId1630"/>
    <hyperlink xmlns:r="http://schemas.openxmlformats.org/officeDocument/2006/relationships" ref="BS31" display="https://www.transparentlabs.com/products/strengthseries-cluster-dextrin" r:id="rId1631"/>
    <hyperlink xmlns:r="http://schemas.openxmlformats.org/officeDocument/2006/relationships" ref="BT31" display="https://www.transparentlabs.com/products/strengthseries-cluster-dextrin" r:id="rId1632"/>
    <hyperlink xmlns:r="http://schemas.openxmlformats.org/officeDocument/2006/relationships" ref="BU31" display="https://www.transparentlabs.com/products/strengthseries-cluster-dextrin" r:id="rId1633"/>
    <hyperlink xmlns:r="http://schemas.openxmlformats.org/officeDocument/2006/relationships" ref="BV31" display="https://www.transparentlabs.com/products/strengthseries-cluster-dextrin" r:id="rId1634"/>
    <hyperlink xmlns:r="http://schemas.openxmlformats.org/officeDocument/2006/relationships" ref="BW31" display="https://www.transparentlabs.com/products/strengthseries-cluster-dextrin" r:id="rId1635"/>
    <hyperlink xmlns:r="http://schemas.openxmlformats.org/officeDocument/2006/relationships" ref="BX31" display="https://www.transparentlabs.com/products/strengthseries-cluster-dextrin" r:id="rId1636"/>
    <hyperlink xmlns:r="http://schemas.openxmlformats.org/officeDocument/2006/relationships" ref="BY31" display="https://www.transparentlabs.com/products/strengthseries-cluster-dextrin" r:id="rId1637"/>
    <hyperlink xmlns:r="http://schemas.openxmlformats.org/officeDocument/2006/relationships" ref="BZ31" display="https://www.transparentlabs.com/products/strengthseries-cluster-dextrin" r:id="rId1638"/>
    <hyperlink xmlns:r="http://schemas.openxmlformats.org/officeDocument/2006/relationships" ref="CA31" display="https://www.transparentlabs.com/products/strengthseries-cluster-dextrin" r:id="rId1639"/>
    <hyperlink xmlns:r="http://schemas.openxmlformats.org/officeDocument/2006/relationships" ref="CB31" display="https://www.transparentlabs.com/products/strengthseries-cluster-dextrin" r:id="rId1640"/>
    <hyperlink xmlns:r="http://schemas.openxmlformats.org/officeDocument/2006/relationships" ref="CC31" display="https://www.transparentlabs.com/products/strengthseries-cluster-dextrin" r:id="rId1641"/>
    <hyperlink xmlns:r="http://schemas.openxmlformats.org/officeDocument/2006/relationships" ref="CD31" display="https://www.transparentlabs.com/products/strengthseries-cluster-dextrin" r:id="rId1642"/>
    <hyperlink xmlns:r="http://schemas.openxmlformats.org/officeDocument/2006/relationships" ref="CE31" display="https://www.transparentlabs.com/products/strengthseries-cluster-dextrin" r:id="rId1643"/>
    <hyperlink xmlns:r="http://schemas.openxmlformats.org/officeDocument/2006/relationships" ref="CF31" display="https://www.transparentlabs.com/products/strengthseries-cluster-dextrin" r:id="rId1644"/>
    <hyperlink xmlns:r="http://schemas.openxmlformats.org/officeDocument/2006/relationships" ref="CG31" display="https://www.transparentlabs.com/products/strengthseries-cluster-dextrin" r:id="rId1645"/>
    <hyperlink xmlns:r="http://schemas.openxmlformats.org/officeDocument/2006/relationships" ref="CH31" display="https://www.transparentlabs.com/products/strengthseries-cluster-dextrin" r:id="rId1646"/>
    <hyperlink xmlns:r="http://schemas.openxmlformats.org/officeDocument/2006/relationships" ref="CI31" display="https://www.transparentlabs.com/products/strengthseries-cluster-dextrin" r:id="rId1647"/>
    <hyperlink xmlns:r="http://schemas.openxmlformats.org/officeDocument/2006/relationships" ref="CJ31" display="https://www.transparentlabs.com/products/strengthseries-cluster-dextrin" r:id="rId1648"/>
    <hyperlink xmlns:r="http://schemas.openxmlformats.org/officeDocument/2006/relationships" ref="CK31" display="https://www.transparentlabs.com/products/strengthseries-cluster-dextrin" r:id="rId1649"/>
    <hyperlink xmlns:r="http://schemas.openxmlformats.org/officeDocument/2006/relationships" ref="CL31" display="https://www.transparentlabs.com/products/strengthseries-cluster-dextrin" r:id="rId1650"/>
    <hyperlink xmlns:r="http://schemas.openxmlformats.org/officeDocument/2006/relationships" ref="CM31" display="https://www.transparentlabs.com/products/strengthseries-cluster-dextrin" r:id="rId1651"/>
    <hyperlink xmlns:r="http://schemas.openxmlformats.org/officeDocument/2006/relationships" ref="CN31" display="https://www.transparentlabs.com/products/strengthseries-cluster-dextrin" r:id="rId1652"/>
    <hyperlink xmlns:r="http://schemas.openxmlformats.org/officeDocument/2006/relationships" ref="CO31" display="https://www.transparentlabs.com/products/strengthseries-cluster-dextrin" r:id="rId1653"/>
    <hyperlink xmlns:r="http://schemas.openxmlformats.org/officeDocument/2006/relationships" ref="CP31" display="https://www.transparentlabs.com/products/strengthseries-cluster-dextrin" r:id="rId1654"/>
    <hyperlink xmlns:r="http://schemas.openxmlformats.org/officeDocument/2006/relationships" ref="CQ31" display="https://www.transparentlabs.com/products/strengthseries-cluster-dextrin" r:id="rId1655"/>
    <hyperlink xmlns:r="http://schemas.openxmlformats.org/officeDocument/2006/relationships" ref="CR31" display="https://www.transparentlabs.com/products/strengthseries-cluster-dextrin" r:id="rId1656"/>
    <hyperlink xmlns:r="http://schemas.openxmlformats.org/officeDocument/2006/relationships" ref="CS31" display="https://www.transparentlabs.com/products/strengthseries-cluster-dextrin" r:id="rId1657"/>
    <hyperlink xmlns:r="http://schemas.openxmlformats.org/officeDocument/2006/relationships" ref="CT31" display="https://www.transparentlabs.com/products/strengthseries-cluster-dextrin" r:id="rId1658"/>
    <hyperlink xmlns:r="http://schemas.openxmlformats.org/officeDocument/2006/relationships" ref="CU31" display="https://www.transparentlabs.com/products/strengthseries-cluster-dextrin" r:id="rId1659"/>
    <hyperlink xmlns:r="http://schemas.openxmlformats.org/officeDocument/2006/relationships" ref="CV31" display="https://www.transparentlabs.com/products/strengthseries-cluster-dextrin" r:id="rId1660"/>
    <hyperlink xmlns:r="http://schemas.openxmlformats.org/officeDocument/2006/relationships" ref="O32" display="https://www.agnroots.com/products/grass-fed-whey-protein-isolate" r:id="rId1661"/>
    <hyperlink xmlns:r="http://schemas.openxmlformats.org/officeDocument/2006/relationships" ref="P32" display="https://www.agnroots.com/products/grass-fed-whey-protein-isolate" r:id="rId1662"/>
    <hyperlink xmlns:r="http://schemas.openxmlformats.org/officeDocument/2006/relationships" ref="Q32" display="https://www.agnroots.com/products/grass-fed-whey-protein-isolate" r:id="rId1663"/>
    <hyperlink xmlns:r="http://schemas.openxmlformats.org/officeDocument/2006/relationships" ref="R32" display="https://www.agnroots.com/products/grass-fed-whey-protein-isolate" r:id="rId1664"/>
    <hyperlink xmlns:r="http://schemas.openxmlformats.org/officeDocument/2006/relationships" ref="S32" display="https://www.agnroots.com/products/grass-fed-whey-protein-isolate" r:id="rId1665"/>
    <hyperlink xmlns:r="http://schemas.openxmlformats.org/officeDocument/2006/relationships" ref="T32" display="https://www.agnroots.com/products/grass-fed-whey-protein-isolate" r:id="rId1666"/>
    <hyperlink xmlns:r="http://schemas.openxmlformats.org/officeDocument/2006/relationships" ref="U32" display="https://www.agnroots.com/products/grass-fed-whey-protein-isolate" r:id="rId1667"/>
    <hyperlink xmlns:r="http://schemas.openxmlformats.org/officeDocument/2006/relationships" ref="W32" display="https://www.agnroots.com/products/grass-fed-whey-protein-isolate" r:id="rId1668"/>
    <hyperlink xmlns:r="http://schemas.openxmlformats.org/officeDocument/2006/relationships" ref="X32" display="https://www.agnroots.com/products/grass-fed-whey-protein-isolate" r:id="rId1669"/>
    <hyperlink xmlns:r="http://schemas.openxmlformats.org/officeDocument/2006/relationships" ref="Y32" display="https://www.agnroots.com/products/grass-fed-whey-protein-isolate" r:id="rId1670"/>
    <hyperlink xmlns:r="http://schemas.openxmlformats.org/officeDocument/2006/relationships" ref="Z32" display="https://www.agnroots.com/products/grass-fed-whey-protein-isolate" r:id="rId1671"/>
    <hyperlink xmlns:r="http://schemas.openxmlformats.org/officeDocument/2006/relationships" ref="AA32" display="https://www.agnroots.com/products/grass-fed-whey-protein-isolate" r:id="rId1672"/>
    <hyperlink xmlns:r="http://schemas.openxmlformats.org/officeDocument/2006/relationships" ref="AB32" display="https://www.agnroots.com/products/grass-fed-whey-protein-isolate" r:id="rId1673"/>
    <hyperlink xmlns:r="http://schemas.openxmlformats.org/officeDocument/2006/relationships" ref="AC32" display="https://www.agnroots.com/products/grass-fed-whey-protein-isolate" r:id="rId1674"/>
    <hyperlink xmlns:r="http://schemas.openxmlformats.org/officeDocument/2006/relationships" ref="AD32" display="https://www.agnroots.com/products/grass-fed-whey-protein-isolate" r:id="rId1675"/>
    <hyperlink xmlns:r="http://schemas.openxmlformats.org/officeDocument/2006/relationships" ref="AE32" display="https://www.agnroots.com/products/grass-fed-whey-protein-isolate" r:id="rId1676"/>
    <hyperlink xmlns:r="http://schemas.openxmlformats.org/officeDocument/2006/relationships" ref="AF32" display="https://www.agnroots.com/products/grass-fed-whey-protein-isolate" r:id="rId1677"/>
    <hyperlink xmlns:r="http://schemas.openxmlformats.org/officeDocument/2006/relationships" ref="AH32" display="https://www.agnroots.com/products/grass-fed-whey-protein-isolate" r:id="rId1678"/>
    <hyperlink xmlns:r="http://schemas.openxmlformats.org/officeDocument/2006/relationships" ref="AJ32" display="https://www.agnroots.com/products/grass-fed-whey-protein-isolate" r:id="rId1679"/>
    <hyperlink xmlns:r="http://schemas.openxmlformats.org/officeDocument/2006/relationships" ref="AK32" display="https://www.agnroots.com/products/grass-fed-whey-protein-isolate" r:id="rId1680"/>
    <hyperlink xmlns:r="http://schemas.openxmlformats.org/officeDocument/2006/relationships" ref="AL32" display="https://www.agnroots.com/products/grass-fed-whey-protein-isolate" r:id="rId1681"/>
    <hyperlink xmlns:r="http://schemas.openxmlformats.org/officeDocument/2006/relationships" ref="AM32" display="https://www.agnroots.com/products/grass-fed-whey-protein-isolate" r:id="rId1682"/>
    <hyperlink xmlns:r="http://schemas.openxmlformats.org/officeDocument/2006/relationships" ref="AN32" display="https://www.agnroots.com/products/grass-fed-whey-protein-isolate" r:id="rId1683"/>
    <hyperlink xmlns:r="http://schemas.openxmlformats.org/officeDocument/2006/relationships" ref="AO32" display="https://www.agnroots.com/products/grass-fed-whey-protein-isolate" r:id="rId1684"/>
    <hyperlink xmlns:r="http://schemas.openxmlformats.org/officeDocument/2006/relationships" ref="AP32" display="https://www.agnroots.com/products/grass-fed-whey-protein-isolate" r:id="rId1685"/>
    <hyperlink xmlns:r="http://schemas.openxmlformats.org/officeDocument/2006/relationships" ref="AQ32" display="https://www.agnroots.com/products/grass-fed-whey-protein-isolate" r:id="rId1686"/>
    <hyperlink xmlns:r="http://schemas.openxmlformats.org/officeDocument/2006/relationships" ref="AR32" display="https://www.agnroots.com/products/grass-fed-whey-protein-isolate" r:id="rId1687"/>
    <hyperlink xmlns:r="http://schemas.openxmlformats.org/officeDocument/2006/relationships" ref="AS32" display="https://www.agnroots.com/products/grass-fed-whey-protein-isolate" r:id="rId1688"/>
    <hyperlink xmlns:r="http://schemas.openxmlformats.org/officeDocument/2006/relationships" ref="AT32" display="https://www.agnroots.com/products/grass-fed-whey-protein-isolate" r:id="rId1689"/>
    <hyperlink xmlns:r="http://schemas.openxmlformats.org/officeDocument/2006/relationships" ref="AU32" display="https://www.agnroots.com/products/grass-fed-whey-protein-isolate" r:id="rId1690"/>
    <hyperlink xmlns:r="http://schemas.openxmlformats.org/officeDocument/2006/relationships" ref="AV32" display="https://www.agnroots.com/products/grass-fed-whey-protein-isolate" r:id="rId1691"/>
    <hyperlink xmlns:r="http://schemas.openxmlformats.org/officeDocument/2006/relationships" ref="AW32" display="https://www.agnroots.com/products/grass-fed-whey-protein-isolate" r:id="rId1692"/>
    <hyperlink xmlns:r="http://schemas.openxmlformats.org/officeDocument/2006/relationships" ref="AX32" display="https://www.agnroots.com/products/grass-fed-whey-protein-isolate" r:id="rId1693"/>
    <hyperlink xmlns:r="http://schemas.openxmlformats.org/officeDocument/2006/relationships" ref="AY32" display="https://www.agnroots.com/products/grass-fed-whey-protein-isolate" r:id="rId1694"/>
    <hyperlink xmlns:r="http://schemas.openxmlformats.org/officeDocument/2006/relationships" ref="AZ32" display="https://www.agnroots.com/products/grass-fed-whey-protein-isolate" r:id="rId1695"/>
    <hyperlink xmlns:r="http://schemas.openxmlformats.org/officeDocument/2006/relationships" ref="BA32" display="https://www.agnroots.com/products/grass-fed-whey-protein-isolate" r:id="rId1696"/>
    <hyperlink xmlns:r="http://schemas.openxmlformats.org/officeDocument/2006/relationships" ref="BB32" display="https://www.agnroots.com/products/grass-fed-whey-protein-isolate" r:id="rId1697"/>
    <hyperlink xmlns:r="http://schemas.openxmlformats.org/officeDocument/2006/relationships" ref="BC32" display="https://www.agnroots.com/products/grass-fed-whey-protein-isolate" r:id="rId1698"/>
    <hyperlink xmlns:r="http://schemas.openxmlformats.org/officeDocument/2006/relationships" ref="BD32" display="https://www.agnroots.com/products/grass-fed-whey-protein-isolate" r:id="rId1699"/>
    <hyperlink xmlns:r="http://schemas.openxmlformats.org/officeDocument/2006/relationships" ref="BE32" display="https://www.agnroots.com/products/grass-fed-whey-protein-isolate" r:id="rId1700"/>
    <hyperlink xmlns:r="http://schemas.openxmlformats.org/officeDocument/2006/relationships" ref="BF32" display="https://www.agnroots.com/products/grass-fed-whey-protein-isolate" r:id="rId1701"/>
    <hyperlink xmlns:r="http://schemas.openxmlformats.org/officeDocument/2006/relationships" ref="BG32" display="https://www.agnroots.com/products/grass-fed-whey-protein-isolate" r:id="rId1702"/>
    <hyperlink xmlns:r="http://schemas.openxmlformats.org/officeDocument/2006/relationships" ref="BH32" display="https://www.agnroots.com/products/grass-fed-whey-protein-isolate" r:id="rId1703"/>
    <hyperlink xmlns:r="http://schemas.openxmlformats.org/officeDocument/2006/relationships" ref="BI32" display="https://www.agnroots.com/products/grass-fed-whey-protein-isolate" r:id="rId1704"/>
    <hyperlink xmlns:r="http://schemas.openxmlformats.org/officeDocument/2006/relationships" ref="BJ32" display="https://www.agnroots.com/products/grass-fed-whey-protein-isolate" r:id="rId1705"/>
    <hyperlink xmlns:r="http://schemas.openxmlformats.org/officeDocument/2006/relationships" ref="BK32" display="https://www.agnroots.com/products/grass-fed-whey-protein-isolate" r:id="rId1706"/>
    <hyperlink xmlns:r="http://schemas.openxmlformats.org/officeDocument/2006/relationships" ref="BL32" display="https://www.agnroots.com/products/grass-fed-whey-protein-isolate" r:id="rId1707"/>
    <hyperlink xmlns:r="http://schemas.openxmlformats.org/officeDocument/2006/relationships" ref="BM32" display="https://www.agnroots.com/products/grass-fed-whey-protein-isolate" r:id="rId1708"/>
    <hyperlink xmlns:r="http://schemas.openxmlformats.org/officeDocument/2006/relationships" ref="BN32" display="https://www.agnroots.com/products/grass-fed-whey-protein-isolate" r:id="rId1709"/>
    <hyperlink xmlns:r="http://schemas.openxmlformats.org/officeDocument/2006/relationships" ref="BO32" display="https://www.agnroots.com/products/grass-fed-whey-protein-isolate" r:id="rId1710"/>
    <hyperlink xmlns:r="http://schemas.openxmlformats.org/officeDocument/2006/relationships" ref="BP32" display="https://www.agnroots.com/products/grass-fed-whey-protein-isolate" r:id="rId1711"/>
    <hyperlink xmlns:r="http://schemas.openxmlformats.org/officeDocument/2006/relationships" ref="BQ32" display="https://www.agnroots.com/products/grass-fed-whey-protein-isolate" r:id="rId1712"/>
    <hyperlink xmlns:r="http://schemas.openxmlformats.org/officeDocument/2006/relationships" ref="BR32" display="https://www.agnroots.com/products/grass-fed-whey-protein-isolate" r:id="rId1713"/>
    <hyperlink xmlns:r="http://schemas.openxmlformats.org/officeDocument/2006/relationships" ref="BS32" display="https://www.agnroots.com/products/grass-fed-whey-protein-isolate" r:id="rId1714"/>
    <hyperlink xmlns:r="http://schemas.openxmlformats.org/officeDocument/2006/relationships" ref="BT32" display="https://www.agnroots.com/products/grass-fed-whey-protein-isolate" r:id="rId1715"/>
    <hyperlink xmlns:r="http://schemas.openxmlformats.org/officeDocument/2006/relationships" ref="BU32" display="https://www.agnroots.com/products/grass-fed-whey-protein-isolate" r:id="rId1716"/>
    <hyperlink xmlns:r="http://schemas.openxmlformats.org/officeDocument/2006/relationships" ref="BV32" display="https://www.agnroots.com/products/grass-fed-whey-protein-isolate" r:id="rId1717"/>
    <hyperlink xmlns:r="http://schemas.openxmlformats.org/officeDocument/2006/relationships" ref="BW32" display="https://www.agnroots.com/products/grass-fed-whey-protein-isolate" r:id="rId1718"/>
    <hyperlink xmlns:r="http://schemas.openxmlformats.org/officeDocument/2006/relationships" ref="BX32" display="https://www.agnroots.com/products/grass-fed-whey-protein-isolate" r:id="rId1719"/>
    <hyperlink xmlns:r="http://schemas.openxmlformats.org/officeDocument/2006/relationships" ref="BY32" display="https://www.agnroots.com/products/grass-fed-whey-protein-isolate" r:id="rId1720"/>
    <hyperlink xmlns:r="http://schemas.openxmlformats.org/officeDocument/2006/relationships" ref="BZ32" display="https://www.agnroots.com/products/grass-fed-whey-protein-isolate" r:id="rId1721"/>
    <hyperlink xmlns:r="http://schemas.openxmlformats.org/officeDocument/2006/relationships" ref="CA32" display="https://www.agnroots.com/products/grass-fed-whey-protein-isolate" r:id="rId1722"/>
    <hyperlink xmlns:r="http://schemas.openxmlformats.org/officeDocument/2006/relationships" ref="CB32" display="https://www.agnroots.com/products/grass-fed-whey-protein-isolate" r:id="rId1723"/>
    <hyperlink xmlns:r="http://schemas.openxmlformats.org/officeDocument/2006/relationships" ref="CC32" display="https://www.agnroots.com/products/grass-fed-whey-protein-isolate" r:id="rId1724"/>
    <hyperlink xmlns:r="http://schemas.openxmlformats.org/officeDocument/2006/relationships" ref="CD32" display="https://www.agnroots.com/products/grass-fed-whey-protein-isolate" r:id="rId1725"/>
    <hyperlink xmlns:r="http://schemas.openxmlformats.org/officeDocument/2006/relationships" ref="CE32" display="https://www.agnroots.com/products/grass-fed-whey-protein-isolate" r:id="rId1726"/>
    <hyperlink xmlns:r="http://schemas.openxmlformats.org/officeDocument/2006/relationships" ref="CF32" display="https://www.agnroots.com/products/grass-fed-whey-protein-isolate" r:id="rId1727"/>
    <hyperlink xmlns:r="http://schemas.openxmlformats.org/officeDocument/2006/relationships" ref="CG32" display="https://www.agnroots.com/products/grass-fed-whey-protein-isolate" r:id="rId1728"/>
    <hyperlink xmlns:r="http://schemas.openxmlformats.org/officeDocument/2006/relationships" ref="CH32" display="https://www.agnroots.com/products/grass-fed-whey-protein-isolate" r:id="rId1729"/>
    <hyperlink xmlns:r="http://schemas.openxmlformats.org/officeDocument/2006/relationships" ref="CI32" display="https://www.agnroots.com/products/grass-fed-whey-protein-isolate" r:id="rId1730"/>
    <hyperlink xmlns:r="http://schemas.openxmlformats.org/officeDocument/2006/relationships" ref="CJ32" display="https://www.agnroots.com/products/grass-fed-whey-protein-isolate" r:id="rId1731"/>
    <hyperlink xmlns:r="http://schemas.openxmlformats.org/officeDocument/2006/relationships" ref="CK32" display="https://www.agnroots.com/products/grass-fed-whey-protein-isolate" r:id="rId1732"/>
    <hyperlink xmlns:r="http://schemas.openxmlformats.org/officeDocument/2006/relationships" ref="CL32" display="https://www.agnroots.com/products/grass-fed-whey-protein-isolate" r:id="rId1733"/>
    <hyperlink xmlns:r="http://schemas.openxmlformats.org/officeDocument/2006/relationships" ref="CM32" display="https://www.agnroots.com/products/grass-fed-whey-protein-isolate" r:id="rId1734"/>
    <hyperlink xmlns:r="http://schemas.openxmlformats.org/officeDocument/2006/relationships" ref="CN32" display="https://www.agnroots.com/products/grass-fed-whey-protein-isolate" r:id="rId1735"/>
    <hyperlink xmlns:r="http://schemas.openxmlformats.org/officeDocument/2006/relationships" ref="CO32" display="https://www.agnroots.com/products/grass-fed-whey-protein-isolate" r:id="rId1736"/>
    <hyperlink xmlns:r="http://schemas.openxmlformats.org/officeDocument/2006/relationships" ref="CP32" display="https://www.agnroots.com/products/grass-fed-whey-protein-isolate" r:id="rId1737"/>
    <hyperlink xmlns:r="http://schemas.openxmlformats.org/officeDocument/2006/relationships" ref="CQ32" display="https://www.agnroots.com/products/grass-fed-whey-protein-isolate" r:id="rId1738"/>
    <hyperlink xmlns:r="http://schemas.openxmlformats.org/officeDocument/2006/relationships" ref="CR32" display="https://www.agnroots.com/products/grass-fed-whey-protein-isolate" r:id="rId1739"/>
    <hyperlink xmlns:r="http://schemas.openxmlformats.org/officeDocument/2006/relationships" ref="CS32" display="https://www.agnroots.com/products/grass-fed-whey-protein-isolate" r:id="rId1740"/>
    <hyperlink xmlns:r="http://schemas.openxmlformats.org/officeDocument/2006/relationships" ref="CT32" display="https://www.agnroots.com/products/grass-fed-whey-protein-isolate" r:id="rId1741"/>
    <hyperlink xmlns:r="http://schemas.openxmlformats.org/officeDocument/2006/relationships" ref="CU32" display="https://www.agnroots.com/products/grass-fed-whey-protein-isolate" r:id="rId1742"/>
    <hyperlink xmlns:r="http://schemas.openxmlformats.org/officeDocument/2006/relationships" ref="CV32" display="https://www.agnroots.com/products/grass-fed-whey-protein-isolate" r:id="rId1743"/>
    <hyperlink xmlns:r="http://schemas.openxmlformats.org/officeDocument/2006/relationships" ref="O33" display="https://www.livemomentous.com/products/collagen-peptides" r:id="rId1744"/>
    <hyperlink xmlns:r="http://schemas.openxmlformats.org/officeDocument/2006/relationships" ref="P33" display="https://www.livemomentous.com/products/collagen-peptides" r:id="rId1745"/>
    <hyperlink xmlns:r="http://schemas.openxmlformats.org/officeDocument/2006/relationships" ref="Q33" display="https://www.livemomentous.com/products/collagen-peptides" r:id="rId1746"/>
    <hyperlink xmlns:r="http://schemas.openxmlformats.org/officeDocument/2006/relationships" ref="R33" display="https://www.livemomentous.com/products/collagen-peptides" r:id="rId1747"/>
    <hyperlink xmlns:r="http://schemas.openxmlformats.org/officeDocument/2006/relationships" ref="S33" display="https://www.livemomentous.com/products/collagen-peptides" r:id="rId1748"/>
    <hyperlink xmlns:r="http://schemas.openxmlformats.org/officeDocument/2006/relationships" ref="T33" display="https://www.livemomentous.com/products/collagen-peptides" r:id="rId1749"/>
    <hyperlink xmlns:r="http://schemas.openxmlformats.org/officeDocument/2006/relationships" ref="U33" display="https://www.livemomentous.com/products/collagen-peptides" r:id="rId1750"/>
    <hyperlink xmlns:r="http://schemas.openxmlformats.org/officeDocument/2006/relationships" ref="W33" display="https://www.livemomentous.com/products/collagen-peptides" r:id="rId1751"/>
    <hyperlink xmlns:r="http://schemas.openxmlformats.org/officeDocument/2006/relationships" ref="X33" display="https://www.livemomentous.com/products/collagen-peptides" r:id="rId1752"/>
    <hyperlink xmlns:r="http://schemas.openxmlformats.org/officeDocument/2006/relationships" ref="Y33" display="https://www.livemomentous.com/products/collagen-peptides" r:id="rId1753"/>
    <hyperlink xmlns:r="http://schemas.openxmlformats.org/officeDocument/2006/relationships" ref="Z33" display="https://www.livemomentous.com/products/collagen-peptides" r:id="rId1754"/>
    <hyperlink xmlns:r="http://schemas.openxmlformats.org/officeDocument/2006/relationships" ref="AA33" display="https://www.livemomentous.com/products/collagen-peptides" r:id="rId1755"/>
    <hyperlink xmlns:r="http://schemas.openxmlformats.org/officeDocument/2006/relationships" ref="AB33" display="https://www.livemomentous.com/products/collagen-peptides" r:id="rId1756"/>
    <hyperlink xmlns:r="http://schemas.openxmlformats.org/officeDocument/2006/relationships" ref="AC33" display="https://www.livemomentous.com/products/collagen-peptides" r:id="rId1757"/>
    <hyperlink xmlns:r="http://schemas.openxmlformats.org/officeDocument/2006/relationships" ref="AD33" display="https://www.livemomentous.com/products/collagen-peptides" r:id="rId1758"/>
    <hyperlink xmlns:r="http://schemas.openxmlformats.org/officeDocument/2006/relationships" ref="AE33" display="https://www.livemomentous.com/products/collagen-peptides" r:id="rId1759"/>
    <hyperlink xmlns:r="http://schemas.openxmlformats.org/officeDocument/2006/relationships" ref="AF33" display="https://www.livemomentous.com/products/collagen-peptides" r:id="rId1760"/>
    <hyperlink xmlns:r="http://schemas.openxmlformats.org/officeDocument/2006/relationships" ref="AH33" display="https://www.livemomentous.com/products/collagen-peptides" r:id="rId1761"/>
    <hyperlink xmlns:r="http://schemas.openxmlformats.org/officeDocument/2006/relationships" ref="AJ33" display="https://www.livemomentous.com/products/collagen-peptides" r:id="rId1762"/>
    <hyperlink xmlns:r="http://schemas.openxmlformats.org/officeDocument/2006/relationships" ref="AK33" display="https://www.livemomentous.com/products/collagen-peptides" r:id="rId1763"/>
    <hyperlink xmlns:r="http://schemas.openxmlformats.org/officeDocument/2006/relationships" ref="AL33" display="https://www.livemomentous.com/products/collagen-peptides" r:id="rId1764"/>
    <hyperlink xmlns:r="http://schemas.openxmlformats.org/officeDocument/2006/relationships" ref="AM33" display="https://www.livemomentous.com/products/collagen-peptides" r:id="rId1765"/>
    <hyperlink xmlns:r="http://schemas.openxmlformats.org/officeDocument/2006/relationships" ref="AN33" display="https://www.livemomentous.com/products/collagen-peptides" r:id="rId1766"/>
    <hyperlink xmlns:r="http://schemas.openxmlformats.org/officeDocument/2006/relationships" ref="AO33" display="https://www.livemomentous.com/products/collagen-peptides" r:id="rId1767"/>
    <hyperlink xmlns:r="http://schemas.openxmlformats.org/officeDocument/2006/relationships" ref="AP33" display="https://www.livemomentous.com/products/collagen-peptides" r:id="rId1768"/>
    <hyperlink xmlns:r="http://schemas.openxmlformats.org/officeDocument/2006/relationships" ref="AQ33" display="https://www.livemomentous.com/products/collagen-peptides" r:id="rId1769"/>
    <hyperlink xmlns:r="http://schemas.openxmlformats.org/officeDocument/2006/relationships" ref="AR33" display="https://www.livemomentous.com/products/collagen-peptides" r:id="rId1770"/>
    <hyperlink xmlns:r="http://schemas.openxmlformats.org/officeDocument/2006/relationships" ref="AS33" display="https://www.livemomentous.com/products/collagen-peptides" r:id="rId1771"/>
    <hyperlink xmlns:r="http://schemas.openxmlformats.org/officeDocument/2006/relationships" ref="AT33" display="https://www.livemomentous.com/products/collagen-peptides" r:id="rId1772"/>
    <hyperlink xmlns:r="http://schemas.openxmlformats.org/officeDocument/2006/relationships" ref="AU33" display="https://www.livemomentous.com/products/collagen-peptides" r:id="rId1773"/>
    <hyperlink xmlns:r="http://schemas.openxmlformats.org/officeDocument/2006/relationships" ref="AV33" display="https://www.livemomentous.com/products/collagen-peptides" r:id="rId1774"/>
    <hyperlink xmlns:r="http://schemas.openxmlformats.org/officeDocument/2006/relationships" ref="AW33" display="https://www.livemomentous.com/products/collagen-peptides" r:id="rId1775"/>
    <hyperlink xmlns:r="http://schemas.openxmlformats.org/officeDocument/2006/relationships" ref="AX33" display="https://www.livemomentous.com/products/collagen-peptides" r:id="rId1776"/>
    <hyperlink xmlns:r="http://schemas.openxmlformats.org/officeDocument/2006/relationships" ref="AY33" display="https://www.livemomentous.com/products/collagen-peptides" r:id="rId1777"/>
    <hyperlink xmlns:r="http://schemas.openxmlformats.org/officeDocument/2006/relationships" ref="AZ33" display="https://www.livemomentous.com/products/collagen-peptides" r:id="rId1778"/>
    <hyperlink xmlns:r="http://schemas.openxmlformats.org/officeDocument/2006/relationships" ref="BA33" display="https://www.livemomentous.com/products/collagen-peptides" r:id="rId1779"/>
    <hyperlink xmlns:r="http://schemas.openxmlformats.org/officeDocument/2006/relationships" ref="BB33" display="https://www.livemomentous.com/products/collagen-peptides" r:id="rId1780"/>
    <hyperlink xmlns:r="http://schemas.openxmlformats.org/officeDocument/2006/relationships" ref="BC33" display="https://www.livemomentous.com/products/collagen-peptides" r:id="rId1781"/>
    <hyperlink xmlns:r="http://schemas.openxmlformats.org/officeDocument/2006/relationships" ref="BD33" display="https://www.livemomentous.com/products/collagen-peptides" r:id="rId1782"/>
    <hyperlink xmlns:r="http://schemas.openxmlformats.org/officeDocument/2006/relationships" ref="BE33" display="https://www.livemomentous.com/products/collagen-peptides" r:id="rId1783"/>
    <hyperlink xmlns:r="http://schemas.openxmlformats.org/officeDocument/2006/relationships" ref="BF33" display="https://www.livemomentous.com/products/collagen-peptides" r:id="rId1784"/>
    <hyperlink xmlns:r="http://schemas.openxmlformats.org/officeDocument/2006/relationships" ref="BG33" display="https://www.livemomentous.com/products/collagen-peptides" r:id="rId1785"/>
    <hyperlink xmlns:r="http://schemas.openxmlformats.org/officeDocument/2006/relationships" ref="BH33" display="https://www.livemomentous.com/products/collagen-peptides" r:id="rId1786"/>
    <hyperlink xmlns:r="http://schemas.openxmlformats.org/officeDocument/2006/relationships" ref="BI33" display="https://www.livemomentous.com/products/collagen-peptides" r:id="rId1787"/>
    <hyperlink xmlns:r="http://schemas.openxmlformats.org/officeDocument/2006/relationships" ref="BJ33" display="https://www.livemomentous.com/products/collagen-peptides" r:id="rId1788"/>
    <hyperlink xmlns:r="http://schemas.openxmlformats.org/officeDocument/2006/relationships" ref="BK33" display="https://www.livemomentous.com/products/collagen-peptides" r:id="rId1789"/>
    <hyperlink xmlns:r="http://schemas.openxmlformats.org/officeDocument/2006/relationships" ref="BL33" display="https://www.livemomentous.com/products/collagen-peptides" r:id="rId1790"/>
    <hyperlink xmlns:r="http://schemas.openxmlformats.org/officeDocument/2006/relationships" ref="BM33" display="https://www.livemomentous.com/products/collagen-peptides" r:id="rId1791"/>
    <hyperlink xmlns:r="http://schemas.openxmlformats.org/officeDocument/2006/relationships" ref="BN33" display="https://www.livemomentous.com/products/collagen-peptides" r:id="rId1792"/>
    <hyperlink xmlns:r="http://schemas.openxmlformats.org/officeDocument/2006/relationships" ref="BO33" display="https://www.livemomentous.com/products/collagen-peptides" r:id="rId1793"/>
    <hyperlink xmlns:r="http://schemas.openxmlformats.org/officeDocument/2006/relationships" ref="BP33" display="https://www.livemomentous.com/products/collagen-peptides" r:id="rId1794"/>
    <hyperlink xmlns:r="http://schemas.openxmlformats.org/officeDocument/2006/relationships" ref="BQ33" display="https://www.livemomentous.com/products/collagen-peptides" r:id="rId1795"/>
    <hyperlink xmlns:r="http://schemas.openxmlformats.org/officeDocument/2006/relationships" ref="BR33" display="https://www.livemomentous.com/products/collagen-peptides" r:id="rId1796"/>
    <hyperlink xmlns:r="http://schemas.openxmlformats.org/officeDocument/2006/relationships" ref="BS33" display="https://www.livemomentous.com/products/collagen-peptides" r:id="rId1797"/>
    <hyperlink xmlns:r="http://schemas.openxmlformats.org/officeDocument/2006/relationships" ref="BT33" display="https://www.livemomentous.com/products/collagen-peptides" r:id="rId1798"/>
    <hyperlink xmlns:r="http://schemas.openxmlformats.org/officeDocument/2006/relationships" ref="BU33" display="https://www.livemomentous.com/products/collagen-peptides" r:id="rId1799"/>
    <hyperlink xmlns:r="http://schemas.openxmlformats.org/officeDocument/2006/relationships" ref="BV33" display="https://www.livemomentous.com/products/collagen-peptides" r:id="rId1800"/>
    <hyperlink xmlns:r="http://schemas.openxmlformats.org/officeDocument/2006/relationships" ref="BW33" display="https://www.livemomentous.com/products/collagen-peptides" r:id="rId1801"/>
    <hyperlink xmlns:r="http://schemas.openxmlformats.org/officeDocument/2006/relationships" ref="BX33" display="https://www.livemomentous.com/products/collagen-peptides" r:id="rId1802"/>
    <hyperlink xmlns:r="http://schemas.openxmlformats.org/officeDocument/2006/relationships" ref="BY33" display="https://www.livemomentous.com/products/collagen-peptides" r:id="rId1803"/>
    <hyperlink xmlns:r="http://schemas.openxmlformats.org/officeDocument/2006/relationships" ref="BZ33" display="https://www.livemomentous.com/products/collagen-peptides" r:id="rId1804"/>
    <hyperlink xmlns:r="http://schemas.openxmlformats.org/officeDocument/2006/relationships" ref="CA33" display="https://www.livemomentous.com/products/collagen-peptides" r:id="rId1805"/>
    <hyperlink xmlns:r="http://schemas.openxmlformats.org/officeDocument/2006/relationships" ref="CB33" display="https://www.livemomentous.com/products/collagen-peptides" r:id="rId1806"/>
    <hyperlink xmlns:r="http://schemas.openxmlformats.org/officeDocument/2006/relationships" ref="CC33" display="https://www.livemomentous.com/products/collagen-peptides" r:id="rId1807"/>
    <hyperlink xmlns:r="http://schemas.openxmlformats.org/officeDocument/2006/relationships" ref="CD33" display="https://www.livemomentous.com/products/collagen-peptides" r:id="rId1808"/>
    <hyperlink xmlns:r="http://schemas.openxmlformats.org/officeDocument/2006/relationships" ref="CE33" display="https://www.livemomentous.com/products/collagen-peptides" r:id="rId1809"/>
    <hyperlink xmlns:r="http://schemas.openxmlformats.org/officeDocument/2006/relationships" ref="CF33" display="https://www.livemomentous.com/products/collagen-peptides" r:id="rId1810"/>
    <hyperlink xmlns:r="http://schemas.openxmlformats.org/officeDocument/2006/relationships" ref="CG33" display="https://www.livemomentous.com/products/collagen-peptides" r:id="rId1811"/>
    <hyperlink xmlns:r="http://schemas.openxmlformats.org/officeDocument/2006/relationships" ref="CH33" display="https://www.livemomentous.com/products/collagen-peptides" r:id="rId1812"/>
    <hyperlink xmlns:r="http://schemas.openxmlformats.org/officeDocument/2006/relationships" ref="CI33" display="https://www.livemomentous.com/products/collagen-peptides" r:id="rId1813"/>
    <hyperlink xmlns:r="http://schemas.openxmlformats.org/officeDocument/2006/relationships" ref="CJ33" display="https://www.livemomentous.com/products/collagen-peptides" r:id="rId1814"/>
    <hyperlink xmlns:r="http://schemas.openxmlformats.org/officeDocument/2006/relationships" ref="CK33" display="https://www.livemomentous.com/products/collagen-peptides" r:id="rId1815"/>
    <hyperlink xmlns:r="http://schemas.openxmlformats.org/officeDocument/2006/relationships" ref="CL33" display="https://www.livemomentous.com/products/collagen-peptides" r:id="rId1816"/>
    <hyperlink xmlns:r="http://schemas.openxmlformats.org/officeDocument/2006/relationships" ref="CM33" display="https://www.livemomentous.com/products/collagen-peptides" r:id="rId1817"/>
    <hyperlink xmlns:r="http://schemas.openxmlformats.org/officeDocument/2006/relationships" ref="CN33" display="https://www.livemomentous.com/products/collagen-peptides" r:id="rId1818"/>
    <hyperlink xmlns:r="http://schemas.openxmlformats.org/officeDocument/2006/relationships" ref="CO33" display="https://www.livemomentous.com/products/collagen-peptides" r:id="rId1819"/>
    <hyperlink xmlns:r="http://schemas.openxmlformats.org/officeDocument/2006/relationships" ref="CP33" display="https://www.livemomentous.com/products/collagen-peptides" r:id="rId1820"/>
    <hyperlink xmlns:r="http://schemas.openxmlformats.org/officeDocument/2006/relationships" ref="CQ33" display="https://www.livemomentous.com/products/collagen-peptides" r:id="rId1821"/>
    <hyperlink xmlns:r="http://schemas.openxmlformats.org/officeDocument/2006/relationships" ref="CR33" display="https://www.livemomentous.com/products/collagen-peptides" r:id="rId1822"/>
    <hyperlink xmlns:r="http://schemas.openxmlformats.org/officeDocument/2006/relationships" ref="CS33" display="https://www.livemomentous.com/products/collagen-peptides" r:id="rId1823"/>
    <hyperlink xmlns:r="http://schemas.openxmlformats.org/officeDocument/2006/relationships" ref="CT33" display="https://www.livemomentous.com/products/collagen-peptides" r:id="rId1824"/>
    <hyperlink xmlns:r="http://schemas.openxmlformats.org/officeDocument/2006/relationships" ref="CU33" display="https://www.livemomentous.com/products/collagen-peptides" r:id="rId1825"/>
    <hyperlink xmlns:r="http://schemas.openxmlformats.org/officeDocument/2006/relationships" ref="CV33" display="https://www.livemomentous.com/products/collagen-peptides" r:id="rId1826"/>
    <hyperlink xmlns:r="http://schemas.openxmlformats.org/officeDocument/2006/relationships" ref="O34" display="https://www.thorne.com/products/dp/creatine" r:id="rId1827"/>
    <hyperlink xmlns:r="http://schemas.openxmlformats.org/officeDocument/2006/relationships" ref="P34" display="https://www.thorne.com/products/dp/creatine" r:id="rId1828"/>
    <hyperlink xmlns:r="http://schemas.openxmlformats.org/officeDocument/2006/relationships" ref="Q34" display="https://www.thorne.com/products/dp/creatine" r:id="rId1829"/>
    <hyperlink xmlns:r="http://schemas.openxmlformats.org/officeDocument/2006/relationships" ref="R34" display="https://www.thorne.com/products/dp/creatine" r:id="rId1830"/>
    <hyperlink xmlns:r="http://schemas.openxmlformats.org/officeDocument/2006/relationships" ref="S34" display="https://www.thorne.com/products/dp/creatine" r:id="rId1831"/>
    <hyperlink xmlns:r="http://schemas.openxmlformats.org/officeDocument/2006/relationships" ref="T34" display="https://www.thorne.com/products/dp/creatine" r:id="rId1832"/>
    <hyperlink xmlns:r="http://schemas.openxmlformats.org/officeDocument/2006/relationships" ref="U34" display="https://www.thorne.com/products/dp/creatine" r:id="rId1833"/>
    <hyperlink xmlns:r="http://schemas.openxmlformats.org/officeDocument/2006/relationships" ref="W34" display="https://www.thorne.com/products/dp/creatine" r:id="rId1834"/>
    <hyperlink xmlns:r="http://schemas.openxmlformats.org/officeDocument/2006/relationships" ref="X34" display="https://www.thorne.com/products/dp/creatine" r:id="rId1835"/>
    <hyperlink xmlns:r="http://schemas.openxmlformats.org/officeDocument/2006/relationships" ref="Y34" display="https://www.thorne.com/products/dp/creatine" r:id="rId1836"/>
    <hyperlink xmlns:r="http://schemas.openxmlformats.org/officeDocument/2006/relationships" ref="Z34" display="https://www.thorne.com/products/dp/creatine" r:id="rId1837"/>
    <hyperlink xmlns:r="http://schemas.openxmlformats.org/officeDocument/2006/relationships" ref="AA34" display="https://www.thorne.com/products/dp/creatine" r:id="rId1838"/>
    <hyperlink xmlns:r="http://schemas.openxmlformats.org/officeDocument/2006/relationships" ref="AB34" display="https://www.thorne.com/products/dp/creatine" r:id="rId1839"/>
    <hyperlink xmlns:r="http://schemas.openxmlformats.org/officeDocument/2006/relationships" ref="AC34" display="https://www.thorne.com/products/dp/creatine" r:id="rId1840"/>
    <hyperlink xmlns:r="http://schemas.openxmlformats.org/officeDocument/2006/relationships" ref="AD34" display="https://www.thorne.com/products/dp/creatine" r:id="rId1841"/>
    <hyperlink xmlns:r="http://schemas.openxmlformats.org/officeDocument/2006/relationships" ref="AE34" display="https://www.thorne.com/products/dp/creatine" r:id="rId1842"/>
    <hyperlink xmlns:r="http://schemas.openxmlformats.org/officeDocument/2006/relationships" ref="AF34" display="https://www.thorne.com/products/dp/creatine" r:id="rId1843"/>
    <hyperlink xmlns:r="http://schemas.openxmlformats.org/officeDocument/2006/relationships" ref="AH34" display="https://www.thorne.com/products/dp/creatine" r:id="rId1844"/>
    <hyperlink xmlns:r="http://schemas.openxmlformats.org/officeDocument/2006/relationships" ref="AJ34" display="https://www.thorne.com/products/dp/creatine" r:id="rId1845"/>
    <hyperlink xmlns:r="http://schemas.openxmlformats.org/officeDocument/2006/relationships" ref="AK34" display="https://www.thorne.com/products/dp/creatine" r:id="rId1846"/>
    <hyperlink xmlns:r="http://schemas.openxmlformats.org/officeDocument/2006/relationships" ref="AL34" display="https://www.thorne.com/products/dp/creatine" r:id="rId1847"/>
    <hyperlink xmlns:r="http://schemas.openxmlformats.org/officeDocument/2006/relationships" ref="AM34" display="https://www.thorne.com/products/dp/creatine" r:id="rId1848"/>
    <hyperlink xmlns:r="http://schemas.openxmlformats.org/officeDocument/2006/relationships" ref="AN34" display="https://www.thorne.com/products/dp/creatine" r:id="rId1849"/>
    <hyperlink xmlns:r="http://schemas.openxmlformats.org/officeDocument/2006/relationships" ref="AO34" display="https://www.thorne.com/products/dp/creatine" r:id="rId1850"/>
    <hyperlink xmlns:r="http://schemas.openxmlformats.org/officeDocument/2006/relationships" ref="AP34" display="https://www.thorne.com/products/dp/creatine" r:id="rId1851"/>
    <hyperlink xmlns:r="http://schemas.openxmlformats.org/officeDocument/2006/relationships" ref="AQ34" display="https://www.thorne.com/products/dp/creatine" r:id="rId1852"/>
    <hyperlink xmlns:r="http://schemas.openxmlformats.org/officeDocument/2006/relationships" ref="AR34" display="https://www.thorne.com/products/dp/creatine" r:id="rId1853"/>
    <hyperlink xmlns:r="http://schemas.openxmlformats.org/officeDocument/2006/relationships" ref="AS34" display="https://www.thorne.com/products/dp/creatine" r:id="rId1854"/>
    <hyperlink xmlns:r="http://schemas.openxmlformats.org/officeDocument/2006/relationships" ref="AT34" display="https://www.thorne.com/products/dp/creatine" r:id="rId1855"/>
    <hyperlink xmlns:r="http://schemas.openxmlformats.org/officeDocument/2006/relationships" ref="AU34" display="https://www.thorne.com/products/dp/creatine" r:id="rId1856"/>
    <hyperlink xmlns:r="http://schemas.openxmlformats.org/officeDocument/2006/relationships" ref="AV34" display="https://www.thorne.com/products/dp/creatine" r:id="rId1857"/>
    <hyperlink xmlns:r="http://schemas.openxmlformats.org/officeDocument/2006/relationships" ref="AW34" display="https://www.thorne.com/products/dp/creatine" r:id="rId1858"/>
    <hyperlink xmlns:r="http://schemas.openxmlformats.org/officeDocument/2006/relationships" ref="AX34" display="https://www.thorne.com/products/dp/creatine" r:id="rId1859"/>
    <hyperlink xmlns:r="http://schemas.openxmlformats.org/officeDocument/2006/relationships" ref="AY34" display="https://www.thorne.com/products/dp/creatine" r:id="rId1860"/>
    <hyperlink xmlns:r="http://schemas.openxmlformats.org/officeDocument/2006/relationships" ref="AZ34" display="https://www.thorne.com/products/dp/creatine" r:id="rId1861"/>
    <hyperlink xmlns:r="http://schemas.openxmlformats.org/officeDocument/2006/relationships" ref="BA34" display="https://www.thorne.com/products/dp/creatine" r:id="rId1862"/>
    <hyperlink xmlns:r="http://schemas.openxmlformats.org/officeDocument/2006/relationships" ref="BB34" display="https://www.thorne.com/products/dp/creatine" r:id="rId1863"/>
    <hyperlink xmlns:r="http://schemas.openxmlformats.org/officeDocument/2006/relationships" ref="BC34" display="https://www.thorne.com/products/dp/creatine" r:id="rId1864"/>
    <hyperlink xmlns:r="http://schemas.openxmlformats.org/officeDocument/2006/relationships" ref="BD34" display="https://www.thorne.com/products/dp/creatine" r:id="rId1865"/>
    <hyperlink xmlns:r="http://schemas.openxmlformats.org/officeDocument/2006/relationships" ref="BE34" display="https://www.thorne.com/products/dp/creatine" r:id="rId1866"/>
    <hyperlink xmlns:r="http://schemas.openxmlformats.org/officeDocument/2006/relationships" ref="BF34" display="https://www.thorne.com/products/dp/creatine" r:id="rId1867"/>
    <hyperlink xmlns:r="http://schemas.openxmlformats.org/officeDocument/2006/relationships" ref="BG34" display="https://www.thorne.com/products/dp/creatine" r:id="rId1868"/>
    <hyperlink xmlns:r="http://schemas.openxmlformats.org/officeDocument/2006/relationships" ref="BH34" display="https://www.thorne.com/products/dp/creatine" r:id="rId1869"/>
    <hyperlink xmlns:r="http://schemas.openxmlformats.org/officeDocument/2006/relationships" ref="BI34" display="https://www.thorne.com/products/dp/creatine" r:id="rId1870"/>
    <hyperlink xmlns:r="http://schemas.openxmlformats.org/officeDocument/2006/relationships" ref="BJ34" display="https://www.thorne.com/products/dp/creatine" r:id="rId1871"/>
    <hyperlink xmlns:r="http://schemas.openxmlformats.org/officeDocument/2006/relationships" ref="BK34" display="https://www.thorne.com/products/dp/creatine" r:id="rId1872"/>
    <hyperlink xmlns:r="http://schemas.openxmlformats.org/officeDocument/2006/relationships" ref="BL34" display="https://www.thorne.com/products/dp/creatine" r:id="rId1873"/>
    <hyperlink xmlns:r="http://schemas.openxmlformats.org/officeDocument/2006/relationships" ref="BM34" display="https://www.thorne.com/products/dp/creatine" r:id="rId1874"/>
    <hyperlink xmlns:r="http://schemas.openxmlformats.org/officeDocument/2006/relationships" ref="BN34" display="https://www.thorne.com/products/dp/creatine" r:id="rId1875"/>
    <hyperlink xmlns:r="http://schemas.openxmlformats.org/officeDocument/2006/relationships" ref="BO34" display="https://www.thorne.com/products/dp/creatine" r:id="rId1876"/>
    <hyperlink xmlns:r="http://schemas.openxmlformats.org/officeDocument/2006/relationships" ref="BP34" display="https://www.thorne.com/products/dp/creatine" r:id="rId1877"/>
    <hyperlink xmlns:r="http://schemas.openxmlformats.org/officeDocument/2006/relationships" ref="BQ34" display="https://www.thorne.com/products/dp/creatine" r:id="rId1878"/>
    <hyperlink xmlns:r="http://schemas.openxmlformats.org/officeDocument/2006/relationships" ref="BR34" display="https://www.thorne.com/products/dp/creatine" r:id="rId1879"/>
    <hyperlink xmlns:r="http://schemas.openxmlformats.org/officeDocument/2006/relationships" ref="BS34" display="https://www.thorne.com/products/dp/creatine" r:id="rId1880"/>
    <hyperlink xmlns:r="http://schemas.openxmlformats.org/officeDocument/2006/relationships" ref="BT34" display="https://www.thorne.com/products/dp/creatine" r:id="rId1881"/>
    <hyperlink xmlns:r="http://schemas.openxmlformats.org/officeDocument/2006/relationships" ref="BU34" display="https://www.thorne.com/products/dp/creatine" r:id="rId1882"/>
    <hyperlink xmlns:r="http://schemas.openxmlformats.org/officeDocument/2006/relationships" ref="BV34" display="https://www.thorne.com/products/dp/creatine" r:id="rId1883"/>
    <hyperlink xmlns:r="http://schemas.openxmlformats.org/officeDocument/2006/relationships" ref="BW34" display="https://www.thorne.com/products/dp/creatine" r:id="rId1884"/>
    <hyperlink xmlns:r="http://schemas.openxmlformats.org/officeDocument/2006/relationships" ref="BX34" display="https://www.thorne.com/products/dp/creatine" r:id="rId1885"/>
    <hyperlink xmlns:r="http://schemas.openxmlformats.org/officeDocument/2006/relationships" ref="BY34" display="https://www.thorne.com/products/dp/creatine" r:id="rId1886"/>
    <hyperlink xmlns:r="http://schemas.openxmlformats.org/officeDocument/2006/relationships" ref="BZ34" display="https://www.thorne.com/products/dp/creatine" r:id="rId1887"/>
    <hyperlink xmlns:r="http://schemas.openxmlformats.org/officeDocument/2006/relationships" ref="CA34" display="https://www.thorne.com/products/dp/creatine" r:id="rId1888"/>
    <hyperlink xmlns:r="http://schemas.openxmlformats.org/officeDocument/2006/relationships" ref="CB34" display="https://www.thorne.com/products/dp/creatine" r:id="rId1889"/>
    <hyperlink xmlns:r="http://schemas.openxmlformats.org/officeDocument/2006/relationships" ref="CC34" display="https://www.thorne.com/products/dp/creatine" r:id="rId1890"/>
    <hyperlink xmlns:r="http://schemas.openxmlformats.org/officeDocument/2006/relationships" ref="CD34" display="https://www.thorne.com/products/dp/creatine" r:id="rId1891"/>
    <hyperlink xmlns:r="http://schemas.openxmlformats.org/officeDocument/2006/relationships" ref="CE34" display="https://www.thorne.com/products/dp/creatine" r:id="rId1892"/>
    <hyperlink xmlns:r="http://schemas.openxmlformats.org/officeDocument/2006/relationships" ref="CF34" display="https://www.thorne.com/products/dp/creatine" r:id="rId1893"/>
    <hyperlink xmlns:r="http://schemas.openxmlformats.org/officeDocument/2006/relationships" ref="CG34" display="https://www.thorne.com/products/dp/creatine" r:id="rId1894"/>
    <hyperlink xmlns:r="http://schemas.openxmlformats.org/officeDocument/2006/relationships" ref="CH34" display="https://www.thorne.com/products/dp/creatine" r:id="rId1895"/>
    <hyperlink xmlns:r="http://schemas.openxmlformats.org/officeDocument/2006/relationships" ref="CI34" display="https://www.thorne.com/products/dp/creatine" r:id="rId1896"/>
    <hyperlink xmlns:r="http://schemas.openxmlformats.org/officeDocument/2006/relationships" ref="CJ34" display="https://www.thorne.com/products/dp/creatine" r:id="rId1897"/>
    <hyperlink xmlns:r="http://schemas.openxmlformats.org/officeDocument/2006/relationships" ref="CK34" display="https://www.thorne.com/products/dp/creatine" r:id="rId1898"/>
    <hyperlink xmlns:r="http://schemas.openxmlformats.org/officeDocument/2006/relationships" ref="CL34" display="https://www.thorne.com/products/dp/creatine" r:id="rId1899"/>
    <hyperlink xmlns:r="http://schemas.openxmlformats.org/officeDocument/2006/relationships" ref="CM34" display="https://www.thorne.com/products/dp/creatine" r:id="rId1900"/>
    <hyperlink xmlns:r="http://schemas.openxmlformats.org/officeDocument/2006/relationships" ref="CN34" display="https://www.thorne.com/products/dp/creatine" r:id="rId1901"/>
    <hyperlink xmlns:r="http://schemas.openxmlformats.org/officeDocument/2006/relationships" ref="CO34" display="https://www.thorne.com/products/dp/creatine" r:id="rId1902"/>
    <hyperlink xmlns:r="http://schemas.openxmlformats.org/officeDocument/2006/relationships" ref="CP34" display="https://www.thorne.com/products/dp/creatine" r:id="rId1903"/>
    <hyperlink xmlns:r="http://schemas.openxmlformats.org/officeDocument/2006/relationships" ref="CQ34" display="https://www.thorne.com/products/dp/creatine" r:id="rId1904"/>
    <hyperlink xmlns:r="http://schemas.openxmlformats.org/officeDocument/2006/relationships" ref="CR34" display="https://www.thorne.com/products/dp/creatine" r:id="rId1905"/>
    <hyperlink xmlns:r="http://schemas.openxmlformats.org/officeDocument/2006/relationships" ref="CS34" display="https://www.thorne.com/products/dp/creatine" r:id="rId1906"/>
    <hyperlink xmlns:r="http://schemas.openxmlformats.org/officeDocument/2006/relationships" ref="CT34" display="https://www.thorne.com/products/dp/creatine" r:id="rId1907"/>
    <hyperlink xmlns:r="http://schemas.openxmlformats.org/officeDocument/2006/relationships" ref="CU34" display="https://www.thorne.com/products/dp/creatine" r:id="rId1908"/>
    <hyperlink xmlns:r="http://schemas.openxmlformats.org/officeDocument/2006/relationships" ref="CV34" display="https://www.thorne.com/products/dp/creatine" r:id="rId1909"/>
    <hyperlink xmlns:r="http://schemas.openxmlformats.org/officeDocument/2006/relationships" ref="O35" display="https://www.nowfoods.com/products/supplements/taurine-pure-powder" r:id="rId1910"/>
    <hyperlink xmlns:r="http://schemas.openxmlformats.org/officeDocument/2006/relationships" ref="P35" display="https://www.nowfoods.com/products/supplements/taurine-pure-powder" r:id="rId1911"/>
    <hyperlink xmlns:r="http://schemas.openxmlformats.org/officeDocument/2006/relationships" ref="Q35" display="https://www.nowfoods.com/products/supplements/taurine-pure-powder" r:id="rId1912"/>
    <hyperlink xmlns:r="http://schemas.openxmlformats.org/officeDocument/2006/relationships" ref="R35" display="https://www.nowfoods.com/products/supplements/taurine-pure-powder" r:id="rId1913"/>
    <hyperlink xmlns:r="http://schemas.openxmlformats.org/officeDocument/2006/relationships" ref="S35" display="https://www.nowfoods.com/products/supplements/taurine-pure-powder" r:id="rId1914"/>
    <hyperlink xmlns:r="http://schemas.openxmlformats.org/officeDocument/2006/relationships" ref="T35" display="https://www.nowfoods.com/products/supplements/taurine-pure-powder" r:id="rId1915"/>
    <hyperlink xmlns:r="http://schemas.openxmlformats.org/officeDocument/2006/relationships" ref="U35" display="https://www.nowfoods.com/products/supplements/taurine-pure-powder" r:id="rId1916"/>
    <hyperlink xmlns:r="http://schemas.openxmlformats.org/officeDocument/2006/relationships" ref="W35" display="https://www.nowfoods.com/products/supplements/taurine-pure-powder" r:id="rId1917"/>
    <hyperlink xmlns:r="http://schemas.openxmlformats.org/officeDocument/2006/relationships" ref="X35" display="https://www.nowfoods.com/products/supplements/taurine-pure-powder" r:id="rId1918"/>
    <hyperlink xmlns:r="http://schemas.openxmlformats.org/officeDocument/2006/relationships" ref="Y35" display="https://www.nowfoods.com/products/supplements/taurine-pure-powder" r:id="rId1919"/>
    <hyperlink xmlns:r="http://schemas.openxmlformats.org/officeDocument/2006/relationships" ref="Z35" display="https://www.nowfoods.com/products/supplements/taurine-pure-powder" r:id="rId1920"/>
    <hyperlink xmlns:r="http://schemas.openxmlformats.org/officeDocument/2006/relationships" ref="AA35" display="https://www.nowfoods.com/products/supplements/taurine-pure-powder" r:id="rId1921"/>
    <hyperlink xmlns:r="http://schemas.openxmlformats.org/officeDocument/2006/relationships" ref="AB35" display="https://www.nowfoods.com/products/supplements/taurine-pure-powder" r:id="rId1922"/>
    <hyperlink xmlns:r="http://schemas.openxmlformats.org/officeDocument/2006/relationships" ref="AC35" display="https://www.nowfoods.com/products/supplements/taurine-pure-powder" r:id="rId1923"/>
    <hyperlink xmlns:r="http://schemas.openxmlformats.org/officeDocument/2006/relationships" ref="AD35" display="https://www.nowfoods.com/products/supplements/taurine-pure-powder" r:id="rId1924"/>
    <hyperlink xmlns:r="http://schemas.openxmlformats.org/officeDocument/2006/relationships" ref="AE35" display="https://www.nowfoods.com/products/supplements/taurine-pure-powder" r:id="rId1925"/>
    <hyperlink xmlns:r="http://schemas.openxmlformats.org/officeDocument/2006/relationships" ref="AF35" display="https://www.nowfoods.com/products/supplements/taurine-pure-powder" r:id="rId1926"/>
    <hyperlink xmlns:r="http://schemas.openxmlformats.org/officeDocument/2006/relationships" ref="AH35" display="https://www.nowfoods.com/products/supplements/taurine-pure-powder" r:id="rId1927"/>
    <hyperlink xmlns:r="http://schemas.openxmlformats.org/officeDocument/2006/relationships" ref="AJ35" display="https://www.nowfoods.com/products/supplements/taurine-pure-powder" r:id="rId1928"/>
    <hyperlink xmlns:r="http://schemas.openxmlformats.org/officeDocument/2006/relationships" ref="AK35" display="https://www.nowfoods.com/products/supplements/taurine-pure-powder" r:id="rId1929"/>
    <hyperlink xmlns:r="http://schemas.openxmlformats.org/officeDocument/2006/relationships" ref="AL35" display="https://www.nowfoods.com/products/supplements/taurine-pure-powder" r:id="rId1930"/>
    <hyperlink xmlns:r="http://schemas.openxmlformats.org/officeDocument/2006/relationships" ref="AM35" display="https://www.nowfoods.com/products/supplements/taurine-pure-powder" r:id="rId1931"/>
    <hyperlink xmlns:r="http://schemas.openxmlformats.org/officeDocument/2006/relationships" ref="AN35" display="https://www.nowfoods.com/products/supplements/taurine-pure-powder" r:id="rId1932"/>
    <hyperlink xmlns:r="http://schemas.openxmlformats.org/officeDocument/2006/relationships" ref="AO35" display="https://www.nowfoods.com/products/supplements/taurine-pure-powder" r:id="rId1933"/>
    <hyperlink xmlns:r="http://schemas.openxmlformats.org/officeDocument/2006/relationships" ref="AP35" display="https://www.nowfoods.com/products/supplements/taurine-pure-powder" r:id="rId1934"/>
    <hyperlink xmlns:r="http://schemas.openxmlformats.org/officeDocument/2006/relationships" ref="AQ35" display="https://www.nowfoods.com/products/supplements/taurine-pure-powder" r:id="rId1935"/>
    <hyperlink xmlns:r="http://schemas.openxmlformats.org/officeDocument/2006/relationships" ref="AR35" display="https://www.nowfoods.com/products/supplements/taurine-pure-powder" r:id="rId1936"/>
    <hyperlink xmlns:r="http://schemas.openxmlformats.org/officeDocument/2006/relationships" ref="AS35" display="https://www.nowfoods.com/products/supplements/taurine-pure-powder" r:id="rId1937"/>
    <hyperlink xmlns:r="http://schemas.openxmlformats.org/officeDocument/2006/relationships" ref="AT35" display="https://www.nowfoods.com/products/supplements/taurine-pure-powder" r:id="rId1938"/>
    <hyperlink xmlns:r="http://schemas.openxmlformats.org/officeDocument/2006/relationships" ref="AU35" display="https://www.nowfoods.com/products/supplements/taurine-pure-powder" r:id="rId1939"/>
    <hyperlink xmlns:r="http://schemas.openxmlformats.org/officeDocument/2006/relationships" ref="AV35" display="https://www.nowfoods.com/products/supplements/taurine-pure-powder" r:id="rId1940"/>
    <hyperlink xmlns:r="http://schemas.openxmlformats.org/officeDocument/2006/relationships" ref="AW35" display="https://www.nowfoods.com/products/supplements/taurine-pure-powder" r:id="rId1941"/>
    <hyperlink xmlns:r="http://schemas.openxmlformats.org/officeDocument/2006/relationships" ref="AX35" display="https://www.nowfoods.com/products/supplements/taurine-pure-powder" r:id="rId1942"/>
    <hyperlink xmlns:r="http://schemas.openxmlformats.org/officeDocument/2006/relationships" ref="AY35" display="https://www.nowfoods.com/products/supplements/taurine-pure-powder" r:id="rId1943"/>
    <hyperlink xmlns:r="http://schemas.openxmlformats.org/officeDocument/2006/relationships" ref="AZ35" display="https://www.nowfoods.com/products/supplements/taurine-pure-powder" r:id="rId1944"/>
    <hyperlink xmlns:r="http://schemas.openxmlformats.org/officeDocument/2006/relationships" ref="BA35" display="https://www.nowfoods.com/products/supplements/taurine-pure-powder" r:id="rId1945"/>
    <hyperlink xmlns:r="http://schemas.openxmlformats.org/officeDocument/2006/relationships" ref="BB35" display="https://www.nowfoods.com/products/supplements/taurine-pure-powder" r:id="rId1946"/>
    <hyperlink xmlns:r="http://schemas.openxmlformats.org/officeDocument/2006/relationships" ref="BC35" display="https://www.nowfoods.com/products/supplements/taurine-pure-powder" r:id="rId1947"/>
    <hyperlink xmlns:r="http://schemas.openxmlformats.org/officeDocument/2006/relationships" ref="BD35" display="https://www.nowfoods.com/products/supplements/taurine-pure-powder" r:id="rId1948"/>
    <hyperlink xmlns:r="http://schemas.openxmlformats.org/officeDocument/2006/relationships" ref="BE35" display="https://www.nowfoods.com/products/supplements/taurine-pure-powder" r:id="rId1949"/>
    <hyperlink xmlns:r="http://schemas.openxmlformats.org/officeDocument/2006/relationships" ref="BF35" display="https://www.nowfoods.com/products/supplements/taurine-pure-powder" r:id="rId1950"/>
    <hyperlink xmlns:r="http://schemas.openxmlformats.org/officeDocument/2006/relationships" ref="BG35" display="https://www.nowfoods.com/products/supplements/taurine-pure-powder" r:id="rId1951"/>
    <hyperlink xmlns:r="http://schemas.openxmlformats.org/officeDocument/2006/relationships" ref="BH35" display="https://www.nowfoods.com/products/supplements/taurine-pure-powder" r:id="rId1952"/>
    <hyperlink xmlns:r="http://schemas.openxmlformats.org/officeDocument/2006/relationships" ref="BI35" display="https://www.nowfoods.com/products/supplements/taurine-pure-powder" r:id="rId1953"/>
    <hyperlink xmlns:r="http://schemas.openxmlformats.org/officeDocument/2006/relationships" ref="BJ35" display="https://www.nowfoods.com/products/supplements/taurine-pure-powder" r:id="rId1954"/>
    <hyperlink xmlns:r="http://schemas.openxmlformats.org/officeDocument/2006/relationships" ref="BK35" display="https://www.nowfoods.com/products/supplements/taurine-pure-powder" r:id="rId1955"/>
    <hyperlink xmlns:r="http://schemas.openxmlformats.org/officeDocument/2006/relationships" ref="BL35" display="https://www.nowfoods.com/products/supplements/taurine-pure-powder" r:id="rId1956"/>
    <hyperlink xmlns:r="http://schemas.openxmlformats.org/officeDocument/2006/relationships" ref="BM35" display="https://www.nowfoods.com/products/supplements/taurine-pure-powder" r:id="rId1957"/>
    <hyperlink xmlns:r="http://schemas.openxmlformats.org/officeDocument/2006/relationships" ref="BN35" display="https://www.nowfoods.com/products/supplements/taurine-pure-powder" r:id="rId1958"/>
    <hyperlink xmlns:r="http://schemas.openxmlformats.org/officeDocument/2006/relationships" ref="BO35" display="https://www.nowfoods.com/products/supplements/taurine-pure-powder" r:id="rId1959"/>
    <hyperlink xmlns:r="http://schemas.openxmlformats.org/officeDocument/2006/relationships" ref="BP35" display="https://www.nowfoods.com/products/supplements/taurine-pure-powder" r:id="rId1960"/>
    <hyperlink xmlns:r="http://schemas.openxmlformats.org/officeDocument/2006/relationships" ref="BQ35" display="https://www.nowfoods.com/products/supplements/taurine-pure-powder" r:id="rId1961"/>
    <hyperlink xmlns:r="http://schemas.openxmlformats.org/officeDocument/2006/relationships" ref="BR35" display="https://www.nowfoods.com/products/supplements/taurine-pure-powder" r:id="rId1962"/>
    <hyperlink xmlns:r="http://schemas.openxmlformats.org/officeDocument/2006/relationships" ref="BS35" display="https://www.nowfoods.com/products/supplements/taurine-pure-powder" r:id="rId1963"/>
    <hyperlink xmlns:r="http://schemas.openxmlformats.org/officeDocument/2006/relationships" ref="BT35" display="https://www.nowfoods.com/products/supplements/taurine-pure-powder" r:id="rId1964"/>
    <hyperlink xmlns:r="http://schemas.openxmlformats.org/officeDocument/2006/relationships" ref="BU35" display="https://www.nowfoods.com/products/supplements/taurine-pure-powder" r:id="rId1965"/>
    <hyperlink xmlns:r="http://schemas.openxmlformats.org/officeDocument/2006/relationships" ref="BV35" display="https://www.nowfoods.com/products/supplements/taurine-pure-powder" r:id="rId1966"/>
    <hyperlink xmlns:r="http://schemas.openxmlformats.org/officeDocument/2006/relationships" ref="BW35" display="https://www.nowfoods.com/products/supplements/taurine-pure-powder" r:id="rId1967"/>
    <hyperlink xmlns:r="http://schemas.openxmlformats.org/officeDocument/2006/relationships" ref="BX35" display="https://www.nowfoods.com/products/supplements/taurine-pure-powder" r:id="rId1968"/>
    <hyperlink xmlns:r="http://schemas.openxmlformats.org/officeDocument/2006/relationships" ref="BY35" display="https://www.nowfoods.com/products/supplements/taurine-pure-powder" r:id="rId1969"/>
    <hyperlink xmlns:r="http://schemas.openxmlformats.org/officeDocument/2006/relationships" ref="BZ35" display="https://www.nowfoods.com/products/supplements/taurine-pure-powder" r:id="rId1970"/>
    <hyperlink xmlns:r="http://schemas.openxmlformats.org/officeDocument/2006/relationships" ref="CA35" display="https://www.nowfoods.com/products/supplements/taurine-pure-powder" r:id="rId1971"/>
    <hyperlink xmlns:r="http://schemas.openxmlformats.org/officeDocument/2006/relationships" ref="CB35" display="https://www.nowfoods.com/products/supplements/taurine-pure-powder" r:id="rId1972"/>
    <hyperlink xmlns:r="http://schemas.openxmlformats.org/officeDocument/2006/relationships" ref="CC35" display="https://www.nowfoods.com/products/supplements/taurine-pure-powder" r:id="rId1973"/>
    <hyperlink xmlns:r="http://schemas.openxmlformats.org/officeDocument/2006/relationships" ref="CD35" display="https://www.nowfoods.com/products/supplements/taurine-pure-powder" r:id="rId1974"/>
    <hyperlink xmlns:r="http://schemas.openxmlformats.org/officeDocument/2006/relationships" ref="CE35" display="https://www.nowfoods.com/products/supplements/taurine-pure-powder" r:id="rId1975"/>
    <hyperlink xmlns:r="http://schemas.openxmlformats.org/officeDocument/2006/relationships" ref="CF35" display="https://www.nowfoods.com/products/supplements/taurine-pure-powder" r:id="rId1976"/>
    <hyperlink xmlns:r="http://schemas.openxmlformats.org/officeDocument/2006/relationships" ref="CG35" display="https://www.nowfoods.com/products/supplements/taurine-pure-powder" r:id="rId1977"/>
    <hyperlink xmlns:r="http://schemas.openxmlformats.org/officeDocument/2006/relationships" ref="CH35" display="https://www.nowfoods.com/products/supplements/taurine-pure-powder" r:id="rId1978"/>
    <hyperlink xmlns:r="http://schemas.openxmlformats.org/officeDocument/2006/relationships" ref="CI35" display="https://www.nowfoods.com/products/supplements/taurine-pure-powder" r:id="rId1979"/>
    <hyperlink xmlns:r="http://schemas.openxmlformats.org/officeDocument/2006/relationships" ref="CJ35" display="https://www.nowfoods.com/products/supplements/taurine-pure-powder" r:id="rId1980"/>
    <hyperlink xmlns:r="http://schemas.openxmlformats.org/officeDocument/2006/relationships" ref="CK35" display="https://www.nowfoods.com/products/supplements/taurine-pure-powder" r:id="rId1981"/>
    <hyperlink xmlns:r="http://schemas.openxmlformats.org/officeDocument/2006/relationships" ref="CL35" display="https://www.nowfoods.com/products/supplements/taurine-pure-powder" r:id="rId1982"/>
    <hyperlink xmlns:r="http://schemas.openxmlformats.org/officeDocument/2006/relationships" ref="CM35" display="https://www.nowfoods.com/products/supplements/taurine-pure-powder" r:id="rId1983"/>
    <hyperlink xmlns:r="http://schemas.openxmlformats.org/officeDocument/2006/relationships" ref="CN35" display="https://www.nowfoods.com/products/supplements/taurine-pure-powder" r:id="rId1984"/>
    <hyperlink xmlns:r="http://schemas.openxmlformats.org/officeDocument/2006/relationships" ref="CO35" display="https://www.nowfoods.com/products/supplements/taurine-pure-powder" r:id="rId1985"/>
    <hyperlink xmlns:r="http://schemas.openxmlformats.org/officeDocument/2006/relationships" ref="CP35" display="https://www.nowfoods.com/products/supplements/taurine-pure-powder" r:id="rId1986"/>
    <hyperlink xmlns:r="http://schemas.openxmlformats.org/officeDocument/2006/relationships" ref="CQ35" display="https://www.nowfoods.com/products/supplements/taurine-pure-powder" r:id="rId1987"/>
    <hyperlink xmlns:r="http://schemas.openxmlformats.org/officeDocument/2006/relationships" ref="CR35" display="https://www.nowfoods.com/products/supplements/taurine-pure-powder" r:id="rId1988"/>
    <hyperlink xmlns:r="http://schemas.openxmlformats.org/officeDocument/2006/relationships" ref="CS35" display="https://www.nowfoods.com/products/supplements/taurine-pure-powder" r:id="rId1989"/>
    <hyperlink xmlns:r="http://schemas.openxmlformats.org/officeDocument/2006/relationships" ref="CT35" display="https://www.nowfoods.com/products/supplements/taurine-pure-powder" r:id="rId1990"/>
    <hyperlink xmlns:r="http://schemas.openxmlformats.org/officeDocument/2006/relationships" ref="CU35" display="https://www.nowfoods.com/products/supplements/taurine-pure-powder" r:id="rId1991"/>
    <hyperlink xmlns:r="http://schemas.openxmlformats.org/officeDocument/2006/relationships" ref="CV35" display="https://www.nowfoods.com/products/supplements/taurine-pure-powder" r:id="rId1992"/>
    <hyperlink xmlns:r="http://schemas.openxmlformats.org/officeDocument/2006/relationships" ref="O36" display="https://www.nutrex-hawaii.com/products/bioastin-supreme-12-mg" r:id="rId1993"/>
    <hyperlink xmlns:r="http://schemas.openxmlformats.org/officeDocument/2006/relationships" ref="P36" display="https://www.nutrex-hawaii.com/products/bioastin-supreme-12-mg" r:id="rId1994"/>
    <hyperlink xmlns:r="http://schemas.openxmlformats.org/officeDocument/2006/relationships" ref="Q36" display="https://www.nutrex-hawaii.com/products/bioastin-supreme-12-mg" r:id="rId1995"/>
    <hyperlink xmlns:r="http://schemas.openxmlformats.org/officeDocument/2006/relationships" ref="R36" display="https://www.nutrex-hawaii.com/products/bioastin-supreme-12-mg" r:id="rId1996"/>
    <hyperlink xmlns:r="http://schemas.openxmlformats.org/officeDocument/2006/relationships" ref="S36" display="https://www.nutrex-hawaii.com/products/bioastin-supreme-12-mg" r:id="rId1997"/>
    <hyperlink xmlns:r="http://schemas.openxmlformats.org/officeDocument/2006/relationships" ref="T36" display="https://www.nutrex-hawaii.com/products/bioastin-supreme-12-mg" r:id="rId1998"/>
    <hyperlink xmlns:r="http://schemas.openxmlformats.org/officeDocument/2006/relationships" ref="U36" display="https://www.nutrex-hawaii.com/products/bioastin-supreme-12-mg" r:id="rId1999"/>
    <hyperlink xmlns:r="http://schemas.openxmlformats.org/officeDocument/2006/relationships" ref="W36" display="https://www.nutrex-hawaii.com/products/bioastin-supreme-12-mg" r:id="rId2000"/>
    <hyperlink xmlns:r="http://schemas.openxmlformats.org/officeDocument/2006/relationships" ref="X36" display="https://www.nutrex-hawaii.com/products/bioastin-supreme-12-mg" r:id="rId2001"/>
    <hyperlink xmlns:r="http://schemas.openxmlformats.org/officeDocument/2006/relationships" ref="Y36" display="https://www.nutrex-hawaii.com/products/bioastin-supreme-12-mg" r:id="rId2002"/>
    <hyperlink xmlns:r="http://schemas.openxmlformats.org/officeDocument/2006/relationships" ref="Z36" display="https://www.nutrex-hawaii.com/products/bioastin-supreme-12-mg" r:id="rId2003"/>
    <hyperlink xmlns:r="http://schemas.openxmlformats.org/officeDocument/2006/relationships" ref="AA36" display="https://www.nutrex-hawaii.com/products/bioastin-supreme-12-mg" r:id="rId2004"/>
    <hyperlink xmlns:r="http://schemas.openxmlformats.org/officeDocument/2006/relationships" ref="AB36" display="https://www.nutrex-hawaii.com/products/bioastin-supreme-12-mg" r:id="rId2005"/>
    <hyperlink xmlns:r="http://schemas.openxmlformats.org/officeDocument/2006/relationships" ref="AC36" display="https://www.nutrex-hawaii.com/products/bioastin-supreme-12-mg" r:id="rId2006"/>
    <hyperlink xmlns:r="http://schemas.openxmlformats.org/officeDocument/2006/relationships" ref="AD36" display="https://www.nutrex-hawaii.com/products/bioastin-supreme-12-mg" r:id="rId2007"/>
    <hyperlink xmlns:r="http://schemas.openxmlformats.org/officeDocument/2006/relationships" ref="AE36" display="https://www.nutrex-hawaii.com/products/bioastin-supreme-12-mg" r:id="rId2008"/>
    <hyperlink xmlns:r="http://schemas.openxmlformats.org/officeDocument/2006/relationships" ref="AF36" display="https://www.nutrex-hawaii.com/products/bioastin-supreme-12-mg" r:id="rId2009"/>
    <hyperlink xmlns:r="http://schemas.openxmlformats.org/officeDocument/2006/relationships" ref="AH36" display="https://www.nutrex-hawaii.com/products/bioastin-supreme-12-mg" r:id="rId2010"/>
    <hyperlink xmlns:r="http://schemas.openxmlformats.org/officeDocument/2006/relationships" ref="AJ36" display="https://www.nutrex-hawaii.com/products/bioastin-supreme-12-mg" r:id="rId2011"/>
    <hyperlink xmlns:r="http://schemas.openxmlformats.org/officeDocument/2006/relationships" ref="AK36" display="https://www.nutrex-hawaii.com/products/bioastin-supreme-12-mg" r:id="rId2012"/>
    <hyperlink xmlns:r="http://schemas.openxmlformats.org/officeDocument/2006/relationships" ref="AL36" display="https://www.nutrex-hawaii.com/products/bioastin-supreme-12-mg" r:id="rId2013"/>
    <hyperlink xmlns:r="http://schemas.openxmlformats.org/officeDocument/2006/relationships" ref="AM36" display="https://www.nutrex-hawaii.com/products/bioastin-supreme-12-mg" r:id="rId2014"/>
    <hyperlink xmlns:r="http://schemas.openxmlformats.org/officeDocument/2006/relationships" ref="AN36" display="https://www.nutrex-hawaii.com/products/bioastin-supreme-12-mg" r:id="rId2015"/>
    <hyperlink xmlns:r="http://schemas.openxmlformats.org/officeDocument/2006/relationships" ref="AO36" display="https://www.nutrex-hawaii.com/products/bioastin-supreme-12-mg" r:id="rId2016"/>
    <hyperlink xmlns:r="http://schemas.openxmlformats.org/officeDocument/2006/relationships" ref="AP36" display="https://www.nutrex-hawaii.com/products/bioastin-supreme-12-mg" r:id="rId2017"/>
    <hyperlink xmlns:r="http://schemas.openxmlformats.org/officeDocument/2006/relationships" ref="AQ36" display="https://www.nutrex-hawaii.com/products/bioastin-supreme-12-mg" r:id="rId2018"/>
    <hyperlink xmlns:r="http://schemas.openxmlformats.org/officeDocument/2006/relationships" ref="AR36" display="https://www.nutrex-hawaii.com/products/bioastin-supreme-12-mg" r:id="rId2019"/>
    <hyperlink xmlns:r="http://schemas.openxmlformats.org/officeDocument/2006/relationships" ref="AS36" display="https://www.nutrex-hawaii.com/products/bioastin-supreme-12-mg" r:id="rId2020"/>
    <hyperlink xmlns:r="http://schemas.openxmlformats.org/officeDocument/2006/relationships" ref="AT36" display="https://www.nutrex-hawaii.com/products/bioastin-supreme-12-mg" r:id="rId2021"/>
    <hyperlink xmlns:r="http://schemas.openxmlformats.org/officeDocument/2006/relationships" ref="AU36" display="https://www.nutrex-hawaii.com/products/bioastin-supreme-12-mg" r:id="rId2022"/>
    <hyperlink xmlns:r="http://schemas.openxmlformats.org/officeDocument/2006/relationships" ref="AV36" display="https://www.nutrex-hawaii.com/products/bioastin-supreme-12-mg" r:id="rId2023"/>
    <hyperlink xmlns:r="http://schemas.openxmlformats.org/officeDocument/2006/relationships" ref="AW36" display="https://www.nutrex-hawaii.com/products/bioastin-supreme-12-mg" r:id="rId2024"/>
    <hyperlink xmlns:r="http://schemas.openxmlformats.org/officeDocument/2006/relationships" ref="AX36" display="https://www.nutrex-hawaii.com/products/bioastin-supreme-12-mg" r:id="rId2025"/>
    <hyperlink xmlns:r="http://schemas.openxmlformats.org/officeDocument/2006/relationships" ref="AY36" display="https://www.nutrex-hawaii.com/products/bioastin-supreme-12-mg" r:id="rId2026"/>
    <hyperlink xmlns:r="http://schemas.openxmlformats.org/officeDocument/2006/relationships" ref="AZ36" display="https://www.nutrex-hawaii.com/products/bioastin-supreme-12-mg" r:id="rId2027"/>
    <hyperlink xmlns:r="http://schemas.openxmlformats.org/officeDocument/2006/relationships" ref="BA36" display="https://www.nutrex-hawaii.com/products/bioastin-supreme-12-mg" r:id="rId2028"/>
    <hyperlink xmlns:r="http://schemas.openxmlformats.org/officeDocument/2006/relationships" ref="BB36" display="https://www.nutrex-hawaii.com/products/bioastin-supreme-12-mg" r:id="rId2029"/>
    <hyperlink xmlns:r="http://schemas.openxmlformats.org/officeDocument/2006/relationships" ref="BC36" display="https://www.nutrex-hawaii.com/products/bioastin-supreme-12-mg" r:id="rId2030"/>
    <hyperlink xmlns:r="http://schemas.openxmlformats.org/officeDocument/2006/relationships" ref="BD36" display="https://www.nutrex-hawaii.com/products/bioastin-supreme-12-mg" r:id="rId2031"/>
    <hyperlink xmlns:r="http://schemas.openxmlformats.org/officeDocument/2006/relationships" ref="BE36" display="https://www.nutrex-hawaii.com/products/bioastin-supreme-12-mg" r:id="rId2032"/>
    <hyperlink xmlns:r="http://schemas.openxmlformats.org/officeDocument/2006/relationships" ref="BF36" display="https://www.nutrex-hawaii.com/products/bioastin-supreme-12-mg" r:id="rId2033"/>
    <hyperlink xmlns:r="http://schemas.openxmlformats.org/officeDocument/2006/relationships" ref="BG36" display="https://www.nutrex-hawaii.com/products/bioastin-supreme-12-mg" r:id="rId2034"/>
    <hyperlink xmlns:r="http://schemas.openxmlformats.org/officeDocument/2006/relationships" ref="BH36" display="https://www.nutrex-hawaii.com/products/bioastin-supreme-12-mg" r:id="rId2035"/>
    <hyperlink xmlns:r="http://schemas.openxmlformats.org/officeDocument/2006/relationships" ref="BI36" display="https://www.nutrex-hawaii.com/products/bioastin-supreme-12-mg" r:id="rId2036"/>
    <hyperlink xmlns:r="http://schemas.openxmlformats.org/officeDocument/2006/relationships" ref="BJ36" display="https://www.nutrex-hawaii.com/products/bioastin-supreme-12-mg" r:id="rId2037"/>
    <hyperlink xmlns:r="http://schemas.openxmlformats.org/officeDocument/2006/relationships" ref="BK36" display="https://www.nutrex-hawaii.com/products/bioastin-supreme-12-mg" r:id="rId2038"/>
    <hyperlink xmlns:r="http://schemas.openxmlformats.org/officeDocument/2006/relationships" ref="BL36" display="https://www.nutrex-hawaii.com/products/bioastin-supreme-12-mg" r:id="rId2039"/>
    <hyperlink xmlns:r="http://schemas.openxmlformats.org/officeDocument/2006/relationships" ref="BM36" display="https://www.nutrex-hawaii.com/products/bioastin-supreme-12-mg" r:id="rId2040"/>
    <hyperlink xmlns:r="http://schemas.openxmlformats.org/officeDocument/2006/relationships" ref="BN36" display="https://www.nutrex-hawaii.com/products/bioastin-supreme-12-mg" r:id="rId2041"/>
    <hyperlink xmlns:r="http://schemas.openxmlformats.org/officeDocument/2006/relationships" ref="BO36" display="https://www.nutrex-hawaii.com/products/bioastin-supreme-12-mg" r:id="rId2042"/>
    <hyperlink xmlns:r="http://schemas.openxmlformats.org/officeDocument/2006/relationships" ref="BP36" display="https://www.nutrex-hawaii.com/products/bioastin-supreme-12-mg" r:id="rId2043"/>
    <hyperlink xmlns:r="http://schemas.openxmlformats.org/officeDocument/2006/relationships" ref="BQ36" display="https://www.nutrex-hawaii.com/products/bioastin-supreme-12-mg" r:id="rId2044"/>
    <hyperlink xmlns:r="http://schemas.openxmlformats.org/officeDocument/2006/relationships" ref="BR36" display="https://www.nutrex-hawaii.com/products/bioastin-supreme-12-mg" r:id="rId2045"/>
    <hyperlink xmlns:r="http://schemas.openxmlformats.org/officeDocument/2006/relationships" ref="BS36" display="https://www.nutrex-hawaii.com/products/bioastin-supreme-12-mg" r:id="rId2046"/>
    <hyperlink xmlns:r="http://schemas.openxmlformats.org/officeDocument/2006/relationships" ref="BT36" display="https://www.nutrex-hawaii.com/products/bioastin-supreme-12-mg" r:id="rId2047"/>
    <hyperlink xmlns:r="http://schemas.openxmlformats.org/officeDocument/2006/relationships" ref="BU36" display="https://www.nutrex-hawaii.com/products/bioastin-supreme-12-mg" r:id="rId2048"/>
    <hyperlink xmlns:r="http://schemas.openxmlformats.org/officeDocument/2006/relationships" ref="BV36" display="https://www.nutrex-hawaii.com/products/bioastin-supreme-12-mg" r:id="rId2049"/>
    <hyperlink xmlns:r="http://schemas.openxmlformats.org/officeDocument/2006/relationships" ref="BW36" display="https://www.nutrex-hawaii.com/products/bioastin-supreme-12-mg" r:id="rId2050"/>
    <hyperlink xmlns:r="http://schemas.openxmlformats.org/officeDocument/2006/relationships" ref="BX36" display="https://www.nutrex-hawaii.com/products/bioastin-supreme-12-mg" r:id="rId2051"/>
    <hyperlink xmlns:r="http://schemas.openxmlformats.org/officeDocument/2006/relationships" ref="BY36" display="https://www.nutrex-hawaii.com/products/bioastin-supreme-12-mg" r:id="rId2052"/>
    <hyperlink xmlns:r="http://schemas.openxmlformats.org/officeDocument/2006/relationships" ref="BZ36" display="https://www.nutrex-hawaii.com/products/bioastin-supreme-12-mg" r:id="rId2053"/>
    <hyperlink xmlns:r="http://schemas.openxmlformats.org/officeDocument/2006/relationships" ref="CA36" display="https://www.nutrex-hawaii.com/products/bioastin-supreme-12-mg" r:id="rId2054"/>
    <hyperlink xmlns:r="http://schemas.openxmlformats.org/officeDocument/2006/relationships" ref="CB36" display="https://www.nutrex-hawaii.com/products/bioastin-supreme-12-mg" r:id="rId2055"/>
    <hyperlink xmlns:r="http://schemas.openxmlformats.org/officeDocument/2006/relationships" ref="CC36" display="https://www.nutrex-hawaii.com/products/bioastin-supreme-12-mg" r:id="rId2056"/>
    <hyperlink xmlns:r="http://schemas.openxmlformats.org/officeDocument/2006/relationships" ref="CD36" display="https://www.nutrex-hawaii.com/products/bioastin-supreme-12-mg" r:id="rId2057"/>
    <hyperlink xmlns:r="http://schemas.openxmlformats.org/officeDocument/2006/relationships" ref="CE36" display="https://www.nutrex-hawaii.com/products/bioastin-supreme-12-mg" r:id="rId2058"/>
    <hyperlink xmlns:r="http://schemas.openxmlformats.org/officeDocument/2006/relationships" ref="CF36" display="https://www.nutrex-hawaii.com/products/bioastin-supreme-12-mg" r:id="rId2059"/>
    <hyperlink xmlns:r="http://schemas.openxmlformats.org/officeDocument/2006/relationships" ref="CG36" display="https://www.nutrex-hawaii.com/products/bioastin-supreme-12-mg" r:id="rId2060"/>
    <hyperlink xmlns:r="http://schemas.openxmlformats.org/officeDocument/2006/relationships" ref="CH36" display="https://www.nutrex-hawaii.com/products/bioastin-supreme-12-mg" r:id="rId2061"/>
    <hyperlink xmlns:r="http://schemas.openxmlformats.org/officeDocument/2006/relationships" ref="CI36" display="https://www.nutrex-hawaii.com/products/bioastin-supreme-12-mg" r:id="rId2062"/>
    <hyperlink xmlns:r="http://schemas.openxmlformats.org/officeDocument/2006/relationships" ref="CJ36" display="https://www.nutrex-hawaii.com/products/bioastin-supreme-12-mg" r:id="rId2063"/>
    <hyperlink xmlns:r="http://schemas.openxmlformats.org/officeDocument/2006/relationships" ref="CK36" display="https://www.nutrex-hawaii.com/products/bioastin-supreme-12-mg" r:id="rId2064"/>
    <hyperlink xmlns:r="http://schemas.openxmlformats.org/officeDocument/2006/relationships" ref="CL36" display="https://www.nutrex-hawaii.com/products/bioastin-supreme-12-mg" r:id="rId2065"/>
    <hyperlink xmlns:r="http://schemas.openxmlformats.org/officeDocument/2006/relationships" ref="CM36" display="https://www.nutrex-hawaii.com/products/bioastin-supreme-12-mg" r:id="rId2066"/>
    <hyperlink xmlns:r="http://schemas.openxmlformats.org/officeDocument/2006/relationships" ref="CN36" display="https://www.nutrex-hawaii.com/products/bioastin-supreme-12-mg" r:id="rId2067"/>
    <hyperlink xmlns:r="http://schemas.openxmlformats.org/officeDocument/2006/relationships" ref="CO36" display="https://www.nutrex-hawaii.com/products/bioastin-supreme-12-mg" r:id="rId2068"/>
    <hyperlink xmlns:r="http://schemas.openxmlformats.org/officeDocument/2006/relationships" ref="CP36" display="https://www.nutrex-hawaii.com/products/bioastin-supreme-12-mg" r:id="rId2069"/>
    <hyperlink xmlns:r="http://schemas.openxmlformats.org/officeDocument/2006/relationships" ref="CQ36" display="https://www.nutrex-hawaii.com/products/bioastin-supreme-12-mg" r:id="rId2070"/>
    <hyperlink xmlns:r="http://schemas.openxmlformats.org/officeDocument/2006/relationships" ref="CR36" display="https://www.nutrex-hawaii.com/products/bioastin-supreme-12-mg" r:id="rId2071"/>
    <hyperlink xmlns:r="http://schemas.openxmlformats.org/officeDocument/2006/relationships" ref="CS36" display="https://www.nutrex-hawaii.com/products/bioastin-supreme-12-mg" r:id="rId2072"/>
    <hyperlink xmlns:r="http://schemas.openxmlformats.org/officeDocument/2006/relationships" ref="CT36" display="https://www.nutrex-hawaii.com/products/bioastin-supreme-12-mg" r:id="rId2073"/>
    <hyperlink xmlns:r="http://schemas.openxmlformats.org/officeDocument/2006/relationships" ref="CU36" display="https://www.nutrex-hawaii.com/products/bioastin-supreme-12-mg" r:id="rId2074"/>
    <hyperlink xmlns:r="http://schemas.openxmlformats.org/officeDocument/2006/relationships" ref="CV36" display="https://www.nutrex-hawaii.com/products/bioastin-supreme-12-mg" r:id="rId2075"/>
    <hyperlink xmlns:r="http://schemas.openxmlformats.org/officeDocument/2006/relationships" ref="O37" display="https://www.nowfoods.com/products/foods/inulin-prebiotic-pure-powder-organic" r:id="rId2076"/>
    <hyperlink xmlns:r="http://schemas.openxmlformats.org/officeDocument/2006/relationships" ref="P37" display="https://www.nowfoods.com/products/foods/inulin-prebiotic-pure-powder-organic" r:id="rId2077"/>
    <hyperlink xmlns:r="http://schemas.openxmlformats.org/officeDocument/2006/relationships" ref="Q37" display="https://www.nowfoods.com/products/foods/inulin-prebiotic-pure-powder-organic" r:id="rId2078"/>
    <hyperlink xmlns:r="http://schemas.openxmlformats.org/officeDocument/2006/relationships" ref="R37" display="https://www.nowfoods.com/products/foods/inulin-prebiotic-pure-powder-organic" r:id="rId2079"/>
    <hyperlink xmlns:r="http://schemas.openxmlformats.org/officeDocument/2006/relationships" ref="S37" display="https://www.nowfoods.com/products/foods/inulin-prebiotic-pure-powder-organic" r:id="rId2080"/>
    <hyperlink xmlns:r="http://schemas.openxmlformats.org/officeDocument/2006/relationships" ref="T37" display="https://www.nowfoods.com/products/foods/inulin-prebiotic-pure-powder-organic" r:id="rId2081"/>
    <hyperlink xmlns:r="http://schemas.openxmlformats.org/officeDocument/2006/relationships" ref="U37" display="https://www.nowfoods.com/products/foods/inulin-prebiotic-pure-powder-organic" r:id="rId2082"/>
    <hyperlink xmlns:r="http://schemas.openxmlformats.org/officeDocument/2006/relationships" ref="W37" display="https://www.nowfoods.com/products/foods/inulin-prebiotic-pure-powder-organic" r:id="rId2083"/>
    <hyperlink xmlns:r="http://schemas.openxmlformats.org/officeDocument/2006/relationships" ref="X37" display="https://www.nowfoods.com/products/foods/inulin-prebiotic-pure-powder-organic" r:id="rId2084"/>
    <hyperlink xmlns:r="http://schemas.openxmlformats.org/officeDocument/2006/relationships" ref="Y37" display="https://www.nowfoods.com/products/foods/inulin-prebiotic-pure-powder-organic" r:id="rId2085"/>
    <hyperlink xmlns:r="http://schemas.openxmlformats.org/officeDocument/2006/relationships" ref="Z37" display="https://www.nowfoods.com/products/foods/inulin-prebiotic-pure-powder-organic" r:id="rId2086"/>
    <hyperlink xmlns:r="http://schemas.openxmlformats.org/officeDocument/2006/relationships" ref="AA37" display="https://www.nowfoods.com/products/foods/inulin-prebiotic-pure-powder-organic" r:id="rId2087"/>
    <hyperlink xmlns:r="http://schemas.openxmlformats.org/officeDocument/2006/relationships" ref="AB37" display="https://www.nowfoods.com/products/foods/inulin-prebiotic-pure-powder-organic" r:id="rId2088"/>
    <hyperlink xmlns:r="http://schemas.openxmlformats.org/officeDocument/2006/relationships" ref="AC37" display="https://www.nowfoods.com/products/foods/inulin-prebiotic-pure-powder-organic" r:id="rId2089"/>
    <hyperlink xmlns:r="http://schemas.openxmlformats.org/officeDocument/2006/relationships" ref="AD37" display="https://www.nowfoods.com/products/foods/inulin-prebiotic-pure-powder-organic" r:id="rId2090"/>
    <hyperlink xmlns:r="http://schemas.openxmlformats.org/officeDocument/2006/relationships" ref="AE37" display="https://www.nowfoods.com/products/foods/inulin-prebiotic-pure-powder-organic" r:id="rId2091"/>
    <hyperlink xmlns:r="http://schemas.openxmlformats.org/officeDocument/2006/relationships" ref="AF37" display="https://www.nowfoods.com/products/foods/inulin-prebiotic-pure-powder-organic" r:id="rId2092"/>
    <hyperlink xmlns:r="http://schemas.openxmlformats.org/officeDocument/2006/relationships" ref="AH37" display="https://www.nowfoods.com/products/foods/inulin-prebiotic-pure-powder-organic" r:id="rId2093"/>
    <hyperlink xmlns:r="http://schemas.openxmlformats.org/officeDocument/2006/relationships" ref="AJ37" display="https://www.nowfoods.com/products/foods/inulin-prebiotic-pure-powder-organic" r:id="rId2094"/>
    <hyperlink xmlns:r="http://schemas.openxmlformats.org/officeDocument/2006/relationships" ref="AK37" display="https://www.nowfoods.com/products/foods/inulin-prebiotic-pure-powder-organic" r:id="rId2095"/>
    <hyperlink xmlns:r="http://schemas.openxmlformats.org/officeDocument/2006/relationships" ref="AL37" display="https://www.nowfoods.com/products/foods/inulin-prebiotic-pure-powder-organic" r:id="rId2096"/>
    <hyperlink xmlns:r="http://schemas.openxmlformats.org/officeDocument/2006/relationships" ref="AM37" display="https://www.nowfoods.com/products/foods/inulin-prebiotic-pure-powder-organic" r:id="rId2097"/>
    <hyperlink xmlns:r="http://schemas.openxmlformats.org/officeDocument/2006/relationships" ref="AN37" display="https://www.nowfoods.com/products/foods/inulin-prebiotic-pure-powder-organic" r:id="rId2098"/>
    <hyperlink xmlns:r="http://schemas.openxmlformats.org/officeDocument/2006/relationships" ref="AO37" display="https://www.nowfoods.com/products/foods/inulin-prebiotic-pure-powder-organic" r:id="rId2099"/>
    <hyperlink xmlns:r="http://schemas.openxmlformats.org/officeDocument/2006/relationships" ref="AP37" display="https://www.nowfoods.com/products/foods/inulin-prebiotic-pure-powder-organic" r:id="rId2100"/>
    <hyperlink xmlns:r="http://schemas.openxmlformats.org/officeDocument/2006/relationships" ref="AQ37" display="https://www.nowfoods.com/products/foods/inulin-prebiotic-pure-powder-organic" r:id="rId2101"/>
    <hyperlink xmlns:r="http://schemas.openxmlformats.org/officeDocument/2006/relationships" ref="AR37" display="https://www.nowfoods.com/products/foods/inulin-prebiotic-pure-powder-organic" r:id="rId2102"/>
    <hyperlink xmlns:r="http://schemas.openxmlformats.org/officeDocument/2006/relationships" ref="AS37" display="https://www.nowfoods.com/products/foods/inulin-prebiotic-pure-powder-organic" r:id="rId2103"/>
    <hyperlink xmlns:r="http://schemas.openxmlformats.org/officeDocument/2006/relationships" ref="AT37" display="https://www.nowfoods.com/products/foods/inulin-prebiotic-pure-powder-organic" r:id="rId2104"/>
    <hyperlink xmlns:r="http://schemas.openxmlformats.org/officeDocument/2006/relationships" ref="AU37" display="https://www.nowfoods.com/products/foods/inulin-prebiotic-pure-powder-organic" r:id="rId2105"/>
    <hyperlink xmlns:r="http://schemas.openxmlformats.org/officeDocument/2006/relationships" ref="AV37" display="https://www.nowfoods.com/products/foods/inulin-prebiotic-pure-powder-organic" r:id="rId2106"/>
    <hyperlink xmlns:r="http://schemas.openxmlformats.org/officeDocument/2006/relationships" ref="AW37" display="https://www.nowfoods.com/products/foods/inulin-prebiotic-pure-powder-organic" r:id="rId2107"/>
    <hyperlink xmlns:r="http://schemas.openxmlformats.org/officeDocument/2006/relationships" ref="AX37" display="https://www.nowfoods.com/products/foods/inulin-prebiotic-pure-powder-organic" r:id="rId2108"/>
    <hyperlink xmlns:r="http://schemas.openxmlformats.org/officeDocument/2006/relationships" ref="AY37" display="https://www.nowfoods.com/products/foods/inulin-prebiotic-pure-powder-organic" r:id="rId2109"/>
    <hyperlink xmlns:r="http://schemas.openxmlformats.org/officeDocument/2006/relationships" ref="AZ37" display="https://www.nowfoods.com/products/foods/inulin-prebiotic-pure-powder-organic" r:id="rId2110"/>
    <hyperlink xmlns:r="http://schemas.openxmlformats.org/officeDocument/2006/relationships" ref="BA37" display="https://www.nowfoods.com/products/foods/inulin-prebiotic-pure-powder-organic" r:id="rId2111"/>
    <hyperlink xmlns:r="http://schemas.openxmlformats.org/officeDocument/2006/relationships" ref="BB37" display="https://www.nowfoods.com/products/foods/inulin-prebiotic-pure-powder-organic" r:id="rId2112"/>
    <hyperlink xmlns:r="http://schemas.openxmlformats.org/officeDocument/2006/relationships" ref="BC37" display="https://www.nowfoods.com/products/foods/inulin-prebiotic-pure-powder-organic" r:id="rId2113"/>
    <hyperlink xmlns:r="http://schemas.openxmlformats.org/officeDocument/2006/relationships" ref="BD37" display="https://www.nowfoods.com/products/foods/inulin-prebiotic-pure-powder-organic" r:id="rId2114"/>
    <hyperlink xmlns:r="http://schemas.openxmlformats.org/officeDocument/2006/relationships" ref="BE37" display="https://www.nowfoods.com/products/foods/inulin-prebiotic-pure-powder-organic" r:id="rId2115"/>
    <hyperlink xmlns:r="http://schemas.openxmlformats.org/officeDocument/2006/relationships" ref="BF37" display="https://www.nowfoods.com/products/foods/inulin-prebiotic-pure-powder-organic" r:id="rId2116"/>
    <hyperlink xmlns:r="http://schemas.openxmlformats.org/officeDocument/2006/relationships" ref="BG37" display="https://www.nowfoods.com/products/foods/inulin-prebiotic-pure-powder-organic" r:id="rId2117"/>
    <hyperlink xmlns:r="http://schemas.openxmlformats.org/officeDocument/2006/relationships" ref="BH37" display="https://www.nowfoods.com/products/foods/inulin-prebiotic-pure-powder-organic" r:id="rId2118"/>
    <hyperlink xmlns:r="http://schemas.openxmlformats.org/officeDocument/2006/relationships" ref="BI37" display="https://www.nowfoods.com/products/foods/inulin-prebiotic-pure-powder-organic" r:id="rId2119"/>
    <hyperlink xmlns:r="http://schemas.openxmlformats.org/officeDocument/2006/relationships" ref="BJ37" display="https://www.nowfoods.com/products/foods/inulin-prebiotic-pure-powder-organic" r:id="rId2120"/>
    <hyperlink xmlns:r="http://schemas.openxmlformats.org/officeDocument/2006/relationships" ref="BK37" display="https://www.nowfoods.com/products/foods/inulin-prebiotic-pure-powder-organic" r:id="rId2121"/>
    <hyperlink xmlns:r="http://schemas.openxmlformats.org/officeDocument/2006/relationships" ref="BL37" display="https://www.nowfoods.com/products/foods/inulin-prebiotic-pure-powder-organic" r:id="rId2122"/>
    <hyperlink xmlns:r="http://schemas.openxmlformats.org/officeDocument/2006/relationships" ref="BM37" display="https://www.nowfoods.com/products/foods/inulin-prebiotic-pure-powder-organic" r:id="rId2123"/>
    <hyperlink xmlns:r="http://schemas.openxmlformats.org/officeDocument/2006/relationships" ref="BN37" display="https://www.nowfoods.com/products/foods/inulin-prebiotic-pure-powder-organic" r:id="rId2124"/>
    <hyperlink xmlns:r="http://schemas.openxmlformats.org/officeDocument/2006/relationships" ref="BO37" display="https://www.nowfoods.com/products/foods/inulin-prebiotic-pure-powder-organic" r:id="rId2125"/>
    <hyperlink xmlns:r="http://schemas.openxmlformats.org/officeDocument/2006/relationships" ref="BP37" display="https://www.nowfoods.com/products/foods/inulin-prebiotic-pure-powder-organic" r:id="rId2126"/>
    <hyperlink xmlns:r="http://schemas.openxmlformats.org/officeDocument/2006/relationships" ref="BQ37" display="https://www.nowfoods.com/products/foods/inulin-prebiotic-pure-powder-organic" r:id="rId2127"/>
    <hyperlink xmlns:r="http://schemas.openxmlformats.org/officeDocument/2006/relationships" ref="BR37" display="https://www.nowfoods.com/products/foods/inulin-prebiotic-pure-powder-organic" r:id="rId2128"/>
    <hyperlink xmlns:r="http://schemas.openxmlformats.org/officeDocument/2006/relationships" ref="BS37" display="https://www.nowfoods.com/products/foods/inulin-prebiotic-pure-powder-organic" r:id="rId2129"/>
    <hyperlink xmlns:r="http://schemas.openxmlformats.org/officeDocument/2006/relationships" ref="BT37" display="https://www.nowfoods.com/products/foods/inulin-prebiotic-pure-powder-organic" r:id="rId2130"/>
    <hyperlink xmlns:r="http://schemas.openxmlformats.org/officeDocument/2006/relationships" ref="BU37" display="https://www.nowfoods.com/products/foods/inulin-prebiotic-pure-powder-organic" r:id="rId2131"/>
    <hyperlink xmlns:r="http://schemas.openxmlformats.org/officeDocument/2006/relationships" ref="BV37" display="https://www.nowfoods.com/products/foods/inulin-prebiotic-pure-powder-organic" r:id="rId2132"/>
    <hyperlink xmlns:r="http://schemas.openxmlformats.org/officeDocument/2006/relationships" ref="BW37" display="https://www.nowfoods.com/products/foods/inulin-prebiotic-pure-powder-organic" r:id="rId2133"/>
    <hyperlink xmlns:r="http://schemas.openxmlformats.org/officeDocument/2006/relationships" ref="BX37" display="https://www.nowfoods.com/products/foods/inulin-prebiotic-pure-powder-organic" r:id="rId2134"/>
    <hyperlink xmlns:r="http://schemas.openxmlformats.org/officeDocument/2006/relationships" ref="BY37" display="https://www.nowfoods.com/products/foods/inulin-prebiotic-pure-powder-organic" r:id="rId2135"/>
    <hyperlink xmlns:r="http://schemas.openxmlformats.org/officeDocument/2006/relationships" ref="BZ37" display="https://www.nowfoods.com/products/foods/inulin-prebiotic-pure-powder-organic" r:id="rId2136"/>
    <hyperlink xmlns:r="http://schemas.openxmlformats.org/officeDocument/2006/relationships" ref="CA37" display="https://www.nowfoods.com/products/foods/inulin-prebiotic-pure-powder-organic" r:id="rId2137"/>
    <hyperlink xmlns:r="http://schemas.openxmlformats.org/officeDocument/2006/relationships" ref="CB37" display="https://www.nowfoods.com/products/foods/inulin-prebiotic-pure-powder-organic" r:id="rId2138"/>
    <hyperlink xmlns:r="http://schemas.openxmlformats.org/officeDocument/2006/relationships" ref="CC37" display="https://www.nowfoods.com/products/foods/inulin-prebiotic-pure-powder-organic" r:id="rId2139"/>
    <hyperlink xmlns:r="http://schemas.openxmlformats.org/officeDocument/2006/relationships" ref="CD37" display="https://www.nowfoods.com/products/foods/inulin-prebiotic-pure-powder-organic" r:id="rId2140"/>
    <hyperlink xmlns:r="http://schemas.openxmlformats.org/officeDocument/2006/relationships" ref="CE37" display="https://www.nowfoods.com/products/foods/inulin-prebiotic-pure-powder-organic" r:id="rId2141"/>
    <hyperlink xmlns:r="http://schemas.openxmlformats.org/officeDocument/2006/relationships" ref="CF37" display="https://www.nowfoods.com/products/foods/inulin-prebiotic-pure-powder-organic" r:id="rId2142"/>
    <hyperlink xmlns:r="http://schemas.openxmlformats.org/officeDocument/2006/relationships" ref="CG37" display="https://www.nowfoods.com/products/foods/inulin-prebiotic-pure-powder-organic" r:id="rId2143"/>
    <hyperlink xmlns:r="http://schemas.openxmlformats.org/officeDocument/2006/relationships" ref="CH37" display="https://www.nowfoods.com/products/foods/inulin-prebiotic-pure-powder-organic" r:id="rId2144"/>
    <hyperlink xmlns:r="http://schemas.openxmlformats.org/officeDocument/2006/relationships" ref="CI37" display="https://www.nowfoods.com/products/foods/inulin-prebiotic-pure-powder-organic" r:id="rId2145"/>
    <hyperlink xmlns:r="http://schemas.openxmlformats.org/officeDocument/2006/relationships" ref="CJ37" display="https://www.nowfoods.com/products/foods/inulin-prebiotic-pure-powder-organic" r:id="rId2146"/>
    <hyperlink xmlns:r="http://schemas.openxmlformats.org/officeDocument/2006/relationships" ref="CK37" display="https://www.nowfoods.com/products/foods/inulin-prebiotic-pure-powder-organic" r:id="rId2147"/>
    <hyperlink xmlns:r="http://schemas.openxmlformats.org/officeDocument/2006/relationships" ref="CL37" display="https://www.nowfoods.com/products/foods/inulin-prebiotic-pure-powder-organic" r:id="rId2148"/>
    <hyperlink xmlns:r="http://schemas.openxmlformats.org/officeDocument/2006/relationships" ref="CM37" display="https://www.nowfoods.com/products/foods/inulin-prebiotic-pure-powder-organic" r:id="rId2149"/>
    <hyperlink xmlns:r="http://schemas.openxmlformats.org/officeDocument/2006/relationships" ref="CN37" display="https://www.nowfoods.com/products/foods/inulin-prebiotic-pure-powder-organic" r:id="rId2150"/>
    <hyperlink xmlns:r="http://schemas.openxmlformats.org/officeDocument/2006/relationships" ref="CO37" display="https://www.nowfoods.com/products/foods/inulin-prebiotic-pure-powder-organic" r:id="rId2151"/>
    <hyperlink xmlns:r="http://schemas.openxmlformats.org/officeDocument/2006/relationships" ref="CP37" display="https://www.nowfoods.com/products/foods/inulin-prebiotic-pure-powder-organic" r:id="rId2152"/>
    <hyperlink xmlns:r="http://schemas.openxmlformats.org/officeDocument/2006/relationships" ref="CQ37" display="https://www.nowfoods.com/products/foods/inulin-prebiotic-pure-powder-organic" r:id="rId2153"/>
    <hyperlink xmlns:r="http://schemas.openxmlformats.org/officeDocument/2006/relationships" ref="CR37" display="https://www.nowfoods.com/products/foods/inulin-prebiotic-pure-powder-organic" r:id="rId2154"/>
    <hyperlink xmlns:r="http://schemas.openxmlformats.org/officeDocument/2006/relationships" ref="CS37" display="https://www.nowfoods.com/products/foods/inulin-prebiotic-pure-powder-organic" r:id="rId2155"/>
    <hyperlink xmlns:r="http://schemas.openxmlformats.org/officeDocument/2006/relationships" ref="CT37" display="https://www.nowfoods.com/products/foods/inulin-prebiotic-pure-powder-organic" r:id="rId2156"/>
    <hyperlink xmlns:r="http://schemas.openxmlformats.org/officeDocument/2006/relationships" ref="CU37" display="https://www.nowfoods.com/products/foods/inulin-prebiotic-pure-powder-organic" r:id="rId2157"/>
    <hyperlink xmlns:r="http://schemas.openxmlformats.org/officeDocument/2006/relationships" ref="CV37" display="https://www.nowfoods.com/products/foods/inulin-prebiotic-pure-powder-organic" r:id="rId2158"/>
    <hyperlink xmlns:r="http://schemas.openxmlformats.org/officeDocument/2006/relationships" ref="O39" display="https://justaboutfoods.com/products/organic-green-banana-flour" r:id="rId2159"/>
    <hyperlink xmlns:r="http://schemas.openxmlformats.org/officeDocument/2006/relationships" ref="P39" display="https://justaboutfoods.com/products/organic-green-banana-flour" r:id="rId2160"/>
    <hyperlink xmlns:r="http://schemas.openxmlformats.org/officeDocument/2006/relationships" ref="Q39" display="https://justaboutfoods.com/products/organic-green-banana-flour" r:id="rId2161"/>
    <hyperlink xmlns:r="http://schemas.openxmlformats.org/officeDocument/2006/relationships" ref="R39" display="https://justaboutfoods.com/products/organic-green-banana-flour" r:id="rId2162"/>
    <hyperlink xmlns:r="http://schemas.openxmlformats.org/officeDocument/2006/relationships" ref="S39" display="https://justaboutfoods.com/products/organic-green-banana-flour" r:id="rId2163"/>
    <hyperlink xmlns:r="http://schemas.openxmlformats.org/officeDocument/2006/relationships" ref="T39" display="https://justaboutfoods.com/products/organic-green-banana-flour" r:id="rId2164"/>
    <hyperlink xmlns:r="http://schemas.openxmlformats.org/officeDocument/2006/relationships" ref="U39" display="https://justaboutfoods.com/products/organic-green-banana-flour" r:id="rId2165"/>
    <hyperlink xmlns:r="http://schemas.openxmlformats.org/officeDocument/2006/relationships" ref="W39" display="https://justaboutfoods.com/products/organic-green-banana-flour" r:id="rId2166"/>
    <hyperlink xmlns:r="http://schemas.openxmlformats.org/officeDocument/2006/relationships" ref="X39" display="https://justaboutfoods.com/products/organic-green-banana-flour" r:id="rId2167"/>
    <hyperlink xmlns:r="http://schemas.openxmlformats.org/officeDocument/2006/relationships" ref="Y39" display="https://justaboutfoods.com/products/organic-green-banana-flour" r:id="rId2168"/>
    <hyperlink xmlns:r="http://schemas.openxmlformats.org/officeDocument/2006/relationships" ref="Z39" display="https://justaboutfoods.com/products/organic-green-banana-flour" r:id="rId2169"/>
    <hyperlink xmlns:r="http://schemas.openxmlformats.org/officeDocument/2006/relationships" ref="AA39" display="https://justaboutfoods.com/products/organic-green-banana-flour" r:id="rId2170"/>
    <hyperlink xmlns:r="http://schemas.openxmlformats.org/officeDocument/2006/relationships" ref="AB39" display="https://justaboutfoods.com/products/organic-green-banana-flour" r:id="rId2171"/>
    <hyperlink xmlns:r="http://schemas.openxmlformats.org/officeDocument/2006/relationships" ref="AC39" display="https://justaboutfoods.com/products/organic-green-banana-flour" r:id="rId2172"/>
    <hyperlink xmlns:r="http://schemas.openxmlformats.org/officeDocument/2006/relationships" ref="AD39" display="https://justaboutfoods.com/products/organic-green-banana-flour" r:id="rId2173"/>
    <hyperlink xmlns:r="http://schemas.openxmlformats.org/officeDocument/2006/relationships" ref="AE39" display="https://justaboutfoods.com/products/organic-green-banana-flour" r:id="rId2174"/>
    <hyperlink xmlns:r="http://schemas.openxmlformats.org/officeDocument/2006/relationships" ref="AF39" display="https://justaboutfoods.com/products/organic-green-banana-flour" r:id="rId2175"/>
    <hyperlink xmlns:r="http://schemas.openxmlformats.org/officeDocument/2006/relationships" ref="AH39" display="https://justaboutfoods.com/products/organic-green-banana-flour" r:id="rId2176"/>
    <hyperlink xmlns:r="http://schemas.openxmlformats.org/officeDocument/2006/relationships" ref="AJ39" display="https://justaboutfoods.com/products/organic-green-banana-flour" r:id="rId2177"/>
    <hyperlink xmlns:r="http://schemas.openxmlformats.org/officeDocument/2006/relationships" ref="AK39" display="https://justaboutfoods.com/products/organic-green-banana-flour" r:id="rId2178"/>
    <hyperlink xmlns:r="http://schemas.openxmlformats.org/officeDocument/2006/relationships" ref="AL39" display="https://justaboutfoods.com/products/organic-green-banana-flour" r:id="rId2179"/>
    <hyperlink xmlns:r="http://schemas.openxmlformats.org/officeDocument/2006/relationships" ref="AM39" display="https://justaboutfoods.com/products/organic-green-banana-flour" r:id="rId2180"/>
    <hyperlink xmlns:r="http://schemas.openxmlformats.org/officeDocument/2006/relationships" ref="AN39" display="https://justaboutfoods.com/products/organic-green-banana-flour" r:id="rId2181"/>
    <hyperlink xmlns:r="http://schemas.openxmlformats.org/officeDocument/2006/relationships" ref="AO39" display="https://justaboutfoods.com/products/organic-green-banana-flour" r:id="rId2182"/>
    <hyperlink xmlns:r="http://schemas.openxmlformats.org/officeDocument/2006/relationships" ref="AP39" display="https://justaboutfoods.com/products/organic-green-banana-flour" r:id="rId2183"/>
    <hyperlink xmlns:r="http://schemas.openxmlformats.org/officeDocument/2006/relationships" ref="AQ39" display="https://justaboutfoods.com/products/organic-green-banana-flour" r:id="rId2184"/>
    <hyperlink xmlns:r="http://schemas.openxmlformats.org/officeDocument/2006/relationships" ref="AR39" display="https://justaboutfoods.com/products/organic-green-banana-flour" r:id="rId2185"/>
    <hyperlink xmlns:r="http://schemas.openxmlformats.org/officeDocument/2006/relationships" ref="AS39" display="https://justaboutfoods.com/products/organic-green-banana-flour" r:id="rId2186"/>
    <hyperlink xmlns:r="http://schemas.openxmlformats.org/officeDocument/2006/relationships" ref="AT39" display="https://justaboutfoods.com/products/organic-green-banana-flour" r:id="rId2187"/>
    <hyperlink xmlns:r="http://schemas.openxmlformats.org/officeDocument/2006/relationships" ref="AU39" display="https://justaboutfoods.com/products/organic-green-banana-flour" r:id="rId2188"/>
    <hyperlink xmlns:r="http://schemas.openxmlformats.org/officeDocument/2006/relationships" ref="AV39" display="https://justaboutfoods.com/products/organic-green-banana-flour" r:id="rId2189"/>
    <hyperlink xmlns:r="http://schemas.openxmlformats.org/officeDocument/2006/relationships" ref="AW39" display="https://justaboutfoods.com/products/organic-green-banana-flour" r:id="rId2190"/>
    <hyperlink xmlns:r="http://schemas.openxmlformats.org/officeDocument/2006/relationships" ref="AX39" display="https://justaboutfoods.com/products/organic-green-banana-flour" r:id="rId2191"/>
    <hyperlink xmlns:r="http://schemas.openxmlformats.org/officeDocument/2006/relationships" ref="AY39" display="https://justaboutfoods.com/products/organic-green-banana-flour" r:id="rId2192"/>
    <hyperlink xmlns:r="http://schemas.openxmlformats.org/officeDocument/2006/relationships" ref="AZ39" display="https://justaboutfoods.com/products/organic-green-banana-flour" r:id="rId2193"/>
    <hyperlink xmlns:r="http://schemas.openxmlformats.org/officeDocument/2006/relationships" ref="BA39" display="https://justaboutfoods.com/products/organic-green-banana-flour" r:id="rId2194"/>
    <hyperlink xmlns:r="http://schemas.openxmlformats.org/officeDocument/2006/relationships" ref="BB39" display="https://justaboutfoods.com/products/organic-green-banana-flour" r:id="rId2195"/>
    <hyperlink xmlns:r="http://schemas.openxmlformats.org/officeDocument/2006/relationships" ref="BC39" display="https://justaboutfoods.com/products/organic-green-banana-flour" r:id="rId2196"/>
    <hyperlink xmlns:r="http://schemas.openxmlformats.org/officeDocument/2006/relationships" ref="BD39" display="https://justaboutfoods.com/products/organic-green-banana-flour" r:id="rId2197"/>
    <hyperlink xmlns:r="http://schemas.openxmlformats.org/officeDocument/2006/relationships" ref="BE39" display="https://justaboutfoods.com/products/organic-green-banana-flour" r:id="rId2198"/>
    <hyperlink xmlns:r="http://schemas.openxmlformats.org/officeDocument/2006/relationships" ref="BF39" display="https://justaboutfoods.com/products/organic-green-banana-flour" r:id="rId2199"/>
    <hyperlink xmlns:r="http://schemas.openxmlformats.org/officeDocument/2006/relationships" ref="BG39" display="https://justaboutfoods.com/products/organic-green-banana-flour" r:id="rId2200"/>
    <hyperlink xmlns:r="http://schemas.openxmlformats.org/officeDocument/2006/relationships" ref="BH39" display="https://justaboutfoods.com/products/organic-green-banana-flour" r:id="rId2201"/>
    <hyperlink xmlns:r="http://schemas.openxmlformats.org/officeDocument/2006/relationships" ref="BI39" display="https://justaboutfoods.com/products/organic-green-banana-flour" r:id="rId2202"/>
    <hyperlink xmlns:r="http://schemas.openxmlformats.org/officeDocument/2006/relationships" ref="BJ39" display="https://justaboutfoods.com/products/organic-green-banana-flour" r:id="rId2203"/>
    <hyperlink xmlns:r="http://schemas.openxmlformats.org/officeDocument/2006/relationships" ref="BK39" display="https://justaboutfoods.com/products/organic-green-banana-flour" r:id="rId2204"/>
    <hyperlink xmlns:r="http://schemas.openxmlformats.org/officeDocument/2006/relationships" ref="BL39" display="https://justaboutfoods.com/products/organic-green-banana-flour" r:id="rId2205"/>
    <hyperlink xmlns:r="http://schemas.openxmlformats.org/officeDocument/2006/relationships" ref="BM39" display="https://justaboutfoods.com/products/organic-green-banana-flour" r:id="rId2206"/>
    <hyperlink xmlns:r="http://schemas.openxmlformats.org/officeDocument/2006/relationships" ref="BN39" display="https://justaboutfoods.com/products/organic-green-banana-flour" r:id="rId2207"/>
    <hyperlink xmlns:r="http://schemas.openxmlformats.org/officeDocument/2006/relationships" ref="BO39" display="https://justaboutfoods.com/products/organic-green-banana-flour" r:id="rId2208"/>
    <hyperlink xmlns:r="http://schemas.openxmlformats.org/officeDocument/2006/relationships" ref="BP39" display="https://justaboutfoods.com/products/organic-green-banana-flour" r:id="rId2209"/>
    <hyperlink xmlns:r="http://schemas.openxmlformats.org/officeDocument/2006/relationships" ref="BQ39" display="https://justaboutfoods.com/products/organic-green-banana-flour" r:id="rId2210"/>
    <hyperlink xmlns:r="http://schemas.openxmlformats.org/officeDocument/2006/relationships" ref="BR39" display="https://justaboutfoods.com/products/organic-green-banana-flour" r:id="rId2211"/>
    <hyperlink xmlns:r="http://schemas.openxmlformats.org/officeDocument/2006/relationships" ref="BS39" display="https://justaboutfoods.com/products/organic-green-banana-flour" r:id="rId2212"/>
    <hyperlink xmlns:r="http://schemas.openxmlformats.org/officeDocument/2006/relationships" ref="BT39" display="https://justaboutfoods.com/products/organic-green-banana-flour" r:id="rId2213"/>
    <hyperlink xmlns:r="http://schemas.openxmlformats.org/officeDocument/2006/relationships" ref="BU39" display="https://justaboutfoods.com/products/organic-green-banana-flour" r:id="rId2214"/>
    <hyperlink xmlns:r="http://schemas.openxmlformats.org/officeDocument/2006/relationships" ref="BV39" display="https://justaboutfoods.com/products/organic-green-banana-flour" r:id="rId2215"/>
    <hyperlink xmlns:r="http://schemas.openxmlformats.org/officeDocument/2006/relationships" ref="BW39" display="https://justaboutfoods.com/products/organic-green-banana-flour" r:id="rId2216"/>
    <hyperlink xmlns:r="http://schemas.openxmlformats.org/officeDocument/2006/relationships" ref="BX39" display="https://justaboutfoods.com/products/organic-green-banana-flour" r:id="rId2217"/>
    <hyperlink xmlns:r="http://schemas.openxmlformats.org/officeDocument/2006/relationships" ref="BY39" display="https://justaboutfoods.com/products/organic-green-banana-flour" r:id="rId2218"/>
    <hyperlink xmlns:r="http://schemas.openxmlformats.org/officeDocument/2006/relationships" ref="BZ39" display="https://justaboutfoods.com/products/organic-green-banana-flour" r:id="rId2219"/>
    <hyperlink xmlns:r="http://schemas.openxmlformats.org/officeDocument/2006/relationships" ref="CA39" display="https://justaboutfoods.com/products/organic-green-banana-flour" r:id="rId2220"/>
    <hyperlink xmlns:r="http://schemas.openxmlformats.org/officeDocument/2006/relationships" ref="CB39" display="https://justaboutfoods.com/products/organic-green-banana-flour" r:id="rId2221"/>
    <hyperlink xmlns:r="http://schemas.openxmlformats.org/officeDocument/2006/relationships" ref="CC39" display="https://justaboutfoods.com/products/organic-green-banana-flour" r:id="rId2222"/>
    <hyperlink xmlns:r="http://schemas.openxmlformats.org/officeDocument/2006/relationships" ref="CD39" display="https://justaboutfoods.com/products/organic-green-banana-flour" r:id="rId2223"/>
    <hyperlink xmlns:r="http://schemas.openxmlformats.org/officeDocument/2006/relationships" ref="CE39" display="https://justaboutfoods.com/products/organic-green-banana-flour" r:id="rId2224"/>
    <hyperlink xmlns:r="http://schemas.openxmlformats.org/officeDocument/2006/relationships" ref="CF39" display="https://justaboutfoods.com/products/organic-green-banana-flour" r:id="rId2225"/>
    <hyperlink xmlns:r="http://schemas.openxmlformats.org/officeDocument/2006/relationships" ref="CG39" display="https://justaboutfoods.com/products/organic-green-banana-flour" r:id="rId2226"/>
    <hyperlink xmlns:r="http://schemas.openxmlformats.org/officeDocument/2006/relationships" ref="CH39" display="https://justaboutfoods.com/products/organic-green-banana-flour" r:id="rId2227"/>
    <hyperlink xmlns:r="http://schemas.openxmlformats.org/officeDocument/2006/relationships" ref="CI39" display="https://justaboutfoods.com/products/organic-green-banana-flour" r:id="rId2228"/>
    <hyperlink xmlns:r="http://schemas.openxmlformats.org/officeDocument/2006/relationships" ref="CJ39" display="https://justaboutfoods.com/products/organic-green-banana-flour" r:id="rId2229"/>
    <hyperlink xmlns:r="http://schemas.openxmlformats.org/officeDocument/2006/relationships" ref="CK39" display="https://justaboutfoods.com/products/organic-green-banana-flour" r:id="rId2230"/>
    <hyperlink xmlns:r="http://schemas.openxmlformats.org/officeDocument/2006/relationships" ref="CL39" display="https://justaboutfoods.com/products/organic-green-banana-flour" r:id="rId2231"/>
    <hyperlink xmlns:r="http://schemas.openxmlformats.org/officeDocument/2006/relationships" ref="CM39" display="https://justaboutfoods.com/products/organic-green-banana-flour" r:id="rId2232"/>
    <hyperlink xmlns:r="http://schemas.openxmlformats.org/officeDocument/2006/relationships" ref="CN39" display="https://justaboutfoods.com/products/organic-green-banana-flour" r:id="rId2233"/>
    <hyperlink xmlns:r="http://schemas.openxmlformats.org/officeDocument/2006/relationships" ref="CO39" display="https://justaboutfoods.com/products/organic-green-banana-flour" r:id="rId2234"/>
    <hyperlink xmlns:r="http://schemas.openxmlformats.org/officeDocument/2006/relationships" ref="CP39" display="https://justaboutfoods.com/products/organic-green-banana-flour" r:id="rId2235"/>
    <hyperlink xmlns:r="http://schemas.openxmlformats.org/officeDocument/2006/relationships" ref="CQ39" display="https://justaboutfoods.com/products/organic-green-banana-flour" r:id="rId2236"/>
    <hyperlink xmlns:r="http://schemas.openxmlformats.org/officeDocument/2006/relationships" ref="CR39" display="https://justaboutfoods.com/products/organic-green-banana-flour" r:id="rId2237"/>
    <hyperlink xmlns:r="http://schemas.openxmlformats.org/officeDocument/2006/relationships" ref="CS39" display="https://justaboutfoods.com/products/organic-green-banana-flour" r:id="rId2238"/>
    <hyperlink xmlns:r="http://schemas.openxmlformats.org/officeDocument/2006/relationships" ref="CT39" display="https://justaboutfoods.com/products/organic-green-banana-flour" r:id="rId2239"/>
    <hyperlink xmlns:r="http://schemas.openxmlformats.org/officeDocument/2006/relationships" ref="CU39" display="https://justaboutfoods.com/products/organic-green-banana-flour" r:id="rId2240"/>
    <hyperlink xmlns:r="http://schemas.openxmlformats.org/officeDocument/2006/relationships" ref="CV39" display="https://justaboutfoods.com/products/organic-green-banana-flour" r:id="rId2241"/>
    <hyperlink xmlns:r="http://schemas.openxmlformats.org/officeDocument/2006/relationships" ref="O40" display="https://www.amazon.com/Anthonys-Oat-Beta-Glucan-Powder/dp/B08F9TLG7K" r:id="rId2242"/>
    <hyperlink xmlns:r="http://schemas.openxmlformats.org/officeDocument/2006/relationships" ref="P40" display="https://www.amazon.com/Anthonys-Oat-Beta-Glucan-Powder/dp/B08F9TLG7K" r:id="rId2243"/>
    <hyperlink xmlns:r="http://schemas.openxmlformats.org/officeDocument/2006/relationships" ref="Q40" display="https://www.amazon.com/Anthonys-Oat-Beta-Glucan-Powder/dp/B08F9TLG7K" r:id="rId2244"/>
    <hyperlink xmlns:r="http://schemas.openxmlformats.org/officeDocument/2006/relationships" ref="R40" display="https://www.amazon.com/Anthonys-Oat-Beta-Glucan-Powder/dp/B08F9TLG7K" r:id="rId2245"/>
    <hyperlink xmlns:r="http://schemas.openxmlformats.org/officeDocument/2006/relationships" ref="S40" display="https://www.amazon.com/Anthonys-Oat-Beta-Glucan-Powder/dp/B08F9TLG7K" r:id="rId2246"/>
    <hyperlink xmlns:r="http://schemas.openxmlformats.org/officeDocument/2006/relationships" ref="T40" display="https://www.amazon.com/Anthonys-Oat-Beta-Glucan-Powder/dp/B08F9TLG7K" r:id="rId2247"/>
    <hyperlink xmlns:r="http://schemas.openxmlformats.org/officeDocument/2006/relationships" ref="U40" display="https://www.amazon.com/Anthonys-Oat-Beta-Glucan-Powder/dp/B08F9TLG7K" r:id="rId2248"/>
    <hyperlink xmlns:r="http://schemas.openxmlformats.org/officeDocument/2006/relationships" ref="W40" display="https://www.amazon.com/Anthonys-Oat-Beta-Glucan-Powder/dp/B08F9TLG7K" r:id="rId2249"/>
    <hyperlink xmlns:r="http://schemas.openxmlformats.org/officeDocument/2006/relationships" ref="X40" display="https://www.amazon.com/Anthonys-Oat-Beta-Glucan-Powder/dp/B08F9TLG7K" r:id="rId2250"/>
    <hyperlink xmlns:r="http://schemas.openxmlformats.org/officeDocument/2006/relationships" ref="Y40" display="https://www.amazon.com/Anthonys-Oat-Beta-Glucan-Powder/dp/B08F9TLG7K" r:id="rId2251"/>
    <hyperlink xmlns:r="http://schemas.openxmlformats.org/officeDocument/2006/relationships" ref="Z40" display="https://www.amazon.com/Anthonys-Oat-Beta-Glucan-Powder/dp/B08F9TLG7K" r:id="rId2252"/>
    <hyperlink xmlns:r="http://schemas.openxmlformats.org/officeDocument/2006/relationships" ref="AA40" display="https://www.amazon.com/Anthonys-Oat-Beta-Glucan-Powder/dp/B08F9TLG7K" r:id="rId2253"/>
    <hyperlink xmlns:r="http://schemas.openxmlformats.org/officeDocument/2006/relationships" ref="AB40" display="https://www.amazon.com/Anthonys-Oat-Beta-Glucan-Powder/dp/B08F9TLG7K" r:id="rId2254"/>
    <hyperlink xmlns:r="http://schemas.openxmlformats.org/officeDocument/2006/relationships" ref="AC40" display="https://www.amazon.com/Anthonys-Oat-Beta-Glucan-Powder/dp/B08F9TLG7K" r:id="rId2255"/>
    <hyperlink xmlns:r="http://schemas.openxmlformats.org/officeDocument/2006/relationships" ref="AD40" display="https://www.amazon.com/Anthonys-Oat-Beta-Glucan-Powder/dp/B08F9TLG7K" r:id="rId2256"/>
    <hyperlink xmlns:r="http://schemas.openxmlformats.org/officeDocument/2006/relationships" ref="AE40" display="https://www.amazon.com/Anthonys-Oat-Beta-Glucan-Powder/dp/B08F9TLG7K" r:id="rId2257"/>
    <hyperlink xmlns:r="http://schemas.openxmlformats.org/officeDocument/2006/relationships" ref="AF40" display="https://www.amazon.com/Anthonys-Oat-Beta-Glucan-Powder/dp/B08F9TLG7K" r:id="rId2258"/>
    <hyperlink xmlns:r="http://schemas.openxmlformats.org/officeDocument/2006/relationships" ref="AH40" display="https://www.amazon.com/Anthonys-Oat-Beta-Glucan-Powder/dp/B08F9TLG7K" r:id="rId2259"/>
    <hyperlink xmlns:r="http://schemas.openxmlformats.org/officeDocument/2006/relationships" ref="AJ40" display="https://www.amazon.com/Anthonys-Oat-Beta-Glucan-Powder/dp/B08F9TLG7K" r:id="rId2260"/>
    <hyperlink xmlns:r="http://schemas.openxmlformats.org/officeDocument/2006/relationships" ref="AK40" display="https://www.amazon.com/Anthonys-Oat-Beta-Glucan-Powder/dp/B08F9TLG7K" r:id="rId2261"/>
    <hyperlink xmlns:r="http://schemas.openxmlformats.org/officeDocument/2006/relationships" ref="AL40" display="https://www.amazon.com/Anthonys-Oat-Beta-Glucan-Powder/dp/B08F9TLG7K" r:id="rId2262"/>
    <hyperlink xmlns:r="http://schemas.openxmlformats.org/officeDocument/2006/relationships" ref="AM40" display="https://www.amazon.com/Anthonys-Oat-Beta-Glucan-Powder/dp/B08F9TLG7K" r:id="rId2263"/>
    <hyperlink xmlns:r="http://schemas.openxmlformats.org/officeDocument/2006/relationships" ref="AN40" display="https://www.amazon.com/Anthonys-Oat-Beta-Glucan-Powder/dp/B08F9TLG7K" r:id="rId2264"/>
    <hyperlink xmlns:r="http://schemas.openxmlformats.org/officeDocument/2006/relationships" ref="AO40" display="https://www.amazon.com/Anthonys-Oat-Beta-Glucan-Powder/dp/B08F9TLG7K" r:id="rId2265"/>
    <hyperlink xmlns:r="http://schemas.openxmlformats.org/officeDocument/2006/relationships" ref="AP40" display="https://www.amazon.com/Anthonys-Oat-Beta-Glucan-Powder/dp/B08F9TLG7K" r:id="rId2266"/>
    <hyperlink xmlns:r="http://schemas.openxmlformats.org/officeDocument/2006/relationships" ref="AQ40" display="https://www.amazon.com/Anthonys-Oat-Beta-Glucan-Powder/dp/B08F9TLG7K" r:id="rId2267"/>
    <hyperlink xmlns:r="http://schemas.openxmlformats.org/officeDocument/2006/relationships" ref="AR40" display="https://www.amazon.com/Anthonys-Oat-Beta-Glucan-Powder/dp/B08F9TLG7K" r:id="rId2268"/>
    <hyperlink xmlns:r="http://schemas.openxmlformats.org/officeDocument/2006/relationships" ref="AS40" display="https://www.amazon.com/Anthonys-Oat-Beta-Glucan-Powder/dp/B08F9TLG7K" r:id="rId2269"/>
    <hyperlink xmlns:r="http://schemas.openxmlformats.org/officeDocument/2006/relationships" ref="AT40" display="https://www.amazon.com/Anthonys-Oat-Beta-Glucan-Powder/dp/B08F9TLG7K" r:id="rId2270"/>
    <hyperlink xmlns:r="http://schemas.openxmlformats.org/officeDocument/2006/relationships" ref="AU40" display="https://www.amazon.com/Anthonys-Oat-Beta-Glucan-Powder/dp/B08F9TLG7K" r:id="rId2271"/>
    <hyperlink xmlns:r="http://schemas.openxmlformats.org/officeDocument/2006/relationships" ref="AV40" display="https://www.amazon.com/Anthonys-Oat-Beta-Glucan-Powder/dp/B08F9TLG7K" r:id="rId2272"/>
    <hyperlink xmlns:r="http://schemas.openxmlformats.org/officeDocument/2006/relationships" ref="AW40" display="https://www.amazon.com/Anthonys-Oat-Beta-Glucan-Powder/dp/B08F9TLG7K" r:id="rId2273"/>
    <hyperlink xmlns:r="http://schemas.openxmlformats.org/officeDocument/2006/relationships" ref="AX40" display="https://www.amazon.com/Anthonys-Oat-Beta-Glucan-Powder/dp/B08F9TLG7K" r:id="rId2274"/>
    <hyperlink xmlns:r="http://schemas.openxmlformats.org/officeDocument/2006/relationships" ref="AY40" display="https://www.amazon.com/Anthonys-Oat-Beta-Glucan-Powder/dp/B08F9TLG7K" r:id="rId2275"/>
    <hyperlink xmlns:r="http://schemas.openxmlformats.org/officeDocument/2006/relationships" ref="AZ40" display="https://www.amazon.com/Anthonys-Oat-Beta-Glucan-Powder/dp/B08F9TLG7K" r:id="rId2276"/>
    <hyperlink xmlns:r="http://schemas.openxmlformats.org/officeDocument/2006/relationships" ref="BA40" display="https://www.amazon.com/Anthonys-Oat-Beta-Glucan-Powder/dp/B08F9TLG7K" r:id="rId2277"/>
    <hyperlink xmlns:r="http://schemas.openxmlformats.org/officeDocument/2006/relationships" ref="BB40" display="https://www.amazon.com/Anthonys-Oat-Beta-Glucan-Powder/dp/B08F9TLG7K" r:id="rId2278"/>
    <hyperlink xmlns:r="http://schemas.openxmlformats.org/officeDocument/2006/relationships" ref="BC40" display="https://www.amazon.com/Anthonys-Oat-Beta-Glucan-Powder/dp/B08F9TLG7K" r:id="rId2279"/>
    <hyperlink xmlns:r="http://schemas.openxmlformats.org/officeDocument/2006/relationships" ref="BD40" display="https://www.amazon.com/Anthonys-Oat-Beta-Glucan-Powder/dp/B08F9TLG7K" r:id="rId2280"/>
    <hyperlink xmlns:r="http://schemas.openxmlformats.org/officeDocument/2006/relationships" ref="BE40" display="https://www.amazon.com/Anthonys-Oat-Beta-Glucan-Powder/dp/B08F9TLG7K" r:id="rId2281"/>
    <hyperlink xmlns:r="http://schemas.openxmlformats.org/officeDocument/2006/relationships" ref="BF40" display="https://www.amazon.com/Anthonys-Oat-Beta-Glucan-Powder/dp/B08F9TLG7K" r:id="rId2282"/>
    <hyperlink xmlns:r="http://schemas.openxmlformats.org/officeDocument/2006/relationships" ref="BG40" display="https://www.amazon.com/Anthonys-Oat-Beta-Glucan-Powder/dp/B08F9TLG7K" r:id="rId2283"/>
    <hyperlink xmlns:r="http://schemas.openxmlformats.org/officeDocument/2006/relationships" ref="BH40" display="https://www.amazon.com/Anthonys-Oat-Beta-Glucan-Powder/dp/B08F9TLG7K" r:id="rId2284"/>
    <hyperlink xmlns:r="http://schemas.openxmlformats.org/officeDocument/2006/relationships" ref="BI40" display="https://www.amazon.com/Anthonys-Oat-Beta-Glucan-Powder/dp/B08F9TLG7K" r:id="rId2285"/>
    <hyperlink xmlns:r="http://schemas.openxmlformats.org/officeDocument/2006/relationships" ref="BJ40" display="https://www.amazon.com/Anthonys-Oat-Beta-Glucan-Powder/dp/B08F9TLG7K" r:id="rId2286"/>
    <hyperlink xmlns:r="http://schemas.openxmlformats.org/officeDocument/2006/relationships" ref="BK40" display="https://www.amazon.com/Anthonys-Oat-Beta-Glucan-Powder/dp/B08F9TLG7K" r:id="rId2287"/>
    <hyperlink xmlns:r="http://schemas.openxmlformats.org/officeDocument/2006/relationships" ref="BL40" display="https://www.amazon.com/Anthonys-Oat-Beta-Glucan-Powder/dp/B08F9TLG7K" r:id="rId2288"/>
    <hyperlink xmlns:r="http://schemas.openxmlformats.org/officeDocument/2006/relationships" ref="BM40" display="https://www.amazon.com/Anthonys-Oat-Beta-Glucan-Powder/dp/B08F9TLG7K" r:id="rId2289"/>
    <hyperlink xmlns:r="http://schemas.openxmlformats.org/officeDocument/2006/relationships" ref="BN40" display="https://www.amazon.com/Anthonys-Oat-Beta-Glucan-Powder/dp/B08F9TLG7K" r:id="rId2290"/>
    <hyperlink xmlns:r="http://schemas.openxmlformats.org/officeDocument/2006/relationships" ref="BO40" display="https://www.amazon.com/Anthonys-Oat-Beta-Glucan-Powder/dp/B08F9TLG7K" r:id="rId2291"/>
    <hyperlink xmlns:r="http://schemas.openxmlformats.org/officeDocument/2006/relationships" ref="BP40" display="https://www.amazon.com/Anthonys-Oat-Beta-Glucan-Powder/dp/B08F9TLG7K" r:id="rId2292"/>
    <hyperlink xmlns:r="http://schemas.openxmlformats.org/officeDocument/2006/relationships" ref="BQ40" display="https://www.amazon.com/Anthonys-Oat-Beta-Glucan-Powder/dp/B08F9TLG7K" r:id="rId2293"/>
    <hyperlink xmlns:r="http://schemas.openxmlformats.org/officeDocument/2006/relationships" ref="BR40" display="https://www.amazon.com/Anthonys-Oat-Beta-Glucan-Powder/dp/B08F9TLG7K" r:id="rId2294"/>
    <hyperlink xmlns:r="http://schemas.openxmlformats.org/officeDocument/2006/relationships" ref="BS40" display="https://www.amazon.com/Anthonys-Oat-Beta-Glucan-Powder/dp/B08F9TLG7K" r:id="rId2295"/>
    <hyperlink xmlns:r="http://schemas.openxmlformats.org/officeDocument/2006/relationships" ref="BT40" display="https://www.amazon.com/Anthonys-Oat-Beta-Glucan-Powder/dp/B08F9TLG7K" r:id="rId2296"/>
    <hyperlink xmlns:r="http://schemas.openxmlformats.org/officeDocument/2006/relationships" ref="BU40" display="https://www.amazon.com/Anthonys-Oat-Beta-Glucan-Powder/dp/B08F9TLG7K" r:id="rId2297"/>
    <hyperlink xmlns:r="http://schemas.openxmlformats.org/officeDocument/2006/relationships" ref="BV40" display="https://www.amazon.com/Anthonys-Oat-Beta-Glucan-Powder/dp/B08F9TLG7K" r:id="rId2298"/>
    <hyperlink xmlns:r="http://schemas.openxmlformats.org/officeDocument/2006/relationships" ref="BW40" display="https://www.amazon.com/Anthonys-Oat-Beta-Glucan-Powder/dp/B08F9TLG7K" r:id="rId2299"/>
    <hyperlink xmlns:r="http://schemas.openxmlformats.org/officeDocument/2006/relationships" ref="BX40" display="https://www.amazon.com/Anthonys-Oat-Beta-Glucan-Powder/dp/B08F9TLG7K" r:id="rId2300"/>
    <hyperlink xmlns:r="http://schemas.openxmlformats.org/officeDocument/2006/relationships" ref="BY40" display="https://www.amazon.com/Anthonys-Oat-Beta-Glucan-Powder/dp/B08F9TLG7K" r:id="rId2301"/>
    <hyperlink xmlns:r="http://schemas.openxmlformats.org/officeDocument/2006/relationships" ref="BZ40" display="https://www.amazon.com/Anthonys-Oat-Beta-Glucan-Powder/dp/B08F9TLG7K" r:id="rId2302"/>
    <hyperlink xmlns:r="http://schemas.openxmlformats.org/officeDocument/2006/relationships" ref="CA40" display="https://www.amazon.com/Anthonys-Oat-Beta-Glucan-Powder/dp/B08F9TLG7K" r:id="rId2303"/>
    <hyperlink xmlns:r="http://schemas.openxmlformats.org/officeDocument/2006/relationships" ref="CB40" display="https://www.amazon.com/Anthonys-Oat-Beta-Glucan-Powder/dp/B08F9TLG7K" r:id="rId2304"/>
    <hyperlink xmlns:r="http://schemas.openxmlformats.org/officeDocument/2006/relationships" ref="CC40" display="https://www.amazon.com/Anthonys-Oat-Beta-Glucan-Powder/dp/B08F9TLG7K" r:id="rId2305"/>
    <hyperlink xmlns:r="http://schemas.openxmlformats.org/officeDocument/2006/relationships" ref="CD40" display="https://www.amazon.com/Anthonys-Oat-Beta-Glucan-Powder/dp/B08F9TLG7K" r:id="rId2306"/>
    <hyperlink xmlns:r="http://schemas.openxmlformats.org/officeDocument/2006/relationships" ref="CE40" display="https://www.amazon.com/Anthonys-Oat-Beta-Glucan-Powder/dp/B08F9TLG7K" r:id="rId2307"/>
    <hyperlink xmlns:r="http://schemas.openxmlformats.org/officeDocument/2006/relationships" ref="CF40" display="https://www.amazon.com/Anthonys-Oat-Beta-Glucan-Powder/dp/B08F9TLG7K" r:id="rId2308"/>
    <hyperlink xmlns:r="http://schemas.openxmlformats.org/officeDocument/2006/relationships" ref="CG40" display="https://www.amazon.com/Anthonys-Oat-Beta-Glucan-Powder/dp/B08F9TLG7K" r:id="rId2309"/>
    <hyperlink xmlns:r="http://schemas.openxmlformats.org/officeDocument/2006/relationships" ref="CH40" display="https://www.amazon.com/Anthonys-Oat-Beta-Glucan-Powder/dp/B08F9TLG7K" r:id="rId2310"/>
    <hyperlink xmlns:r="http://schemas.openxmlformats.org/officeDocument/2006/relationships" ref="CI40" display="https://www.amazon.com/Anthonys-Oat-Beta-Glucan-Powder/dp/B08F9TLG7K" r:id="rId2311"/>
    <hyperlink xmlns:r="http://schemas.openxmlformats.org/officeDocument/2006/relationships" ref="CJ40" display="https://www.amazon.com/Anthonys-Oat-Beta-Glucan-Powder/dp/B08F9TLG7K" r:id="rId2312"/>
    <hyperlink xmlns:r="http://schemas.openxmlformats.org/officeDocument/2006/relationships" ref="CK40" display="https://www.amazon.com/Anthonys-Oat-Beta-Glucan-Powder/dp/B08F9TLG7K" r:id="rId2313"/>
    <hyperlink xmlns:r="http://schemas.openxmlformats.org/officeDocument/2006/relationships" ref="CL40" display="https://www.amazon.com/Anthonys-Oat-Beta-Glucan-Powder/dp/B08F9TLG7K" r:id="rId2314"/>
    <hyperlink xmlns:r="http://schemas.openxmlformats.org/officeDocument/2006/relationships" ref="CM40" display="https://www.amazon.com/Anthonys-Oat-Beta-Glucan-Powder/dp/B08F9TLG7K" r:id="rId2315"/>
    <hyperlink xmlns:r="http://schemas.openxmlformats.org/officeDocument/2006/relationships" ref="CN40" display="https://www.amazon.com/Anthonys-Oat-Beta-Glucan-Powder/dp/B08F9TLG7K" r:id="rId2316"/>
    <hyperlink xmlns:r="http://schemas.openxmlformats.org/officeDocument/2006/relationships" ref="CO40" display="https://www.amazon.com/Anthonys-Oat-Beta-Glucan-Powder/dp/B08F9TLG7K" r:id="rId2317"/>
    <hyperlink xmlns:r="http://schemas.openxmlformats.org/officeDocument/2006/relationships" ref="CP40" display="https://www.amazon.com/Anthonys-Oat-Beta-Glucan-Powder/dp/B08F9TLG7K" r:id="rId2318"/>
    <hyperlink xmlns:r="http://schemas.openxmlformats.org/officeDocument/2006/relationships" ref="CQ40" display="https://www.amazon.com/Anthonys-Oat-Beta-Glucan-Powder/dp/B08F9TLG7K" r:id="rId2319"/>
    <hyperlink xmlns:r="http://schemas.openxmlformats.org/officeDocument/2006/relationships" ref="CR40" display="https://www.amazon.com/Anthonys-Oat-Beta-Glucan-Powder/dp/B08F9TLG7K" r:id="rId2320"/>
    <hyperlink xmlns:r="http://schemas.openxmlformats.org/officeDocument/2006/relationships" ref="CS40" display="https://www.amazon.com/Anthonys-Oat-Beta-Glucan-Powder/dp/B08F9TLG7K" r:id="rId2321"/>
    <hyperlink xmlns:r="http://schemas.openxmlformats.org/officeDocument/2006/relationships" ref="CT40" display="https://www.amazon.com/Anthonys-Oat-Beta-Glucan-Powder/dp/B08F9TLG7K" r:id="rId2322"/>
    <hyperlink xmlns:r="http://schemas.openxmlformats.org/officeDocument/2006/relationships" ref="CU40" display="https://www.amazon.com/Anthonys-Oat-Beta-Glucan-Powder/dp/B08F9TLG7K" r:id="rId2323"/>
    <hyperlink xmlns:r="http://schemas.openxmlformats.org/officeDocument/2006/relationships" ref="CV40" display="https://www.amazon.com/Anthonys-Oat-Beta-Glucan-Powder/dp/B08F9TLG7K" r:id="rId2324"/>
    <hyperlink xmlns:r="http://schemas.openxmlformats.org/officeDocument/2006/relationships" ref="O41" display="https://www.mounthagen.us/products/organic-freeze-dried-instant-coffee" r:id="rId2325"/>
    <hyperlink xmlns:r="http://schemas.openxmlformats.org/officeDocument/2006/relationships" ref="P41" display="https://www.mounthagen.us/products/organic-freeze-dried-instant-coffee" r:id="rId2326"/>
    <hyperlink xmlns:r="http://schemas.openxmlformats.org/officeDocument/2006/relationships" ref="Q41" display="https://www.mounthagen.us/products/organic-freeze-dried-instant-coffee" r:id="rId2327"/>
    <hyperlink xmlns:r="http://schemas.openxmlformats.org/officeDocument/2006/relationships" ref="R41" display="https://www.mounthagen.us/products/organic-freeze-dried-instant-coffee" r:id="rId2328"/>
    <hyperlink xmlns:r="http://schemas.openxmlformats.org/officeDocument/2006/relationships" ref="S41" display="https://www.mounthagen.us/products/organic-freeze-dried-instant-coffee" r:id="rId2329"/>
    <hyperlink xmlns:r="http://schemas.openxmlformats.org/officeDocument/2006/relationships" ref="T41" display="https://www.mounthagen.us/products/organic-freeze-dried-instant-coffee" r:id="rId2330"/>
    <hyperlink xmlns:r="http://schemas.openxmlformats.org/officeDocument/2006/relationships" ref="U41" display="https://www.mounthagen.us/products/organic-freeze-dried-instant-coffee" r:id="rId2331"/>
    <hyperlink xmlns:r="http://schemas.openxmlformats.org/officeDocument/2006/relationships" ref="W41" display="https://www.mounthagen.us/products/organic-freeze-dried-instant-coffee" r:id="rId2332"/>
    <hyperlink xmlns:r="http://schemas.openxmlformats.org/officeDocument/2006/relationships" ref="X41" display="https://www.mounthagen.us/products/organic-freeze-dried-instant-coffee" r:id="rId2333"/>
    <hyperlink xmlns:r="http://schemas.openxmlformats.org/officeDocument/2006/relationships" ref="Y41" display="https://www.mounthagen.us/products/organic-freeze-dried-instant-coffee" r:id="rId2334"/>
    <hyperlink xmlns:r="http://schemas.openxmlformats.org/officeDocument/2006/relationships" ref="Z41" display="https://www.mounthagen.us/products/organic-freeze-dried-instant-coffee" r:id="rId2335"/>
    <hyperlink xmlns:r="http://schemas.openxmlformats.org/officeDocument/2006/relationships" ref="AA41" display="https://www.mounthagen.us/products/organic-freeze-dried-instant-coffee" r:id="rId2336"/>
    <hyperlink xmlns:r="http://schemas.openxmlformats.org/officeDocument/2006/relationships" ref="AB41" display="https://www.mounthagen.us/products/organic-freeze-dried-instant-coffee" r:id="rId2337"/>
    <hyperlink xmlns:r="http://schemas.openxmlformats.org/officeDocument/2006/relationships" ref="AC41" display="https://www.mounthagen.us/products/organic-freeze-dried-instant-coffee" r:id="rId2338"/>
    <hyperlink xmlns:r="http://schemas.openxmlformats.org/officeDocument/2006/relationships" ref="AD41" display="https://www.mounthagen.us/products/organic-freeze-dried-instant-coffee" r:id="rId2339"/>
    <hyperlink xmlns:r="http://schemas.openxmlformats.org/officeDocument/2006/relationships" ref="AE41" display="https://www.mounthagen.us/products/organic-freeze-dried-instant-coffee" r:id="rId2340"/>
    <hyperlink xmlns:r="http://schemas.openxmlformats.org/officeDocument/2006/relationships" ref="AF41" display="https://www.mounthagen.us/products/organic-freeze-dried-instant-coffee" r:id="rId2341"/>
    <hyperlink xmlns:r="http://schemas.openxmlformats.org/officeDocument/2006/relationships" ref="AH41" display="https://www.mounthagen.us/products/organic-freeze-dried-instant-coffee" r:id="rId2342"/>
    <hyperlink xmlns:r="http://schemas.openxmlformats.org/officeDocument/2006/relationships" ref="AJ41" display="https://www.mounthagen.us/products/organic-freeze-dried-instant-coffee" r:id="rId2343"/>
    <hyperlink xmlns:r="http://schemas.openxmlformats.org/officeDocument/2006/relationships" ref="AK41" display="https://www.mounthagen.us/products/organic-freeze-dried-instant-coffee" r:id="rId2344"/>
    <hyperlink xmlns:r="http://schemas.openxmlformats.org/officeDocument/2006/relationships" ref="AL41" display="https://www.mounthagen.us/products/organic-freeze-dried-instant-coffee" r:id="rId2345"/>
    <hyperlink xmlns:r="http://schemas.openxmlformats.org/officeDocument/2006/relationships" ref="AM41" display="https://www.mounthagen.us/products/organic-freeze-dried-instant-coffee" r:id="rId2346"/>
    <hyperlink xmlns:r="http://schemas.openxmlformats.org/officeDocument/2006/relationships" ref="AN41" display="https://www.mounthagen.us/products/organic-freeze-dried-instant-coffee" r:id="rId2347"/>
    <hyperlink xmlns:r="http://schemas.openxmlformats.org/officeDocument/2006/relationships" ref="AO41" display="https://www.mounthagen.us/products/organic-freeze-dried-instant-coffee" r:id="rId2348"/>
    <hyperlink xmlns:r="http://schemas.openxmlformats.org/officeDocument/2006/relationships" ref="AP41" display="https://www.mounthagen.us/products/organic-freeze-dried-instant-coffee" r:id="rId2349"/>
    <hyperlink xmlns:r="http://schemas.openxmlformats.org/officeDocument/2006/relationships" ref="AQ41" display="https://www.mounthagen.us/products/organic-freeze-dried-instant-coffee" r:id="rId2350"/>
    <hyperlink xmlns:r="http://schemas.openxmlformats.org/officeDocument/2006/relationships" ref="AR41" display="https://www.mounthagen.us/products/organic-freeze-dried-instant-coffee" r:id="rId2351"/>
    <hyperlink xmlns:r="http://schemas.openxmlformats.org/officeDocument/2006/relationships" ref="AS41" display="https://www.mounthagen.us/products/organic-freeze-dried-instant-coffee" r:id="rId2352"/>
    <hyperlink xmlns:r="http://schemas.openxmlformats.org/officeDocument/2006/relationships" ref="AT41" display="https://www.mounthagen.us/products/organic-freeze-dried-instant-coffee" r:id="rId2353"/>
    <hyperlink xmlns:r="http://schemas.openxmlformats.org/officeDocument/2006/relationships" ref="AU41" display="https://www.mounthagen.us/products/organic-freeze-dried-instant-coffee" r:id="rId2354"/>
    <hyperlink xmlns:r="http://schemas.openxmlformats.org/officeDocument/2006/relationships" ref="AV41" display="https://www.mounthagen.us/products/organic-freeze-dried-instant-coffee" r:id="rId2355"/>
    <hyperlink xmlns:r="http://schemas.openxmlformats.org/officeDocument/2006/relationships" ref="AW41" display="https://www.mounthagen.us/products/organic-freeze-dried-instant-coffee" r:id="rId2356"/>
    <hyperlink xmlns:r="http://schemas.openxmlformats.org/officeDocument/2006/relationships" ref="AX41" display="https://www.mounthagen.us/products/organic-freeze-dried-instant-coffee" r:id="rId2357"/>
    <hyperlink xmlns:r="http://schemas.openxmlformats.org/officeDocument/2006/relationships" ref="AY41" display="https://www.mounthagen.us/products/organic-freeze-dried-instant-coffee" r:id="rId2358"/>
    <hyperlink xmlns:r="http://schemas.openxmlformats.org/officeDocument/2006/relationships" ref="AZ41" display="https://www.mounthagen.us/products/organic-freeze-dried-instant-coffee" r:id="rId2359"/>
    <hyperlink xmlns:r="http://schemas.openxmlformats.org/officeDocument/2006/relationships" ref="BA41" display="https://www.mounthagen.us/products/organic-freeze-dried-instant-coffee" r:id="rId2360"/>
    <hyperlink xmlns:r="http://schemas.openxmlformats.org/officeDocument/2006/relationships" ref="BB41" display="https://www.mounthagen.us/products/organic-freeze-dried-instant-coffee" r:id="rId2361"/>
    <hyperlink xmlns:r="http://schemas.openxmlformats.org/officeDocument/2006/relationships" ref="BC41" display="https://www.mounthagen.us/products/organic-freeze-dried-instant-coffee" r:id="rId2362"/>
    <hyperlink xmlns:r="http://schemas.openxmlformats.org/officeDocument/2006/relationships" ref="BD41" display="https://www.mounthagen.us/products/organic-freeze-dried-instant-coffee" r:id="rId2363"/>
    <hyperlink xmlns:r="http://schemas.openxmlformats.org/officeDocument/2006/relationships" ref="BE41" display="https://www.mounthagen.us/products/organic-freeze-dried-instant-coffee" r:id="rId2364"/>
    <hyperlink xmlns:r="http://schemas.openxmlformats.org/officeDocument/2006/relationships" ref="BF41" display="https://www.mounthagen.us/products/organic-freeze-dried-instant-coffee" r:id="rId2365"/>
    <hyperlink xmlns:r="http://schemas.openxmlformats.org/officeDocument/2006/relationships" ref="BG41" display="https://www.mounthagen.us/products/organic-freeze-dried-instant-coffee" r:id="rId2366"/>
    <hyperlink xmlns:r="http://schemas.openxmlformats.org/officeDocument/2006/relationships" ref="BH41" display="https://www.mounthagen.us/products/organic-freeze-dried-instant-coffee" r:id="rId2367"/>
    <hyperlink xmlns:r="http://schemas.openxmlformats.org/officeDocument/2006/relationships" ref="BI41" display="https://www.mounthagen.us/products/organic-freeze-dried-instant-coffee" r:id="rId2368"/>
    <hyperlink xmlns:r="http://schemas.openxmlformats.org/officeDocument/2006/relationships" ref="BJ41" display="https://www.mounthagen.us/products/organic-freeze-dried-instant-coffee" r:id="rId2369"/>
    <hyperlink xmlns:r="http://schemas.openxmlformats.org/officeDocument/2006/relationships" ref="BK41" display="https://www.mounthagen.us/products/organic-freeze-dried-instant-coffee" r:id="rId2370"/>
    <hyperlink xmlns:r="http://schemas.openxmlformats.org/officeDocument/2006/relationships" ref="BL41" display="https://www.mounthagen.us/products/organic-freeze-dried-instant-coffee" r:id="rId2371"/>
    <hyperlink xmlns:r="http://schemas.openxmlformats.org/officeDocument/2006/relationships" ref="BM41" display="https://www.mounthagen.us/products/organic-freeze-dried-instant-coffee" r:id="rId2372"/>
    <hyperlink xmlns:r="http://schemas.openxmlformats.org/officeDocument/2006/relationships" ref="BN41" display="https://www.mounthagen.us/products/organic-freeze-dried-instant-coffee" r:id="rId2373"/>
    <hyperlink xmlns:r="http://schemas.openxmlformats.org/officeDocument/2006/relationships" ref="BO41" display="https://www.mounthagen.us/products/organic-freeze-dried-instant-coffee" r:id="rId2374"/>
    <hyperlink xmlns:r="http://schemas.openxmlformats.org/officeDocument/2006/relationships" ref="BP41" display="https://www.mounthagen.us/products/organic-freeze-dried-instant-coffee" r:id="rId2375"/>
    <hyperlink xmlns:r="http://schemas.openxmlformats.org/officeDocument/2006/relationships" ref="BQ41" display="https://www.mounthagen.us/products/organic-freeze-dried-instant-coffee" r:id="rId2376"/>
    <hyperlink xmlns:r="http://schemas.openxmlformats.org/officeDocument/2006/relationships" ref="BR41" display="https://www.mounthagen.us/products/organic-freeze-dried-instant-coffee" r:id="rId2377"/>
    <hyperlink xmlns:r="http://schemas.openxmlformats.org/officeDocument/2006/relationships" ref="BS41" display="https://www.mounthagen.us/products/organic-freeze-dried-instant-coffee" r:id="rId2378"/>
    <hyperlink xmlns:r="http://schemas.openxmlformats.org/officeDocument/2006/relationships" ref="BT41" display="https://www.mounthagen.us/products/organic-freeze-dried-instant-coffee" r:id="rId2379"/>
    <hyperlink xmlns:r="http://schemas.openxmlformats.org/officeDocument/2006/relationships" ref="BU41" display="https://www.mounthagen.us/products/organic-freeze-dried-instant-coffee" r:id="rId2380"/>
    <hyperlink xmlns:r="http://schemas.openxmlformats.org/officeDocument/2006/relationships" ref="BV41" display="https://www.mounthagen.us/products/organic-freeze-dried-instant-coffee" r:id="rId2381"/>
    <hyperlink xmlns:r="http://schemas.openxmlformats.org/officeDocument/2006/relationships" ref="BW41" display="https://www.mounthagen.us/products/organic-freeze-dried-instant-coffee" r:id="rId2382"/>
    <hyperlink xmlns:r="http://schemas.openxmlformats.org/officeDocument/2006/relationships" ref="BX41" display="https://www.mounthagen.us/products/organic-freeze-dried-instant-coffee" r:id="rId2383"/>
    <hyperlink xmlns:r="http://schemas.openxmlformats.org/officeDocument/2006/relationships" ref="BY41" display="https://www.mounthagen.us/products/organic-freeze-dried-instant-coffee" r:id="rId2384"/>
    <hyperlink xmlns:r="http://schemas.openxmlformats.org/officeDocument/2006/relationships" ref="BZ41" display="https://www.mounthagen.us/products/organic-freeze-dried-instant-coffee" r:id="rId2385"/>
    <hyperlink xmlns:r="http://schemas.openxmlformats.org/officeDocument/2006/relationships" ref="CA41" display="https://www.mounthagen.us/products/organic-freeze-dried-instant-coffee" r:id="rId2386"/>
    <hyperlink xmlns:r="http://schemas.openxmlformats.org/officeDocument/2006/relationships" ref="CB41" display="https://www.mounthagen.us/products/organic-freeze-dried-instant-coffee" r:id="rId2387"/>
    <hyperlink xmlns:r="http://schemas.openxmlformats.org/officeDocument/2006/relationships" ref="CC41" display="https://www.mounthagen.us/products/organic-freeze-dried-instant-coffee" r:id="rId2388"/>
    <hyperlink xmlns:r="http://schemas.openxmlformats.org/officeDocument/2006/relationships" ref="CD41" display="https://www.mounthagen.us/products/organic-freeze-dried-instant-coffee" r:id="rId2389"/>
    <hyperlink xmlns:r="http://schemas.openxmlformats.org/officeDocument/2006/relationships" ref="CE41" display="https://www.mounthagen.us/products/organic-freeze-dried-instant-coffee" r:id="rId2390"/>
    <hyperlink xmlns:r="http://schemas.openxmlformats.org/officeDocument/2006/relationships" ref="CF41" display="https://www.mounthagen.us/products/organic-freeze-dried-instant-coffee" r:id="rId2391"/>
    <hyperlink xmlns:r="http://schemas.openxmlformats.org/officeDocument/2006/relationships" ref="CG41" display="https://www.mounthagen.us/products/organic-freeze-dried-instant-coffee" r:id="rId2392"/>
    <hyperlink xmlns:r="http://schemas.openxmlformats.org/officeDocument/2006/relationships" ref="CH41" display="https://www.mounthagen.us/products/organic-freeze-dried-instant-coffee" r:id="rId2393"/>
    <hyperlink xmlns:r="http://schemas.openxmlformats.org/officeDocument/2006/relationships" ref="CI41" display="https://www.mounthagen.us/products/organic-freeze-dried-instant-coffee" r:id="rId2394"/>
    <hyperlink xmlns:r="http://schemas.openxmlformats.org/officeDocument/2006/relationships" ref="CJ41" display="https://www.mounthagen.us/products/organic-freeze-dried-instant-coffee" r:id="rId2395"/>
    <hyperlink xmlns:r="http://schemas.openxmlformats.org/officeDocument/2006/relationships" ref="CK41" display="https://www.mounthagen.us/products/organic-freeze-dried-instant-coffee" r:id="rId2396"/>
    <hyperlink xmlns:r="http://schemas.openxmlformats.org/officeDocument/2006/relationships" ref="CL41" display="https://www.mounthagen.us/products/organic-freeze-dried-instant-coffee" r:id="rId2397"/>
    <hyperlink xmlns:r="http://schemas.openxmlformats.org/officeDocument/2006/relationships" ref="CM41" display="https://www.mounthagen.us/products/organic-freeze-dried-instant-coffee" r:id="rId2398"/>
    <hyperlink xmlns:r="http://schemas.openxmlformats.org/officeDocument/2006/relationships" ref="CN41" display="https://mounthagencoffee.com/pages/faq" r:id="rId2399"/>
    <hyperlink xmlns:r="http://schemas.openxmlformats.org/officeDocument/2006/relationships" ref="CO41" display="https://www.mounthagen.us/products/organic-freeze-dried-instant-coffee" r:id="rId2400"/>
    <hyperlink xmlns:r="http://schemas.openxmlformats.org/officeDocument/2006/relationships" ref="CP41" display="https://www.mounthagen.us/products/organic-freeze-dried-instant-coffee" r:id="rId2401"/>
    <hyperlink xmlns:r="http://schemas.openxmlformats.org/officeDocument/2006/relationships" ref="CQ41" display="https://www.mounthagen.us/products/organic-freeze-dried-instant-coffee" r:id="rId2402"/>
    <hyperlink xmlns:r="http://schemas.openxmlformats.org/officeDocument/2006/relationships" ref="CR41" display="https://www.mounthagen.us/products/organic-freeze-dried-instant-coffee" r:id="rId2403"/>
    <hyperlink xmlns:r="http://schemas.openxmlformats.org/officeDocument/2006/relationships" ref="CS41" display="https://www.mounthagen.us/products/organic-freeze-dried-instant-coffee" r:id="rId2404"/>
    <hyperlink xmlns:r="http://schemas.openxmlformats.org/officeDocument/2006/relationships" ref="CT41" display="https://www.mounthagen.us/products/organic-freeze-dried-instant-coffee" r:id="rId2405"/>
    <hyperlink xmlns:r="http://schemas.openxmlformats.org/officeDocument/2006/relationships" ref="CU41" display="https://www.mounthagen.us/products/organic-freeze-dried-instant-coffee" r:id="rId2406"/>
    <hyperlink xmlns:r="http://schemas.openxmlformats.org/officeDocument/2006/relationships" ref="CV41" display="https://www.mounthagen.us/products/organic-freeze-dried-instant-coffee" r:id="rId2407"/>
    <hyperlink xmlns:r="http://schemas.openxmlformats.org/officeDocument/2006/relationships" ref="O42" display="https://www.eatthismuch.com/calories/psyllium-whole-husk-fiber-3328101" r:id="rId2408"/>
    <hyperlink xmlns:r="http://schemas.openxmlformats.org/officeDocument/2006/relationships" ref="P42" display="https://www.eatthismuch.com/calories/psyllium-whole-husk-fiber-3328101" r:id="rId2409"/>
    <hyperlink xmlns:r="http://schemas.openxmlformats.org/officeDocument/2006/relationships" ref="Q42" display="https://www.eatthismuch.com/calories/psyllium-whole-husk-fiber-3328101" r:id="rId2410"/>
    <hyperlink xmlns:r="http://schemas.openxmlformats.org/officeDocument/2006/relationships" ref="R42" display="https://www.eatthismuch.com/calories/psyllium-whole-husk-fiber-3328101" r:id="rId2411"/>
    <hyperlink xmlns:r="http://schemas.openxmlformats.org/officeDocument/2006/relationships" ref="S42" display="https://www.eatthismuch.com/calories/psyllium-whole-husk-fiber-3328101" r:id="rId2412"/>
    <hyperlink xmlns:r="http://schemas.openxmlformats.org/officeDocument/2006/relationships" ref="T42" display="https://www.eatthismuch.com/calories/psyllium-whole-husk-fiber-3328101" r:id="rId2413"/>
    <hyperlink xmlns:r="http://schemas.openxmlformats.org/officeDocument/2006/relationships" ref="U42" display="https://www.eatthismuch.com/calories/psyllium-whole-husk-fiber-3328101" r:id="rId2414"/>
    <hyperlink xmlns:r="http://schemas.openxmlformats.org/officeDocument/2006/relationships" ref="W42" display="https://www.eatthismuch.com/calories/psyllium-whole-husk-fiber-3328101" r:id="rId2415"/>
    <hyperlink xmlns:r="http://schemas.openxmlformats.org/officeDocument/2006/relationships" ref="X42" display="https://www.eatthismuch.com/calories/psyllium-whole-husk-fiber-3328101" r:id="rId2416"/>
    <hyperlink xmlns:r="http://schemas.openxmlformats.org/officeDocument/2006/relationships" ref="Y42" display="https://www.eatthismuch.com/calories/psyllium-whole-husk-fiber-3328101" r:id="rId2417"/>
    <hyperlink xmlns:r="http://schemas.openxmlformats.org/officeDocument/2006/relationships" ref="Z42" display="https://www.eatthismuch.com/calories/psyllium-whole-husk-fiber-3328101" r:id="rId2418"/>
    <hyperlink xmlns:r="http://schemas.openxmlformats.org/officeDocument/2006/relationships" ref="AA42" display="https://www.eatthismuch.com/calories/psyllium-whole-husk-fiber-3328101" r:id="rId2419"/>
    <hyperlink xmlns:r="http://schemas.openxmlformats.org/officeDocument/2006/relationships" ref="AB42" display="https://www.eatthismuch.com/calories/psyllium-whole-husk-fiber-3328101" r:id="rId2420"/>
    <hyperlink xmlns:r="http://schemas.openxmlformats.org/officeDocument/2006/relationships" ref="AC42" display="https://www.eatthismuch.com/calories/psyllium-whole-husk-fiber-3328101" r:id="rId2421"/>
    <hyperlink xmlns:r="http://schemas.openxmlformats.org/officeDocument/2006/relationships" ref="AD42" display="https://www.eatthismuch.com/calories/psyllium-whole-husk-fiber-3328101" r:id="rId2422"/>
    <hyperlink xmlns:r="http://schemas.openxmlformats.org/officeDocument/2006/relationships" ref="AE42" display="https://www.eatthismuch.com/calories/psyllium-whole-husk-fiber-3328101" r:id="rId2423"/>
    <hyperlink xmlns:r="http://schemas.openxmlformats.org/officeDocument/2006/relationships" ref="AF42" display="https://www.eatthismuch.com/calories/psyllium-whole-husk-fiber-3328101" r:id="rId2424"/>
    <hyperlink xmlns:r="http://schemas.openxmlformats.org/officeDocument/2006/relationships" ref="AH42" display="https://www.eatthismuch.com/calories/psyllium-whole-husk-fiber-3328101" r:id="rId2425"/>
    <hyperlink xmlns:r="http://schemas.openxmlformats.org/officeDocument/2006/relationships" ref="AJ42" display="https://www.eatthismuch.com/calories/psyllium-whole-husk-fiber-3328101" r:id="rId2426"/>
    <hyperlink xmlns:r="http://schemas.openxmlformats.org/officeDocument/2006/relationships" ref="AK42" display="https://www.eatthismuch.com/calories/psyllium-whole-husk-fiber-3328101" r:id="rId2427"/>
    <hyperlink xmlns:r="http://schemas.openxmlformats.org/officeDocument/2006/relationships" ref="AL42" display="https://www.eatthismuch.com/calories/psyllium-whole-husk-fiber-3328101" r:id="rId2428"/>
    <hyperlink xmlns:r="http://schemas.openxmlformats.org/officeDocument/2006/relationships" ref="AM42" display="https://www.eatthismuch.com/calories/psyllium-whole-husk-fiber-3328101" r:id="rId2429"/>
    <hyperlink xmlns:r="http://schemas.openxmlformats.org/officeDocument/2006/relationships" ref="AN42" display="https://www.eatthismuch.com/calories/psyllium-whole-husk-fiber-3328101" r:id="rId2430"/>
    <hyperlink xmlns:r="http://schemas.openxmlformats.org/officeDocument/2006/relationships" ref="AO42" display="https://www.eatthismuch.com/calories/psyllium-whole-husk-fiber-3328101" r:id="rId2431"/>
    <hyperlink xmlns:r="http://schemas.openxmlformats.org/officeDocument/2006/relationships" ref="AP42" display="Unknown" r:id="rId2432"/>
    <hyperlink xmlns:r="http://schemas.openxmlformats.org/officeDocument/2006/relationships" ref="AQ42" display="https://www.eatthismuch.com/calories/psyllium-whole-husk-fiber-3328101" r:id="rId2433"/>
    <hyperlink xmlns:r="http://schemas.openxmlformats.org/officeDocument/2006/relationships" ref="AR42" display="https://www.eatthismuch.com/calories/psyllium-whole-husk-fiber-3328101" r:id="rId2434"/>
    <hyperlink xmlns:r="http://schemas.openxmlformats.org/officeDocument/2006/relationships" ref="AS42" display="https://www.eatthismuch.com/calories/psyllium-whole-husk-fiber-3328101" r:id="rId2435"/>
    <hyperlink xmlns:r="http://schemas.openxmlformats.org/officeDocument/2006/relationships" ref="AT42" display="https://www.eatthismuch.com/calories/psyllium-whole-husk-fiber-3328101" r:id="rId2436"/>
    <hyperlink xmlns:r="http://schemas.openxmlformats.org/officeDocument/2006/relationships" ref="AU42" display="https://www.eatthismuch.com/calories/psyllium-whole-husk-fiber-3328101" r:id="rId2437"/>
    <hyperlink xmlns:r="http://schemas.openxmlformats.org/officeDocument/2006/relationships" ref="AV42" display="Unknown" r:id="rId2438"/>
    <hyperlink xmlns:r="http://schemas.openxmlformats.org/officeDocument/2006/relationships" ref="AW42" display="https://www.eatthismuch.com/calories/psyllium-whole-husk-fiber-3328101" r:id="rId2439"/>
    <hyperlink xmlns:r="http://schemas.openxmlformats.org/officeDocument/2006/relationships" ref="AX42" display="Unknown" r:id="rId2440"/>
    <hyperlink xmlns:r="http://schemas.openxmlformats.org/officeDocument/2006/relationships" ref="AY42" display="https://www.eatthismuch.com/calories/psyllium-whole-husk-fiber-3328101" r:id="rId2441"/>
    <hyperlink xmlns:r="http://schemas.openxmlformats.org/officeDocument/2006/relationships" ref="AZ42" display="https://www.eatthismuch.com/calories/psyllium-whole-husk-fiber-3328101" r:id="rId2442"/>
    <hyperlink xmlns:r="http://schemas.openxmlformats.org/officeDocument/2006/relationships" ref="BA42" display="https://www.eatthismuch.com/calories/psyllium-whole-husk-fiber-3328101" r:id="rId2443"/>
    <hyperlink xmlns:r="http://schemas.openxmlformats.org/officeDocument/2006/relationships" ref="BB42" display="https://www.eatthismuch.com/calories/psyllium-whole-husk-fiber-3328101" r:id="rId2444"/>
    <hyperlink xmlns:r="http://schemas.openxmlformats.org/officeDocument/2006/relationships" ref="BC42" display="https://www.eatthismuch.com/calories/psyllium-whole-husk-fiber-3328101" r:id="rId2445"/>
    <hyperlink xmlns:r="http://schemas.openxmlformats.org/officeDocument/2006/relationships" ref="BD42" display="https://www.eatthismuch.com/calories/psyllium-whole-husk-fiber-3328101" r:id="rId2446"/>
    <hyperlink xmlns:r="http://schemas.openxmlformats.org/officeDocument/2006/relationships" ref="BE42" display="https://www.eatthismuch.com/calories/psyllium-whole-husk-fiber-3328101" r:id="rId2447"/>
    <hyperlink xmlns:r="http://schemas.openxmlformats.org/officeDocument/2006/relationships" ref="BF42" display="https://www.eatthismuch.com/calories/psyllium-whole-husk-fiber-3328101" r:id="rId2448"/>
    <hyperlink xmlns:r="http://schemas.openxmlformats.org/officeDocument/2006/relationships" ref="BG42" display="https://www.eatthismuch.com/calories/psyllium-whole-husk-fiber-3328101" r:id="rId2449"/>
    <hyperlink xmlns:r="http://schemas.openxmlformats.org/officeDocument/2006/relationships" ref="BH42" display="https://www.eatthismuch.com/calories/psyllium-whole-husk-fiber-3328101" r:id="rId2450"/>
    <hyperlink xmlns:r="http://schemas.openxmlformats.org/officeDocument/2006/relationships" ref="BI42" display="https://www.eatthismuch.com/calories/psyllium-whole-husk-fiber-3328101" r:id="rId2451"/>
    <hyperlink xmlns:r="http://schemas.openxmlformats.org/officeDocument/2006/relationships" ref="BJ42" display="https://www.eatthismuch.com/calories/psyllium-whole-husk-fiber-3328101" r:id="rId2452"/>
    <hyperlink xmlns:r="http://schemas.openxmlformats.org/officeDocument/2006/relationships" ref="BK42" display="https://www.eatthismuch.com/calories/psyllium-whole-husk-fiber-3328101" r:id="rId2453"/>
    <hyperlink xmlns:r="http://schemas.openxmlformats.org/officeDocument/2006/relationships" ref="BL42" display="https://www.eatthismuch.com/calories/psyllium-whole-husk-fiber-3328101" r:id="rId2454"/>
    <hyperlink xmlns:r="http://schemas.openxmlformats.org/officeDocument/2006/relationships" ref="BM42" display="https://www.eatthismuch.com/calories/psyllium-whole-husk-fiber-3328101" r:id="rId2455"/>
    <hyperlink xmlns:r="http://schemas.openxmlformats.org/officeDocument/2006/relationships" ref="BN42" display="https://www.eatthismuch.com/calories/psyllium-whole-husk-fiber-3328101" r:id="rId2456"/>
    <hyperlink xmlns:r="http://schemas.openxmlformats.org/officeDocument/2006/relationships" ref="BO42" display="https://www.eatthismuch.com/calories/psyllium-whole-husk-fiber-3328101" r:id="rId2457"/>
    <hyperlink xmlns:r="http://schemas.openxmlformats.org/officeDocument/2006/relationships" ref="BP42" display="https://www.eatthismuch.com/calories/psyllium-whole-husk-fiber-3328101" r:id="rId2458"/>
    <hyperlink xmlns:r="http://schemas.openxmlformats.org/officeDocument/2006/relationships" ref="BQ42" display="https://www.eatthismuch.com/calories/psyllium-whole-husk-fiber-3328101" r:id="rId2459"/>
    <hyperlink xmlns:r="http://schemas.openxmlformats.org/officeDocument/2006/relationships" ref="BR42" display="https://www.eatthismuch.com/calories/psyllium-whole-husk-fiber-3328101" r:id="rId2460"/>
    <hyperlink xmlns:r="http://schemas.openxmlformats.org/officeDocument/2006/relationships" ref="BS42" display="https://www.eatthismuch.com/calories/psyllium-whole-husk-fiber-3328101" r:id="rId2461"/>
    <hyperlink xmlns:r="http://schemas.openxmlformats.org/officeDocument/2006/relationships" ref="BT42" display="https://www.eatthismuch.com/calories/psyllium-whole-husk-fiber-3328101" r:id="rId2462"/>
    <hyperlink xmlns:r="http://schemas.openxmlformats.org/officeDocument/2006/relationships" ref="BU42" display="https://www.eatthismuch.com/calories/psyllium-whole-husk-fiber-3328101" r:id="rId2463"/>
    <hyperlink xmlns:r="http://schemas.openxmlformats.org/officeDocument/2006/relationships" ref="BV42" display="https://www.eatthismuch.com/calories/psyllium-whole-husk-fiber-3328101" r:id="rId2464"/>
    <hyperlink xmlns:r="http://schemas.openxmlformats.org/officeDocument/2006/relationships" ref="BW42" display="https://www.eatthismuch.com/calories/psyllium-whole-husk-fiber-3328101" r:id="rId2465"/>
    <hyperlink xmlns:r="http://schemas.openxmlformats.org/officeDocument/2006/relationships" ref="BX42" display="https://www.eatthismuch.com/calories/psyllium-whole-husk-fiber-3328101" r:id="rId2466"/>
    <hyperlink xmlns:r="http://schemas.openxmlformats.org/officeDocument/2006/relationships" ref="BY42" display="https://www.eatthismuch.com/calories/psyllium-whole-husk-fiber-3328101" r:id="rId2467"/>
    <hyperlink xmlns:r="http://schemas.openxmlformats.org/officeDocument/2006/relationships" ref="BZ42" display="https://www.eatthismuch.com/calories/psyllium-whole-husk-fiber-3328101" r:id="rId2468"/>
    <hyperlink xmlns:r="http://schemas.openxmlformats.org/officeDocument/2006/relationships" ref="CA42" display="https://www.eatthismuch.com/calories/psyllium-whole-husk-fiber-3328101" r:id="rId2469"/>
    <hyperlink xmlns:r="http://schemas.openxmlformats.org/officeDocument/2006/relationships" ref="CB42" display="https://www.eatthismuch.com/calories/psyllium-whole-husk-fiber-3328101" r:id="rId2470"/>
    <hyperlink xmlns:r="http://schemas.openxmlformats.org/officeDocument/2006/relationships" ref="CC42" display="https://www.eatthismuch.com/calories/psyllium-whole-husk-fiber-3328101" r:id="rId2471"/>
    <hyperlink xmlns:r="http://schemas.openxmlformats.org/officeDocument/2006/relationships" ref="CD42" display="https://www.eatthismuch.com/calories/psyllium-whole-husk-fiber-3328101" r:id="rId2472"/>
    <hyperlink xmlns:r="http://schemas.openxmlformats.org/officeDocument/2006/relationships" ref="CE42" display="https://www.eatthismuch.com/calories/psyllium-whole-husk-fiber-3328101" r:id="rId2473"/>
    <hyperlink xmlns:r="http://schemas.openxmlformats.org/officeDocument/2006/relationships" ref="CF42" display="https://www.eatthismuch.com/calories/psyllium-whole-husk-fiber-3328101" r:id="rId2474"/>
    <hyperlink xmlns:r="http://schemas.openxmlformats.org/officeDocument/2006/relationships" ref="CG42" display="https://www.eatthismuch.com/calories/psyllium-whole-husk-fiber-3328101" r:id="rId2475"/>
    <hyperlink xmlns:r="http://schemas.openxmlformats.org/officeDocument/2006/relationships" ref="CH42" display="https://www.eatthismuch.com/calories/psyllium-whole-husk-fiber-3328101" r:id="rId2476"/>
    <hyperlink xmlns:r="http://schemas.openxmlformats.org/officeDocument/2006/relationships" ref="CI42" display="https://www.eatthismuch.com/calories/psyllium-whole-husk-fiber-3328101" r:id="rId2477"/>
    <hyperlink xmlns:r="http://schemas.openxmlformats.org/officeDocument/2006/relationships" ref="CJ42" display="https://www.eatthismuch.com/calories/psyllium-whole-husk-fiber-3328101" r:id="rId2478"/>
    <hyperlink xmlns:r="http://schemas.openxmlformats.org/officeDocument/2006/relationships" ref="CK42" display="https://www.eatthismuch.com/calories/psyllium-whole-husk-fiber-3328101" r:id="rId2479"/>
    <hyperlink xmlns:r="http://schemas.openxmlformats.org/officeDocument/2006/relationships" ref="CL42" display="Unknown" r:id="rId2480"/>
    <hyperlink xmlns:r="http://schemas.openxmlformats.org/officeDocument/2006/relationships" ref="CM42" display="https://www.eatthismuch.com/calories/psyllium-whole-husk-fiber-3328101" r:id="rId2481"/>
    <hyperlink xmlns:r="http://schemas.openxmlformats.org/officeDocument/2006/relationships" ref="CN42" display="https://www.eatthismuch.com/calories/psyllium-whole-husk-fiber-3328101" r:id="rId2482"/>
    <hyperlink xmlns:r="http://schemas.openxmlformats.org/officeDocument/2006/relationships" ref="CO42" display="https://www.eatthismuch.com/calories/psyllium-whole-husk-fiber-3328101" r:id="rId2483"/>
    <hyperlink xmlns:r="http://schemas.openxmlformats.org/officeDocument/2006/relationships" ref="CP42" display="https://www.eatthismuch.com/calories/psyllium-whole-husk-fiber-3328101" r:id="rId2484"/>
    <hyperlink xmlns:r="http://schemas.openxmlformats.org/officeDocument/2006/relationships" ref="CQ42" display="https://www.eatthismuch.com/calories/psyllium-whole-husk-fiber-3328101" r:id="rId2485"/>
    <hyperlink xmlns:r="http://schemas.openxmlformats.org/officeDocument/2006/relationships" ref="CR42" display="https://www.eatthismuch.com/calories/psyllium-whole-husk-fiber-3328101" r:id="rId2486"/>
    <hyperlink xmlns:r="http://schemas.openxmlformats.org/officeDocument/2006/relationships" ref="CS42" display="Unknown" r:id="rId2487"/>
    <hyperlink xmlns:r="http://schemas.openxmlformats.org/officeDocument/2006/relationships" ref="CT42" display="Unknown" r:id="rId2488"/>
    <hyperlink xmlns:r="http://schemas.openxmlformats.org/officeDocument/2006/relationships" ref="CU42" display="Unknown" r:id="rId2489"/>
    <hyperlink xmlns:r="http://schemas.openxmlformats.org/officeDocument/2006/relationships" ref="CV42" display="Unknown" r:id="rId2490"/>
    <hyperlink xmlns:r="http://schemas.openxmlformats.org/officeDocument/2006/relationships" ref="O43" display="https://www.logixpathchef.com/app/food/getfoodnutrition?fdcid=168463" r:id="rId2491"/>
    <hyperlink xmlns:r="http://schemas.openxmlformats.org/officeDocument/2006/relationships" ref="P43" display="https://www.logixpathchef.com/app/food/getfoodnutrition?fdcid=168463" r:id="rId2492"/>
    <hyperlink xmlns:r="http://schemas.openxmlformats.org/officeDocument/2006/relationships" ref="Q43" display="https://www.logixpathchef.com/app/food/getfoodnutrition?fdcid=168463" r:id="rId2493"/>
    <hyperlink xmlns:r="http://schemas.openxmlformats.org/officeDocument/2006/relationships" ref="R43" display="https://www.logixpathchef.com/app/food/getfoodnutrition?fdcid=168463" r:id="rId2494"/>
    <hyperlink xmlns:r="http://schemas.openxmlformats.org/officeDocument/2006/relationships" ref="S43" display="https://www.logixpathchef.com/app/food/getfoodnutrition?fdcid=168463" r:id="rId2495"/>
    <hyperlink xmlns:r="http://schemas.openxmlformats.org/officeDocument/2006/relationships" ref="T43" display="https://www.logixpathchef.com/app/food/getfoodnutrition?fdcid=168463" r:id="rId2496"/>
    <hyperlink xmlns:r="http://schemas.openxmlformats.org/officeDocument/2006/relationships" ref="U43" display="https://www.logixpathchef.com/app/food/getfoodnutrition?fdcid=168463" r:id="rId2497"/>
    <hyperlink xmlns:r="http://schemas.openxmlformats.org/officeDocument/2006/relationships" ref="W43" display="https://www.logixpathchef.com/app/food/getfoodnutrition?fdcid=168463" r:id="rId2498"/>
    <hyperlink xmlns:r="http://schemas.openxmlformats.org/officeDocument/2006/relationships" ref="X43" display="https://www.logixpathchef.com/app/food/getfoodnutrition?fdcid=168463" r:id="rId2499"/>
    <hyperlink xmlns:r="http://schemas.openxmlformats.org/officeDocument/2006/relationships" ref="Y43" display="https://www.logixpathchef.com/app/food/getfoodnutrition?fdcid=168463" r:id="rId2500"/>
    <hyperlink xmlns:r="http://schemas.openxmlformats.org/officeDocument/2006/relationships" ref="Z43" display="https://www.logixpathchef.com/app/food/getfoodnutrition?fdcid=168463" r:id="rId2501"/>
    <hyperlink xmlns:r="http://schemas.openxmlformats.org/officeDocument/2006/relationships" ref="AA43" display="https://www.logixpathchef.com/app/food/getfoodnutrition?fdcid=168463" r:id="rId2502"/>
    <hyperlink xmlns:r="http://schemas.openxmlformats.org/officeDocument/2006/relationships" ref="AB43" display="https://www.logixpathchef.com/app/food/getfoodnutrition?fdcid=168463" r:id="rId2503"/>
    <hyperlink xmlns:r="http://schemas.openxmlformats.org/officeDocument/2006/relationships" ref="AC43" display="https://www.logixpathchef.com/app/food/getfoodnutrition?fdcid=168463" r:id="rId2504"/>
    <hyperlink xmlns:r="http://schemas.openxmlformats.org/officeDocument/2006/relationships" ref="AD43" display="https://www.logixpathchef.com/app/food/getfoodnutrition?fdcid=168463" r:id="rId2505"/>
    <hyperlink xmlns:r="http://schemas.openxmlformats.org/officeDocument/2006/relationships" ref="AE43" display="https://www.logixpathchef.com/app/food/getfoodnutrition?fdcid=168463" r:id="rId2506"/>
    <hyperlink xmlns:r="http://schemas.openxmlformats.org/officeDocument/2006/relationships" ref="AF43" display="https://www.logixpathchef.com/app/food/getfoodnutrition?fdcid=168463" r:id="rId2507"/>
    <hyperlink xmlns:r="http://schemas.openxmlformats.org/officeDocument/2006/relationships" ref="AH43" display="https://www.logixpathchef.com/app/food/getfoodnutrition?fdcid=168463" r:id="rId2508"/>
    <hyperlink xmlns:r="http://schemas.openxmlformats.org/officeDocument/2006/relationships" ref="AJ43" display="https://www.logixpathchef.com/app/food/getfoodnutrition?fdcid=168463" r:id="rId2509"/>
    <hyperlink xmlns:r="http://schemas.openxmlformats.org/officeDocument/2006/relationships" ref="AK43" display="https://www.logixpathchef.com/app/food/getfoodnutrition?fdcid=168463" r:id="rId2510"/>
    <hyperlink xmlns:r="http://schemas.openxmlformats.org/officeDocument/2006/relationships" ref="AL43" display="https://www.logixpathchef.com/app/food/getfoodnutrition?fdcid=168463" r:id="rId2511"/>
    <hyperlink xmlns:r="http://schemas.openxmlformats.org/officeDocument/2006/relationships" ref="AM43" display="https://www.logixpathchef.com/app/food/getfoodnutrition?fdcid=168463" r:id="rId2512"/>
    <hyperlink xmlns:r="http://schemas.openxmlformats.org/officeDocument/2006/relationships" ref="AN43" display="https://www.logixpathchef.com/app/food/getfoodnutrition?fdcid=168463" r:id="rId2513"/>
    <hyperlink xmlns:r="http://schemas.openxmlformats.org/officeDocument/2006/relationships" ref="AO43" display="https://www.logixpathchef.com/app/food/getfoodnutrition?fdcid=168463" r:id="rId2514"/>
    <hyperlink xmlns:r="http://schemas.openxmlformats.org/officeDocument/2006/relationships" ref="AP43" display="https://pubmed.ncbi.nlm.nih.gov/26471267/" r:id="rId2515"/>
    <hyperlink xmlns:r="http://schemas.openxmlformats.org/officeDocument/2006/relationships" ref="AQ43" display="https://www.logixpathchef.com/app/food/getfoodnutrition?fdcid=168463" r:id="rId2516"/>
    <hyperlink xmlns:r="http://schemas.openxmlformats.org/officeDocument/2006/relationships" ref="AR43" display="https://www.logixpathchef.com/app/food/getfoodnutrition?fdcid=168463" r:id="rId2517"/>
    <hyperlink xmlns:r="http://schemas.openxmlformats.org/officeDocument/2006/relationships" ref="AS43" display="https://www.logixpathchef.com/app/food/getfoodnutrition?fdcid=168463" r:id="rId2518"/>
    <hyperlink xmlns:r="http://schemas.openxmlformats.org/officeDocument/2006/relationships" ref="AT43" display="https://www.logixpathchef.com/app/food/getfoodnutrition?fdcid=168463" r:id="rId2519"/>
    <hyperlink xmlns:r="http://schemas.openxmlformats.org/officeDocument/2006/relationships" ref="AU43" display="https://www.logixpathchef.com/app/food/getfoodnutrition?fdcid=168463" r:id="rId2520"/>
    <hyperlink xmlns:r="http://schemas.openxmlformats.org/officeDocument/2006/relationships" ref="AV43" display="https://www.logixpathchef.com/app/food/getfoodnutrition?fdcid=168463" r:id="rId2521"/>
    <hyperlink xmlns:r="http://schemas.openxmlformats.org/officeDocument/2006/relationships" ref="AW43" display="https://www.ars.usda.gov/ARSUserFiles/80400535/DATA/IODINE/IODINE_DATABASE_PDFVersion_2020.PDF" r:id="rId2522"/>
    <hyperlink xmlns:r="http://schemas.openxmlformats.org/officeDocument/2006/relationships" ref="AX43" display="https://www.logixpathchef.com/app/food/getfoodnutrition?fdcid=168463" r:id="rId2523"/>
    <hyperlink xmlns:r="http://schemas.openxmlformats.org/officeDocument/2006/relationships" ref="AY43" display="https://www.logixpathchef.com/app/food/getfoodnutrition?fdcid=168463" r:id="rId2524"/>
    <hyperlink xmlns:r="http://schemas.openxmlformats.org/officeDocument/2006/relationships" ref="AZ43" display="https://www.logixpathchef.com/app/food/getfoodnutrition?fdcid=168463" r:id="rId2525"/>
    <hyperlink xmlns:r="http://schemas.openxmlformats.org/officeDocument/2006/relationships" ref="BA43" display="https://www.logixpathchef.com/app/food/getfoodnutrition?fdcid=168463" r:id="rId2526"/>
    <hyperlink xmlns:r="http://schemas.openxmlformats.org/officeDocument/2006/relationships" ref="BB43" display="https://www.logixpathchef.com/app/food/getfoodnutrition?fdcid=168463" r:id="rId2527"/>
    <hyperlink xmlns:r="http://schemas.openxmlformats.org/officeDocument/2006/relationships" ref="BC43" display="https://www.logixpathchef.com/app/food/getfoodnutrition?fdcid=168463" r:id="rId2528"/>
    <hyperlink xmlns:r="http://schemas.openxmlformats.org/officeDocument/2006/relationships" ref="BD43" display="https://www.logixpathchef.com/app/food/getfoodnutrition?fdcid=168463" r:id="rId2529"/>
    <hyperlink xmlns:r="http://schemas.openxmlformats.org/officeDocument/2006/relationships" ref="BE43" display="https://www.logixpathchef.com/app/food/getfoodnutrition?fdcid=168463" r:id="rId2530"/>
    <hyperlink xmlns:r="http://schemas.openxmlformats.org/officeDocument/2006/relationships" ref="BF43" display="https://www.logixpathchef.com/app/food/getfoodnutrition?fdcid=168463" r:id="rId2531"/>
    <hyperlink xmlns:r="http://schemas.openxmlformats.org/officeDocument/2006/relationships" ref="BG43" display="https://www.logixpathchef.com/app/food/getfoodnutrition?fdcid=168463" r:id="rId2532"/>
    <hyperlink xmlns:r="http://schemas.openxmlformats.org/officeDocument/2006/relationships" ref="BH43" display="https://www.logixpathchef.com/app/food/getfoodnutrition?fdcid=168463" r:id="rId2533"/>
    <hyperlink xmlns:r="http://schemas.openxmlformats.org/officeDocument/2006/relationships" ref="BI43" display="https://www.logixpathchef.com/app/food/getfoodnutrition?fdcid=168463" r:id="rId2534"/>
    <hyperlink xmlns:r="http://schemas.openxmlformats.org/officeDocument/2006/relationships" ref="BJ43" display="https://www.logixpathchef.com/app/food/getfoodnutrition?fdcid=168463" r:id="rId2535"/>
    <hyperlink xmlns:r="http://schemas.openxmlformats.org/officeDocument/2006/relationships" ref="BK43" display="https://www.logixpathchef.com/app/food/getfoodnutrition?fdcid=168463" r:id="rId2536"/>
    <hyperlink xmlns:r="http://schemas.openxmlformats.org/officeDocument/2006/relationships" ref="BL43" display="https://www.logixpathchef.com/app/food/getfoodnutrition?fdcid=168463" r:id="rId2537"/>
    <hyperlink xmlns:r="http://schemas.openxmlformats.org/officeDocument/2006/relationships" ref="BM43" display="https://www.logixpathchef.com/app/food/getfoodnutrition?fdcid=168463" r:id="rId2538"/>
    <hyperlink xmlns:r="http://schemas.openxmlformats.org/officeDocument/2006/relationships" ref="BN43" display="https://www.logixpathchef.com/app/food/getfoodnutrition?fdcid=168463" r:id="rId2539"/>
    <hyperlink xmlns:r="http://schemas.openxmlformats.org/officeDocument/2006/relationships" ref="BO43" display="https://www.logixpathchef.com/app/food/getfoodnutrition?fdcid=168463" r:id="rId2540"/>
    <hyperlink xmlns:r="http://schemas.openxmlformats.org/officeDocument/2006/relationships" ref="BP43" display="https://www.logixpathchef.com/app/food/getfoodnutrition?fdcid=168463" r:id="rId2541"/>
    <hyperlink xmlns:r="http://schemas.openxmlformats.org/officeDocument/2006/relationships" ref="BQ43" display="https://www.logixpathchef.com/app/food/getfoodnutrition?fdcid=168463" r:id="rId2542"/>
    <hyperlink xmlns:r="http://schemas.openxmlformats.org/officeDocument/2006/relationships" ref="BR43" display="https://www.logixpathchef.com/app/food/getfoodnutrition?fdcid=168463" r:id="rId2543"/>
    <hyperlink xmlns:r="http://schemas.openxmlformats.org/officeDocument/2006/relationships" ref="BS43" display="https://www.logixpathchef.com/app/food/getfoodnutrition?fdcid=168463" r:id="rId2544"/>
    <hyperlink xmlns:r="http://schemas.openxmlformats.org/officeDocument/2006/relationships" ref="BT43" display="https://www.logixpathchef.com/app/food/getfoodnutrition?fdcid=168463" r:id="rId2545"/>
    <hyperlink xmlns:r="http://schemas.openxmlformats.org/officeDocument/2006/relationships" ref="BU43" display="https://www.logixpathchef.com/app/food/getfoodnutrition?fdcid=168463" r:id="rId2546"/>
    <hyperlink xmlns:r="http://schemas.openxmlformats.org/officeDocument/2006/relationships" ref="BV43" display="https://www.ars.usda.gov/ARSUserFiles/80400535/Data/Flav/Flav3.3.pdf" r:id="rId2547"/>
    <hyperlink xmlns:r="http://schemas.openxmlformats.org/officeDocument/2006/relationships" ref="BW43" display="https://www.logixpathchef.com/app/food/getfoodnutrition?fdcid=168463" r:id="rId2548"/>
    <hyperlink xmlns:r="http://schemas.openxmlformats.org/officeDocument/2006/relationships" ref="BX43" display="https://www.logixpathchef.com/app/food/getfoodnutrition?fdcid=168463" r:id="rId2549"/>
    <hyperlink xmlns:r="http://schemas.openxmlformats.org/officeDocument/2006/relationships" ref="BY43" display="https://www.logixpathchef.com/app/food/getfoodnutrition?fdcid=168463" r:id="rId2550"/>
    <hyperlink xmlns:r="http://schemas.openxmlformats.org/officeDocument/2006/relationships" ref="BZ43" display="https://www.logixpathchef.com/app/food/getfoodnutrition?fdcid=168463" r:id="rId2551"/>
    <hyperlink xmlns:r="http://schemas.openxmlformats.org/officeDocument/2006/relationships" ref="CA43" display="https://www.logixpathchef.com/app/food/getfoodnutrition?fdcid=168463" r:id="rId2552"/>
    <hyperlink xmlns:r="http://schemas.openxmlformats.org/officeDocument/2006/relationships" ref="CB43" display="https://www.logixpathchef.com/app/food/getfoodnutrition?fdcid=168463" r:id="rId2553"/>
    <hyperlink xmlns:r="http://schemas.openxmlformats.org/officeDocument/2006/relationships" ref="CC43" display="https://www.logixpathchef.com/app/food/getfoodnutrition?fdcid=168463" r:id="rId2554"/>
    <hyperlink xmlns:r="http://schemas.openxmlformats.org/officeDocument/2006/relationships" ref="CD43" display="https://pubmed.ncbi.nlm.nih.gov/19439460/" r:id="rId2555"/>
    <hyperlink xmlns:r="http://schemas.openxmlformats.org/officeDocument/2006/relationships" ref="CE43" display="https://www.logixpathchef.com/app/food/getfoodnutrition?fdcid=168463" r:id="rId2556"/>
    <hyperlink xmlns:r="http://schemas.openxmlformats.org/officeDocument/2006/relationships" ref="CF43" display="https://www.logixpathchef.com/app/food/getfoodnutrition?fdcid=168463" r:id="rId2557"/>
    <hyperlink xmlns:r="http://schemas.openxmlformats.org/officeDocument/2006/relationships" ref="CG43" display="https://www.logixpathchef.com/app/food/getfoodnutrition?fdcid=168463" r:id="rId2558"/>
    <hyperlink xmlns:r="http://schemas.openxmlformats.org/officeDocument/2006/relationships" ref="CH43" display="https://www.logixpathchef.com/app/food/getfoodnutrition?fdcid=168463" r:id="rId2559"/>
    <hyperlink xmlns:r="http://schemas.openxmlformats.org/officeDocument/2006/relationships" ref="CI43" display="https://www.logixpathchef.com/app/food/getfoodnutrition?fdcid=168463" r:id="rId2560"/>
    <hyperlink xmlns:r="http://schemas.openxmlformats.org/officeDocument/2006/relationships" ref="CJ43" display="https://pubmed.ncbi.nlm.nih.gov/11453768/" r:id="rId2561"/>
    <hyperlink xmlns:r="http://schemas.openxmlformats.org/officeDocument/2006/relationships" ref="CK43" display="https://www.logixpathchef.com/app/food/getfoodnutrition?fdcid=168463" r:id="rId2562"/>
    <hyperlink xmlns:r="http://schemas.openxmlformats.org/officeDocument/2006/relationships" ref="CL43" display="https://www.logixpathchef.com/app/food/getfoodnutrition?fdcid=168463" r:id="rId2563"/>
    <hyperlink xmlns:r="http://schemas.openxmlformats.org/officeDocument/2006/relationships" ref="CM43" display="https://www.logixpathchef.com/app/food/getfoodnutrition?fdcid=168463" r:id="rId2564"/>
    <hyperlink xmlns:r="http://schemas.openxmlformats.org/officeDocument/2006/relationships" ref="CN43" display="https://www.logixpathchef.com/app/food/getfoodnutrition?fdcid=168463" r:id="rId2565"/>
    <hyperlink xmlns:r="http://schemas.openxmlformats.org/officeDocument/2006/relationships" ref="CO43" display="https://www.logixpathchef.com/app/food/getfoodnutrition?fdcid=168463" r:id="rId2566"/>
    <hyperlink xmlns:r="http://schemas.openxmlformats.org/officeDocument/2006/relationships" ref="CP43" display="https://www.logixpathchef.com/app/food/getfoodnutrition?fdcid=168463" r:id="rId2567"/>
    <hyperlink xmlns:r="http://schemas.openxmlformats.org/officeDocument/2006/relationships" ref="CQ43" display="https://www.logixpathchef.com/app/food/getfoodnutrition?fdcid=168463" r:id="rId2568"/>
    <hyperlink xmlns:r="http://schemas.openxmlformats.org/officeDocument/2006/relationships" ref="CR43" display="https://www.logixpathchef.com/app/food/getfoodnutrition?fdcid=168463" r:id="rId2569"/>
    <hyperlink xmlns:r="http://schemas.openxmlformats.org/officeDocument/2006/relationships" ref="CS43" display="https://www.fda.gov/media/159745/download" r:id="rId2570"/>
    <hyperlink xmlns:r="http://schemas.openxmlformats.org/officeDocument/2006/relationships" ref="CT43" display="https://www.fda.gov/media/159745/download" r:id="rId2571"/>
    <hyperlink xmlns:r="http://schemas.openxmlformats.org/officeDocument/2006/relationships" ref="CU43" display="https://www.fda.gov/media/159745/download" r:id="rId2572"/>
    <hyperlink xmlns:r="http://schemas.openxmlformats.org/officeDocument/2006/relationships" ref="CV43" display="https://www.fda.gov/media/159745/download" r:id="rId2573"/>
    <hyperlink xmlns:r="http://schemas.openxmlformats.org/officeDocument/2006/relationships" ref="O47" display="Cal" r:id="rId2574"/>
    <hyperlink xmlns:r="http://schemas.openxmlformats.org/officeDocument/2006/relationships" ref="P47" display="Total&#10;Prot" r:id="rId2575"/>
    <hyperlink xmlns:r="http://schemas.openxmlformats.org/officeDocument/2006/relationships" ref="Q47" display="Whey&#10;(g)" r:id="rId2576"/>
    <hyperlink xmlns:r="http://schemas.openxmlformats.org/officeDocument/2006/relationships" ref="R47" display="Casein&#10;(g)" r:id="rId2577"/>
    <hyperlink xmlns:r="http://schemas.openxmlformats.org/officeDocument/2006/relationships" ref="S47" display="Egg&#10;(g)" r:id="rId2578"/>
    <hyperlink xmlns:r="http://schemas.openxmlformats.org/officeDocument/2006/relationships" ref="T47" display="Collagen&#10;(g)" r:id="rId2579"/>
    <hyperlink xmlns:r="http://schemas.openxmlformats.org/officeDocument/2006/relationships" ref="U47" display="Plant&#10;(g)" r:id="rId2580"/>
    <hyperlink xmlns:r="http://schemas.openxmlformats.org/officeDocument/2006/relationships" ref="W47" display="Total&#10;Fat" r:id="rId2581"/>
    <hyperlink xmlns:r="http://schemas.openxmlformats.org/officeDocument/2006/relationships" ref="X47" display="Sat&#10;(g)" r:id="rId2582"/>
    <hyperlink xmlns:r="http://schemas.openxmlformats.org/officeDocument/2006/relationships" ref="Y47" display="MUFA&#10;(g)" r:id="rId2583"/>
    <hyperlink xmlns:r="http://schemas.openxmlformats.org/officeDocument/2006/relationships" ref="Z47" display="PUFA&#10;(g)" r:id="rId2584"/>
    <hyperlink xmlns:r="http://schemas.openxmlformats.org/officeDocument/2006/relationships" ref="AA47" display="ALA&#10;(g)" r:id="rId2585"/>
    <hyperlink xmlns:r="http://schemas.openxmlformats.org/officeDocument/2006/relationships" ref="AB47" display="Ω-6&#10;(g)" r:id="rId2586"/>
    <hyperlink xmlns:r="http://schemas.openxmlformats.org/officeDocument/2006/relationships" ref="AC47" display="Trans&#10;(g)" r:id="rId2587"/>
    <hyperlink xmlns:r="http://schemas.openxmlformats.org/officeDocument/2006/relationships" ref="AD47" display="Total&#10;Carbs" r:id="rId2588"/>
    <hyperlink xmlns:r="http://schemas.openxmlformats.org/officeDocument/2006/relationships" ref="AE47" display="Sugars&#10;(Simple)" r:id="rId2589"/>
    <hyperlink xmlns:r="http://schemas.openxmlformats.org/officeDocument/2006/relationships" ref="AF47" display="Sugar&#10;Alcohol (g)" r:id="rId2590"/>
    <hyperlink xmlns:r="http://schemas.openxmlformats.org/officeDocument/2006/relationships" ref="AH47" display="Fiber&#10;(g)" r:id="rId2591"/>
    <hyperlink xmlns:r="http://schemas.openxmlformats.org/officeDocument/2006/relationships" ref="AJ47" display="Choline&#10;(mg)" r:id="rId2592"/>
    <hyperlink xmlns:r="http://schemas.openxmlformats.org/officeDocument/2006/relationships" ref="AK47" display="Ca&#10;(mg)" r:id="rId2593"/>
    <hyperlink xmlns:r="http://schemas.openxmlformats.org/officeDocument/2006/relationships" ref="AL47" display="Mg&#10;(mg)" r:id="rId2594"/>
    <hyperlink xmlns:r="http://schemas.openxmlformats.org/officeDocument/2006/relationships" ref="AM47" display="K&#10;(mg)" r:id="rId2595"/>
    <hyperlink xmlns:r="http://schemas.openxmlformats.org/officeDocument/2006/relationships" ref="AN47" display="P&#10;(mg)" r:id="rId2596"/>
    <hyperlink xmlns:r="http://schemas.openxmlformats.org/officeDocument/2006/relationships" ref="AO47" display="Na&#10;(mg)" r:id="rId2597"/>
    <hyperlink xmlns:r="http://schemas.openxmlformats.org/officeDocument/2006/relationships" ref="AP47" display="Mo&#10;(mcg)" r:id="rId2598"/>
    <hyperlink xmlns:r="http://schemas.openxmlformats.org/officeDocument/2006/relationships" ref="AQ47" display="Fe&#10;(mg)" r:id="rId2599"/>
    <hyperlink xmlns:r="http://schemas.openxmlformats.org/officeDocument/2006/relationships" ref="AR47" display="Zn&#10;(mg)" r:id="rId2600"/>
    <hyperlink xmlns:r="http://schemas.openxmlformats.org/officeDocument/2006/relationships" ref="AS47" display="Se&#10;(mcg)" r:id="rId2601"/>
    <hyperlink xmlns:r="http://schemas.openxmlformats.org/officeDocument/2006/relationships" ref="AT47" display="Cu&#10;(mcg)" r:id="rId2602"/>
    <hyperlink xmlns:r="http://schemas.openxmlformats.org/officeDocument/2006/relationships" ref="AU47" display="Mn&#10;(mg)" r:id="rId2603"/>
    <hyperlink xmlns:r="http://schemas.openxmlformats.org/officeDocument/2006/relationships" ref="AV47" display="Cr&#10;(mcg)" r:id="rId2604"/>
    <hyperlink xmlns:r="http://schemas.openxmlformats.org/officeDocument/2006/relationships" ref="AW47" display="Iodine&#10;(mcg)" r:id="rId2605"/>
    <hyperlink xmlns:r="http://schemas.openxmlformats.org/officeDocument/2006/relationships" ref="AX47" display="Boron&#10;(mg)" r:id="rId2606"/>
    <hyperlink xmlns:r="http://schemas.openxmlformats.org/officeDocument/2006/relationships" ref="AY47" display="Vit A&#10;(mcg)" r:id="rId2607"/>
    <hyperlink xmlns:r="http://schemas.openxmlformats.org/officeDocument/2006/relationships" ref="AZ47" display="Vit C&#10;(mg)" r:id="rId2608"/>
    <hyperlink xmlns:r="http://schemas.openxmlformats.org/officeDocument/2006/relationships" ref="BA47" display="Vit D&#10;(mcg)" r:id="rId2609"/>
    <hyperlink xmlns:r="http://schemas.openxmlformats.org/officeDocument/2006/relationships" ref="BB47" display="Vit E&#10;(mg)" r:id="rId2610"/>
    <hyperlink xmlns:r="http://schemas.openxmlformats.org/officeDocument/2006/relationships" ref="BC47" display="K1&#10;(mcg)" r:id="rId2611"/>
    <hyperlink xmlns:r="http://schemas.openxmlformats.org/officeDocument/2006/relationships" ref="BD47" display="K2&#10;MK-4" r:id="rId2612"/>
    <hyperlink xmlns:r="http://schemas.openxmlformats.org/officeDocument/2006/relationships" ref="BE47" display="K2&#10;MK-7" r:id="rId2613"/>
    <hyperlink xmlns:r="http://schemas.openxmlformats.org/officeDocument/2006/relationships" ref="BF47" display="B1&#10;(mg)" r:id="rId2614"/>
    <hyperlink xmlns:r="http://schemas.openxmlformats.org/officeDocument/2006/relationships" ref="BG47" display="B2&#10;(mg)" r:id="rId2615"/>
    <hyperlink xmlns:r="http://schemas.openxmlformats.org/officeDocument/2006/relationships" ref="BH47" display="B3&#10;(mg)" r:id="rId2616"/>
    <hyperlink xmlns:r="http://schemas.openxmlformats.org/officeDocument/2006/relationships" ref="BI47" display="B6&#10;(mg)" r:id="rId2617"/>
    <hyperlink xmlns:r="http://schemas.openxmlformats.org/officeDocument/2006/relationships" ref="BJ47" display="Folate&#10;(mcg)" r:id="rId2618"/>
    <hyperlink xmlns:r="http://schemas.openxmlformats.org/officeDocument/2006/relationships" ref="BK47" display="B12&#10;(mcg)" r:id="rId2619"/>
    <hyperlink xmlns:r="http://schemas.openxmlformats.org/officeDocument/2006/relationships" ref="BL47" display="Biotin&#10;(mcg)" r:id="rId2620"/>
    <hyperlink xmlns:r="http://schemas.openxmlformats.org/officeDocument/2006/relationships" ref="BM47" display="Panto&#10;(mg)" r:id="rId2621"/>
    <hyperlink xmlns:r="http://schemas.openxmlformats.org/officeDocument/2006/relationships" ref="BN47" display="EPA&#10;(mg)" r:id="rId2622"/>
    <hyperlink xmlns:r="http://schemas.openxmlformats.org/officeDocument/2006/relationships" ref="BO47" display="DHA&#10;(mg)" r:id="rId2623"/>
    <hyperlink xmlns:r="http://schemas.openxmlformats.org/officeDocument/2006/relationships" ref="BP47" display="Antho&#10;(mg)" r:id="rId2624"/>
    <hyperlink xmlns:r="http://schemas.openxmlformats.org/officeDocument/2006/relationships" ref="BQ47" display="EGCG&#10;(mg)" r:id="rId2625"/>
    <hyperlink xmlns:r="http://schemas.openxmlformats.org/officeDocument/2006/relationships" ref="BR47" display="Cocoa&#10;Flav" r:id="rId2626"/>
    <hyperlink xmlns:r="http://schemas.openxmlformats.org/officeDocument/2006/relationships" ref="BS47" display="Ellag&#10;(mg)" r:id="rId2627"/>
    <hyperlink xmlns:r="http://schemas.openxmlformats.org/officeDocument/2006/relationships" ref="BT47" display="ProAC&#10;(mg)" r:id="rId2628"/>
    <hyperlink xmlns:r="http://schemas.openxmlformats.org/officeDocument/2006/relationships" ref="BU47" display="HydroT&#10;(mg)" r:id="rId2629"/>
    <hyperlink xmlns:r="http://schemas.openxmlformats.org/officeDocument/2006/relationships" ref="BV47" display="Querc&#10;(mg)" r:id="rId2630"/>
    <hyperlink xmlns:r="http://schemas.openxmlformats.org/officeDocument/2006/relationships" ref="BW47" display="Lignans&#10;(mg)" r:id="rId2631"/>
    <hyperlink xmlns:r="http://schemas.openxmlformats.org/officeDocument/2006/relationships" ref="BX47" display="Lutein&#10;(mcg)" r:id="rId2632"/>
    <hyperlink xmlns:r="http://schemas.openxmlformats.org/officeDocument/2006/relationships" ref="BY47" display="Zeax&#10;(mcg)" r:id="rId2633"/>
    <hyperlink xmlns:r="http://schemas.openxmlformats.org/officeDocument/2006/relationships" ref="BZ47" display="Lyco&#10;(mg)" r:id="rId2634"/>
    <hyperlink xmlns:r="http://schemas.openxmlformats.org/officeDocument/2006/relationships" ref="CA47" display="Astax&#10;(mg)" r:id="rId2635"/>
    <hyperlink xmlns:r="http://schemas.openxmlformats.org/officeDocument/2006/relationships" ref="CB47" display="Sulfo&#10;(mg)" r:id="rId2636"/>
    <hyperlink xmlns:r="http://schemas.openxmlformats.org/officeDocument/2006/relationships" ref="CC47" display="PhytoSt&#10;(mg)" r:id="rId2637"/>
    <hyperlink xmlns:r="http://schemas.openxmlformats.org/officeDocument/2006/relationships" ref="CD47" display="Nitrate&#10;(mg)" r:id="rId2638"/>
    <hyperlink xmlns:r="http://schemas.openxmlformats.org/officeDocument/2006/relationships" ref="CE47" display="Sperm&#10;(mg)" r:id="rId2639"/>
    <hyperlink xmlns:r="http://schemas.openxmlformats.org/officeDocument/2006/relationships" ref="CF47" display="Leucine&#10;(g)" r:id="rId2640"/>
    <hyperlink xmlns:r="http://schemas.openxmlformats.org/officeDocument/2006/relationships" ref="CG47" display="Collagen&#10;(g)" r:id="rId2641"/>
    <hyperlink xmlns:r="http://schemas.openxmlformats.org/officeDocument/2006/relationships" ref="CH47" display="Prebio&#10;Fiber" r:id="rId2642"/>
    <hyperlink xmlns:r="http://schemas.openxmlformats.org/officeDocument/2006/relationships" ref="CI47" display="Taurine&#10;(mg)" r:id="rId2643"/>
    <hyperlink xmlns:r="http://schemas.openxmlformats.org/officeDocument/2006/relationships" ref="CJ47" display="CoQ10&#10;(mg)" r:id="rId2644"/>
    <hyperlink xmlns:r="http://schemas.openxmlformats.org/officeDocument/2006/relationships" ref="CK47" display="Creatine&#10;(g)" r:id="rId2645"/>
    <hyperlink xmlns:r="http://schemas.openxmlformats.org/officeDocument/2006/relationships" ref="CL47" display="Lithium&#10;(mg)" r:id="rId2646"/>
    <hyperlink xmlns:r="http://schemas.openxmlformats.org/officeDocument/2006/relationships" ref="CM47" display="Probio&#10;(B AFU)" r:id="rId2647"/>
    <hyperlink xmlns:r="http://schemas.openxmlformats.org/officeDocument/2006/relationships" ref="CN47" display="Caffeine&#10;(mg)" r:id="rId2648"/>
    <hyperlink xmlns:r="http://schemas.openxmlformats.org/officeDocument/2006/relationships" ref="CO47" display="Curcumin&#10;Phyto" r:id="rId2649"/>
    <hyperlink xmlns:r="http://schemas.openxmlformats.org/officeDocument/2006/relationships" ref="CP47" display="GreenTea&#10;Phyto" r:id="rId2650"/>
    <hyperlink xmlns:r="http://schemas.openxmlformats.org/officeDocument/2006/relationships" ref="CQ47" display="d-Gamma&#10;Tocoph" r:id="rId2651"/>
    <hyperlink xmlns:r="http://schemas.openxmlformats.org/officeDocument/2006/relationships" ref="CR47" display="Prop&#10;Blend" r:id="rId2652"/>
    <hyperlink xmlns:r="http://schemas.openxmlformats.org/officeDocument/2006/relationships" ref="CS47" display="Lead&#10;(Pb)&#10;(mcg/day)" r:id="rId2653"/>
    <hyperlink xmlns:r="http://schemas.openxmlformats.org/officeDocument/2006/relationships" ref="CT47" display="Cadmium&#10;(Cd)&#10;(mcg/day)" r:id="rId2654"/>
    <hyperlink xmlns:r="http://schemas.openxmlformats.org/officeDocument/2006/relationships" ref="CU47" display="Arsenic&#10;(As)&#10;(mcg/day)" r:id="rId2655"/>
    <hyperlink xmlns:r="http://schemas.openxmlformats.org/officeDocument/2006/relationships" ref="CV47" display="Mercury&#10;(Hg)&#10;(mcg/day)" r:id="rId2656"/>
    <hyperlink xmlns:r="http://schemas.openxmlformats.org/officeDocument/2006/relationships" ref="O48" display="https://www.nordicnaturals.com/products/ultimate-omega-d3-sport" r:id="rId2657"/>
    <hyperlink xmlns:r="http://schemas.openxmlformats.org/officeDocument/2006/relationships" ref="P48" display="https://www.nordicnaturals.com/products/ultimate-omega-d3-sport" r:id="rId2658"/>
    <hyperlink xmlns:r="http://schemas.openxmlformats.org/officeDocument/2006/relationships" ref="Q48" display="https://www.nordicnaturals.com/products/ultimate-omega-d3-sport" r:id="rId2659"/>
    <hyperlink xmlns:r="http://schemas.openxmlformats.org/officeDocument/2006/relationships" ref="R48" display="https://www.nordicnaturals.com/products/ultimate-omega-d3-sport" r:id="rId2660"/>
    <hyperlink xmlns:r="http://schemas.openxmlformats.org/officeDocument/2006/relationships" ref="S48" display="https://www.nordicnaturals.com/products/ultimate-omega-d3-sport" r:id="rId2661"/>
    <hyperlink xmlns:r="http://schemas.openxmlformats.org/officeDocument/2006/relationships" ref="T48" display="https://www.nordicnaturals.com/products/ultimate-omega-d3-sport" r:id="rId2662"/>
    <hyperlink xmlns:r="http://schemas.openxmlformats.org/officeDocument/2006/relationships" ref="U48" display="https://www.nordicnaturals.com/products/ultimate-omega-d3-sport" r:id="rId2663"/>
    <hyperlink xmlns:r="http://schemas.openxmlformats.org/officeDocument/2006/relationships" ref="W48" display="https://www.nordicnaturals.com/products/ultimate-omega-d3-sport" r:id="rId2664"/>
    <hyperlink xmlns:r="http://schemas.openxmlformats.org/officeDocument/2006/relationships" ref="X48" display="https://www.nordicnaturals.com/products/ultimate-omega-d3-sport" r:id="rId2665"/>
    <hyperlink xmlns:r="http://schemas.openxmlformats.org/officeDocument/2006/relationships" ref="Y48" display="https://www.nordicnaturals.com/products/ultimate-omega-d3-sport" r:id="rId2666"/>
    <hyperlink xmlns:r="http://schemas.openxmlformats.org/officeDocument/2006/relationships" ref="Z48" display="https://www.nordicnaturals.com/products/ultimate-omega-d3-sport" r:id="rId2667"/>
    <hyperlink xmlns:r="http://schemas.openxmlformats.org/officeDocument/2006/relationships" ref="AA48" display="https://www.nordicnaturals.com/products/ultimate-omega-d3-sport" r:id="rId2668"/>
    <hyperlink xmlns:r="http://schemas.openxmlformats.org/officeDocument/2006/relationships" ref="AB48" display="https://www.nordicnaturals.com/products/ultimate-omega-d3-sport" r:id="rId2669"/>
    <hyperlink xmlns:r="http://schemas.openxmlformats.org/officeDocument/2006/relationships" ref="AC48" display="https://www.nordicnaturals.com/products/ultimate-omega-d3-sport" r:id="rId2670"/>
    <hyperlink xmlns:r="http://schemas.openxmlformats.org/officeDocument/2006/relationships" ref="AD48" display="https://www.nordicnaturals.com/products/ultimate-omega-d3-sport" r:id="rId2671"/>
    <hyperlink xmlns:r="http://schemas.openxmlformats.org/officeDocument/2006/relationships" ref="AE48" display="https://www.nordicnaturals.com/products/ultimate-omega-d3-sport" r:id="rId2672"/>
    <hyperlink xmlns:r="http://schemas.openxmlformats.org/officeDocument/2006/relationships" ref="AF48" display="https://www.nordicnaturals.com/products/ultimate-omega-d3-sport" r:id="rId2673"/>
    <hyperlink xmlns:r="http://schemas.openxmlformats.org/officeDocument/2006/relationships" ref="AH48" display="https://www.nordicnaturals.com/products/ultimate-omega-d3-sport" r:id="rId2674"/>
    <hyperlink xmlns:r="http://schemas.openxmlformats.org/officeDocument/2006/relationships" ref="AJ48" display="https://www.nordicnaturals.com/products/ultimate-omega-d3-sport" r:id="rId2675"/>
    <hyperlink xmlns:r="http://schemas.openxmlformats.org/officeDocument/2006/relationships" ref="AK48" display="https://www.nordicnaturals.com/products/ultimate-omega-d3-sport" r:id="rId2676"/>
    <hyperlink xmlns:r="http://schemas.openxmlformats.org/officeDocument/2006/relationships" ref="AL48" display="https://www.nordicnaturals.com/products/ultimate-omega-d3-sport" r:id="rId2677"/>
    <hyperlink xmlns:r="http://schemas.openxmlformats.org/officeDocument/2006/relationships" ref="AM48" display="https://www.nordicnaturals.com/products/ultimate-omega-d3-sport" r:id="rId2678"/>
    <hyperlink xmlns:r="http://schemas.openxmlformats.org/officeDocument/2006/relationships" ref="AN48" display="https://www.nordicnaturals.com/products/ultimate-omega-d3-sport" r:id="rId2679"/>
    <hyperlink xmlns:r="http://schemas.openxmlformats.org/officeDocument/2006/relationships" ref="AO48" display="https://www.nordicnaturals.com/products/ultimate-omega-d3-sport" r:id="rId2680"/>
    <hyperlink xmlns:r="http://schemas.openxmlformats.org/officeDocument/2006/relationships" ref="AP48" display="https://www.nordicnaturals.com/products/ultimate-omega-d3-sport" r:id="rId2681"/>
    <hyperlink xmlns:r="http://schemas.openxmlformats.org/officeDocument/2006/relationships" ref="AQ48" display="https://www.nordicnaturals.com/products/ultimate-omega-d3-sport" r:id="rId2682"/>
    <hyperlink xmlns:r="http://schemas.openxmlformats.org/officeDocument/2006/relationships" ref="AR48" display="https://www.nordicnaturals.com/products/ultimate-omega-d3-sport" r:id="rId2683"/>
    <hyperlink xmlns:r="http://schemas.openxmlformats.org/officeDocument/2006/relationships" ref="AS48" display="https://www.nordicnaturals.com/products/ultimate-omega-d3-sport" r:id="rId2684"/>
    <hyperlink xmlns:r="http://schemas.openxmlformats.org/officeDocument/2006/relationships" ref="AT48" display="https://www.nordicnaturals.com/products/ultimate-omega-d3-sport" r:id="rId2685"/>
    <hyperlink xmlns:r="http://schemas.openxmlformats.org/officeDocument/2006/relationships" ref="AU48" display="https://www.nordicnaturals.com/products/ultimate-omega-d3-sport" r:id="rId2686"/>
    <hyperlink xmlns:r="http://schemas.openxmlformats.org/officeDocument/2006/relationships" ref="AV48" display="https://www.nordicnaturals.com/products/ultimate-omega-d3-sport" r:id="rId2687"/>
    <hyperlink xmlns:r="http://schemas.openxmlformats.org/officeDocument/2006/relationships" ref="AW48" display="https://www.nordicnaturals.com/products/ultimate-omega-d3-sport" r:id="rId2688"/>
    <hyperlink xmlns:r="http://schemas.openxmlformats.org/officeDocument/2006/relationships" ref="AX48" display="https://www.nordicnaturals.com/products/ultimate-omega-d3-sport" r:id="rId2689"/>
    <hyperlink xmlns:r="http://schemas.openxmlformats.org/officeDocument/2006/relationships" ref="AY48" display="https://www.nordicnaturals.com/products/ultimate-omega-d3-sport" r:id="rId2690"/>
    <hyperlink xmlns:r="http://schemas.openxmlformats.org/officeDocument/2006/relationships" ref="AZ48" display="https://www.nordicnaturals.com/products/ultimate-omega-d3-sport" r:id="rId2691"/>
    <hyperlink xmlns:r="http://schemas.openxmlformats.org/officeDocument/2006/relationships" ref="BA48" display="https://www.nordic.com/products/ultimate-omega-d3-sport/" r:id="rId2692"/>
    <hyperlink xmlns:r="http://schemas.openxmlformats.org/officeDocument/2006/relationships" ref="BB48" display="https://www.nordicnaturals.com/products/ultimate-omega-d3-sport" r:id="rId2693"/>
    <hyperlink xmlns:r="http://schemas.openxmlformats.org/officeDocument/2006/relationships" ref="BC48" display="https://www.nordicnaturals.com/products/ultimate-omega-d3-sport" r:id="rId2694"/>
    <hyperlink xmlns:r="http://schemas.openxmlformats.org/officeDocument/2006/relationships" ref="BD48" display="https://www.nordicnaturals.com/products/ultimate-omega-d3-sport" r:id="rId2695"/>
    <hyperlink xmlns:r="http://schemas.openxmlformats.org/officeDocument/2006/relationships" ref="BE48" display="https://www.nordicnaturals.com/products/ultimate-omega-d3-sport" r:id="rId2696"/>
    <hyperlink xmlns:r="http://schemas.openxmlformats.org/officeDocument/2006/relationships" ref="BF48" display="https://www.nordicnaturals.com/products/ultimate-omega-d3-sport" r:id="rId2697"/>
    <hyperlink xmlns:r="http://schemas.openxmlformats.org/officeDocument/2006/relationships" ref="BG48" display="https://www.nordicnaturals.com/products/ultimate-omega-d3-sport" r:id="rId2698"/>
    <hyperlink xmlns:r="http://schemas.openxmlformats.org/officeDocument/2006/relationships" ref="BH48" display="https://www.nordicnaturals.com/products/ultimate-omega-d3-sport" r:id="rId2699"/>
    <hyperlink xmlns:r="http://schemas.openxmlformats.org/officeDocument/2006/relationships" ref="BI48" display="https://www.nordicnaturals.com/products/ultimate-omega-d3-sport" r:id="rId2700"/>
    <hyperlink xmlns:r="http://schemas.openxmlformats.org/officeDocument/2006/relationships" ref="BJ48" display="https://www.nordicnaturals.com/products/ultimate-omega-d3-sport" r:id="rId2701"/>
    <hyperlink xmlns:r="http://schemas.openxmlformats.org/officeDocument/2006/relationships" ref="BK48" display="https://www.nordicnaturals.com/products/ultimate-omega-d3-sport" r:id="rId2702"/>
    <hyperlink xmlns:r="http://schemas.openxmlformats.org/officeDocument/2006/relationships" ref="BL48" display="https://www.nordicnaturals.com/products/ultimate-omega-d3-sport" r:id="rId2703"/>
    <hyperlink xmlns:r="http://schemas.openxmlformats.org/officeDocument/2006/relationships" ref="BM48" display="https://www.nordicnaturals.com/products/ultimate-omega-d3-sport" r:id="rId2704"/>
    <hyperlink xmlns:r="http://schemas.openxmlformats.org/officeDocument/2006/relationships" ref="BN48" display="https://www.nordic.com/products/ultimate-omega-d3-sport/" r:id="rId2705"/>
    <hyperlink xmlns:r="http://schemas.openxmlformats.org/officeDocument/2006/relationships" ref="BO48" display="https://www.nordic.com/products/ultimate-omega-d3-sport/" r:id="rId2706"/>
    <hyperlink xmlns:r="http://schemas.openxmlformats.org/officeDocument/2006/relationships" ref="BP48" display="https://www.nordicnaturals.com/products/ultimate-omega-d3-sport" r:id="rId2707"/>
    <hyperlink xmlns:r="http://schemas.openxmlformats.org/officeDocument/2006/relationships" ref="BQ48" display="https://www.nordicnaturals.com/products/ultimate-omega-d3-sport" r:id="rId2708"/>
    <hyperlink xmlns:r="http://schemas.openxmlformats.org/officeDocument/2006/relationships" ref="BR48" display="https://www.nordicnaturals.com/products/ultimate-omega-d3-sport" r:id="rId2709"/>
    <hyperlink xmlns:r="http://schemas.openxmlformats.org/officeDocument/2006/relationships" ref="BS48" display="https://www.nordicnaturals.com/products/ultimate-omega-d3-sport" r:id="rId2710"/>
    <hyperlink xmlns:r="http://schemas.openxmlformats.org/officeDocument/2006/relationships" ref="BT48" display="https://www.nordicnaturals.com/products/ultimate-omega-d3-sport" r:id="rId2711"/>
    <hyperlink xmlns:r="http://schemas.openxmlformats.org/officeDocument/2006/relationships" ref="BU48" display="https://www.nordicnaturals.com/products/ultimate-omega-d3-sport" r:id="rId2712"/>
    <hyperlink xmlns:r="http://schemas.openxmlformats.org/officeDocument/2006/relationships" ref="BV48" display="https://www.nordicnaturals.com/products/ultimate-omega-d3-sport" r:id="rId2713"/>
    <hyperlink xmlns:r="http://schemas.openxmlformats.org/officeDocument/2006/relationships" ref="BW48" display="https://www.nordicnaturals.com/products/ultimate-omega-d3-sport" r:id="rId2714"/>
    <hyperlink xmlns:r="http://schemas.openxmlformats.org/officeDocument/2006/relationships" ref="BX48" display="https://www.nordicnaturals.com/products/ultimate-omega-d3-sport" r:id="rId2715"/>
    <hyperlink xmlns:r="http://schemas.openxmlformats.org/officeDocument/2006/relationships" ref="BY48" display="https://www.nordicnaturals.com/products/ultimate-omega-d3-sport" r:id="rId2716"/>
    <hyperlink xmlns:r="http://schemas.openxmlformats.org/officeDocument/2006/relationships" ref="BZ48" display="https://www.nordicnaturals.com/products/ultimate-omega-d3-sport" r:id="rId2717"/>
    <hyperlink xmlns:r="http://schemas.openxmlformats.org/officeDocument/2006/relationships" ref="CA48" display="https://www.nordicnaturals.com/products/ultimate-omega-d3-sport" r:id="rId2718"/>
    <hyperlink xmlns:r="http://schemas.openxmlformats.org/officeDocument/2006/relationships" ref="CB48" display="https://www.nordicnaturals.com/products/ultimate-omega-d3-sport" r:id="rId2719"/>
    <hyperlink xmlns:r="http://schemas.openxmlformats.org/officeDocument/2006/relationships" ref="CC48" display="https://www.nordicnaturals.com/products/ultimate-omega-d3-sport" r:id="rId2720"/>
    <hyperlink xmlns:r="http://schemas.openxmlformats.org/officeDocument/2006/relationships" ref="CD48" display="https://www.nordicnaturals.com/products/ultimate-omega-d3-sport" r:id="rId2721"/>
    <hyperlink xmlns:r="http://schemas.openxmlformats.org/officeDocument/2006/relationships" ref="CE48" display="https://www.nordicnaturals.com/products/ultimate-omega-d3-sport" r:id="rId2722"/>
    <hyperlink xmlns:r="http://schemas.openxmlformats.org/officeDocument/2006/relationships" ref="CF48" display="https://www.nordicnaturals.com/products/ultimate-omega-d3-sport" r:id="rId2723"/>
    <hyperlink xmlns:r="http://schemas.openxmlformats.org/officeDocument/2006/relationships" ref="CG48" display="https://www.nordicnaturals.com/products/ultimate-omega-d3-sport" r:id="rId2724"/>
    <hyperlink xmlns:r="http://schemas.openxmlformats.org/officeDocument/2006/relationships" ref="CH48" display="https://www.nordicnaturals.com/products/ultimate-omega-d3-sport" r:id="rId2725"/>
    <hyperlink xmlns:r="http://schemas.openxmlformats.org/officeDocument/2006/relationships" ref="CI48" display="https://www.nordicnaturals.com/products/ultimate-omega-d3-sport" r:id="rId2726"/>
    <hyperlink xmlns:r="http://schemas.openxmlformats.org/officeDocument/2006/relationships" ref="CJ48" display="https://www.nordicnaturals.com/products/ultimate-omega-d3-sport" r:id="rId2727"/>
    <hyperlink xmlns:r="http://schemas.openxmlformats.org/officeDocument/2006/relationships" ref="CK48" display="https://www.nordicnaturals.com/products/ultimate-omega-d3-sport" r:id="rId2728"/>
    <hyperlink xmlns:r="http://schemas.openxmlformats.org/officeDocument/2006/relationships" ref="CL48" display="https://www.nordicnaturals.com/products/ultimate-omega-d3-sport" r:id="rId2729"/>
    <hyperlink xmlns:r="http://schemas.openxmlformats.org/officeDocument/2006/relationships" ref="CM48" display="https://www.nordicnaturals.com/products/ultimate-omega-d3-sport" r:id="rId2730"/>
    <hyperlink xmlns:r="http://schemas.openxmlformats.org/officeDocument/2006/relationships" ref="CN48" display="https://www.nordicnaturals.com/products/ultimate-omega-d3-sport" r:id="rId2731"/>
    <hyperlink xmlns:r="http://schemas.openxmlformats.org/officeDocument/2006/relationships" ref="CO48" display="https://www.nordicnaturals.com/products/ultimate-omega-d3-sport" r:id="rId2732"/>
    <hyperlink xmlns:r="http://schemas.openxmlformats.org/officeDocument/2006/relationships" ref="CP48" display="https://www.nordicnaturals.com/products/ultimate-omega-d3-sport" r:id="rId2733"/>
    <hyperlink xmlns:r="http://schemas.openxmlformats.org/officeDocument/2006/relationships" ref="CQ48" display="https://www.nordicnaturals.com/products/ultimate-omega-d3-sport" r:id="rId2734"/>
    <hyperlink xmlns:r="http://schemas.openxmlformats.org/officeDocument/2006/relationships" ref="CR48" display="https://www.nordicnaturals.com/products/ultimate-omega-d3-sport" r:id="rId2735"/>
    <hyperlink xmlns:r="http://schemas.openxmlformats.org/officeDocument/2006/relationships" ref="CS48" display="https://www.nordicnaturals.com/products/ultimate-omega-d3-sport" r:id="rId2736"/>
    <hyperlink xmlns:r="http://schemas.openxmlformats.org/officeDocument/2006/relationships" ref="CT48" display="https://www.nordicnaturals.com/products/ultimate-omega-d3-sport" r:id="rId2737"/>
    <hyperlink xmlns:r="http://schemas.openxmlformats.org/officeDocument/2006/relationships" ref="CU48" display="https://www.nordicnaturals.com/products/ultimate-omega-d3-sport" r:id="rId2738"/>
    <hyperlink xmlns:r="http://schemas.openxmlformats.org/officeDocument/2006/relationships" ref="CV48" display="https://www.nordicnaturals.com/products/ultimate-omega-d3-sport" r:id="rId2739"/>
    <hyperlink xmlns:r="http://schemas.openxmlformats.org/officeDocument/2006/relationships" ref="O49" display="https://seed.com/ds-01-daily-synbiotic" r:id="rId2740"/>
    <hyperlink xmlns:r="http://schemas.openxmlformats.org/officeDocument/2006/relationships" ref="P49" display="https://seed.com/ds-01-daily-synbiotic" r:id="rId2741"/>
    <hyperlink xmlns:r="http://schemas.openxmlformats.org/officeDocument/2006/relationships" ref="Q49" display="https://seed.com/ds-01-daily-synbiotic" r:id="rId2742"/>
    <hyperlink xmlns:r="http://schemas.openxmlformats.org/officeDocument/2006/relationships" ref="R49" display="https://seed.com/ds-01-daily-synbiotic" r:id="rId2743"/>
    <hyperlink xmlns:r="http://schemas.openxmlformats.org/officeDocument/2006/relationships" ref="S49" display="https://seed.com/ds-01-daily-synbiotic" r:id="rId2744"/>
    <hyperlink xmlns:r="http://schemas.openxmlformats.org/officeDocument/2006/relationships" ref="T49" display="https://seed.com/ds-01-daily-synbiotic" r:id="rId2745"/>
    <hyperlink xmlns:r="http://schemas.openxmlformats.org/officeDocument/2006/relationships" ref="U49" display="https://seed.com/ds-01-daily-synbiotic" r:id="rId2746"/>
    <hyperlink xmlns:r="http://schemas.openxmlformats.org/officeDocument/2006/relationships" ref="W49" display="https://seed.com/ds-01-daily-synbiotic" r:id="rId2747"/>
    <hyperlink xmlns:r="http://schemas.openxmlformats.org/officeDocument/2006/relationships" ref="X49" display="https://seed.com/ds-01-daily-synbiotic" r:id="rId2748"/>
    <hyperlink xmlns:r="http://schemas.openxmlformats.org/officeDocument/2006/relationships" ref="Y49" display="https://seed.com/ds-01-daily-synbiotic" r:id="rId2749"/>
    <hyperlink xmlns:r="http://schemas.openxmlformats.org/officeDocument/2006/relationships" ref="Z49" display="https://seed.com/ds-01-daily-synbiotic" r:id="rId2750"/>
    <hyperlink xmlns:r="http://schemas.openxmlformats.org/officeDocument/2006/relationships" ref="AA49" display="https://seed.com/ds-01-daily-synbiotic" r:id="rId2751"/>
    <hyperlink xmlns:r="http://schemas.openxmlformats.org/officeDocument/2006/relationships" ref="AB49" display="https://seed.com/ds-01-daily-synbiotic" r:id="rId2752"/>
    <hyperlink xmlns:r="http://schemas.openxmlformats.org/officeDocument/2006/relationships" ref="AC49" display="https://seed.com/ds-01-daily-synbiotic" r:id="rId2753"/>
    <hyperlink xmlns:r="http://schemas.openxmlformats.org/officeDocument/2006/relationships" ref="AD49" display="https://seed.com/ds-01-daily-synbiotic" r:id="rId2754"/>
    <hyperlink xmlns:r="http://schemas.openxmlformats.org/officeDocument/2006/relationships" ref="AE49" display="https://seed.com/ds-01-daily-synbiotic" r:id="rId2755"/>
    <hyperlink xmlns:r="http://schemas.openxmlformats.org/officeDocument/2006/relationships" ref="AF49" display="https://seed.com/ds-01-daily-synbiotic" r:id="rId2756"/>
    <hyperlink xmlns:r="http://schemas.openxmlformats.org/officeDocument/2006/relationships" ref="AH49" display="https://seed.com/ds-01-daily-synbiotic" r:id="rId2757"/>
    <hyperlink xmlns:r="http://schemas.openxmlformats.org/officeDocument/2006/relationships" ref="AJ49" display="https://seed.com/ds-01-daily-synbiotic" r:id="rId2758"/>
    <hyperlink xmlns:r="http://schemas.openxmlformats.org/officeDocument/2006/relationships" ref="AK49" display="https://seed.com/ds-01-daily-synbiotic" r:id="rId2759"/>
    <hyperlink xmlns:r="http://schemas.openxmlformats.org/officeDocument/2006/relationships" ref="AL49" display="https://seed.com/ds-01-daily-synbiotic" r:id="rId2760"/>
    <hyperlink xmlns:r="http://schemas.openxmlformats.org/officeDocument/2006/relationships" ref="AM49" display="https://seed.com/ds-01-daily-synbiotic" r:id="rId2761"/>
    <hyperlink xmlns:r="http://schemas.openxmlformats.org/officeDocument/2006/relationships" ref="AN49" display="https://seed.com/ds-01-daily-synbiotic" r:id="rId2762"/>
    <hyperlink xmlns:r="http://schemas.openxmlformats.org/officeDocument/2006/relationships" ref="AO49" display="https://seed.com/ds-01-daily-synbiotic" r:id="rId2763"/>
    <hyperlink xmlns:r="http://schemas.openxmlformats.org/officeDocument/2006/relationships" ref="AP49" display="https://seed.com/ds-01-daily-synbiotic" r:id="rId2764"/>
    <hyperlink xmlns:r="http://schemas.openxmlformats.org/officeDocument/2006/relationships" ref="AQ49" display="https://seed.com/ds-01-daily-synbiotic" r:id="rId2765"/>
    <hyperlink xmlns:r="http://schemas.openxmlformats.org/officeDocument/2006/relationships" ref="AR49" display="https://seed.com/ds-01-daily-synbiotic" r:id="rId2766"/>
    <hyperlink xmlns:r="http://schemas.openxmlformats.org/officeDocument/2006/relationships" ref="AS49" display="https://seed.com/ds-01-daily-synbiotic" r:id="rId2767"/>
    <hyperlink xmlns:r="http://schemas.openxmlformats.org/officeDocument/2006/relationships" ref="AT49" display="https://seed.com/ds-01-daily-synbiotic" r:id="rId2768"/>
    <hyperlink xmlns:r="http://schemas.openxmlformats.org/officeDocument/2006/relationships" ref="AU49" display="https://seed.com/ds-01-daily-synbiotic" r:id="rId2769"/>
    <hyperlink xmlns:r="http://schemas.openxmlformats.org/officeDocument/2006/relationships" ref="AV49" display="https://seed.com/ds-01-daily-synbiotic" r:id="rId2770"/>
    <hyperlink xmlns:r="http://schemas.openxmlformats.org/officeDocument/2006/relationships" ref="AW49" display="https://seed.com/ds-01-daily-synbiotic" r:id="rId2771"/>
    <hyperlink xmlns:r="http://schemas.openxmlformats.org/officeDocument/2006/relationships" ref="AX49" display="https://seed.com/ds-01-daily-synbiotic" r:id="rId2772"/>
    <hyperlink xmlns:r="http://schemas.openxmlformats.org/officeDocument/2006/relationships" ref="AY49" display="https://seed.com/ds-01-daily-synbiotic" r:id="rId2773"/>
    <hyperlink xmlns:r="http://schemas.openxmlformats.org/officeDocument/2006/relationships" ref="AZ49" display="https://seed.com/ds-01-daily-synbiotic" r:id="rId2774"/>
    <hyperlink xmlns:r="http://schemas.openxmlformats.org/officeDocument/2006/relationships" ref="BA49" display="https://seed.com/ds-01-daily-synbiotic" r:id="rId2775"/>
    <hyperlink xmlns:r="http://schemas.openxmlformats.org/officeDocument/2006/relationships" ref="BB49" display="https://seed.com/ds-01-daily-synbiotic" r:id="rId2776"/>
    <hyperlink xmlns:r="http://schemas.openxmlformats.org/officeDocument/2006/relationships" ref="BC49" display="https://seed.com/ds-01-daily-synbiotic" r:id="rId2777"/>
    <hyperlink xmlns:r="http://schemas.openxmlformats.org/officeDocument/2006/relationships" ref="BD49" display="https://seed.com/ds-01-daily-synbiotic" r:id="rId2778"/>
    <hyperlink xmlns:r="http://schemas.openxmlformats.org/officeDocument/2006/relationships" ref="BE49" display="https://seed.com/ds-01-daily-synbiotic" r:id="rId2779"/>
    <hyperlink xmlns:r="http://schemas.openxmlformats.org/officeDocument/2006/relationships" ref="BF49" display="https://seed.com/ds-01-daily-synbiotic" r:id="rId2780"/>
    <hyperlink xmlns:r="http://schemas.openxmlformats.org/officeDocument/2006/relationships" ref="BG49" display="https://seed.com/ds-01-daily-synbiotic" r:id="rId2781"/>
    <hyperlink xmlns:r="http://schemas.openxmlformats.org/officeDocument/2006/relationships" ref="BH49" display="https://seed.com/ds-01-daily-synbiotic" r:id="rId2782"/>
    <hyperlink xmlns:r="http://schemas.openxmlformats.org/officeDocument/2006/relationships" ref="BI49" display="https://seed.com/ds-01-daily-synbiotic" r:id="rId2783"/>
    <hyperlink xmlns:r="http://schemas.openxmlformats.org/officeDocument/2006/relationships" ref="BJ49" display="https://seed.com/ds-01-daily-synbiotic" r:id="rId2784"/>
    <hyperlink xmlns:r="http://schemas.openxmlformats.org/officeDocument/2006/relationships" ref="BK49" display="https://seed.com/ds-01-daily-synbiotic" r:id="rId2785"/>
    <hyperlink xmlns:r="http://schemas.openxmlformats.org/officeDocument/2006/relationships" ref="BL49" display="https://seed.com/ds-01-daily-synbiotic" r:id="rId2786"/>
    <hyperlink xmlns:r="http://schemas.openxmlformats.org/officeDocument/2006/relationships" ref="BM49" display="https://seed.com/ds-01-daily-synbiotic" r:id="rId2787"/>
    <hyperlink xmlns:r="http://schemas.openxmlformats.org/officeDocument/2006/relationships" ref="BN49" display="https://seed.com/ds-01-daily-synbiotic" r:id="rId2788"/>
    <hyperlink xmlns:r="http://schemas.openxmlformats.org/officeDocument/2006/relationships" ref="BO49" display="https://seed.com/ds-01-daily-synbiotic" r:id="rId2789"/>
    <hyperlink xmlns:r="http://schemas.openxmlformats.org/officeDocument/2006/relationships" ref="BP49" display="https://seed.com/ds-01-daily-synbiotic" r:id="rId2790"/>
    <hyperlink xmlns:r="http://schemas.openxmlformats.org/officeDocument/2006/relationships" ref="BQ49" display="https://seed.com/ds-01-daily-synbiotic" r:id="rId2791"/>
    <hyperlink xmlns:r="http://schemas.openxmlformats.org/officeDocument/2006/relationships" ref="BR49" display="https://seed.com/ds-01-daily-synbiotic" r:id="rId2792"/>
    <hyperlink xmlns:r="http://schemas.openxmlformats.org/officeDocument/2006/relationships" ref="BS49" display="https://seed.com/ds-01-daily-synbiotic" r:id="rId2793"/>
    <hyperlink xmlns:r="http://schemas.openxmlformats.org/officeDocument/2006/relationships" ref="BT49" display="https://seed.com/ds-01-daily-synbiotic" r:id="rId2794"/>
    <hyperlink xmlns:r="http://schemas.openxmlformats.org/officeDocument/2006/relationships" ref="BU49" display="https://seed.com/ds-01-daily-synbiotic" r:id="rId2795"/>
    <hyperlink xmlns:r="http://schemas.openxmlformats.org/officeDocument/2006/relationships" ref="BV49" display="https://seed.com/ds-01-daily-synbiotic" r:id="rId2796"/>
    <hyperlink xmlns:r="http://schemas.openxmlformats.org/officeDocument/2006/relationships" ref="BW49" display="https://seed.com/ds-01-daily-synbiotic" r:id="rId2797"/>
    <hyperlink xmlns:r="http://schemas.openxmlformats.org/officeDocument/2006/relationships" ref="BX49" display="https://seed.com/ds-01-daily-synbiotic" r:id="rId2798"/>
    <hyperlink xmlns:r="http://schemas.openxmlformats.org/officeDocument/2006/relationships" ref="BY49" display="https://seed.com/ds-01-daily-synbiotic" r:id="rId2799"/>
    <hyperlink xmlns:r="http://schemas.openxmlformats.org/officeDocument/2006/relationships" ref="BZ49" display="https://seed.com/ds-01-daily-synbiotic" r:id="rId2800"/>
    <hyperlink xmlns:r="http://schemas.openxmlformats.org/officeDocument/2006/relationships" ref="CA49" display="https://seed.com/ds-01-daily-synbiotic" r:id="rId2801"/>
    <hyperlink xmlns:r="http://schemas.openxmlformats.org/officeDocument/2006/relationships" ref="CB49" display="https://seed.com/ds-01-daily-synbiotic" r:id="rId2802"/>
    <hyperlink xmlns:r="http://schemas.openxmlformats.org/officeDocument/2006/relationships" ref="CC49" display="https://seed.com/ds-01-daily-synbiotic" r:id="rId2803"/>
    <hyperlink xmlns:r="http://schemas.openxmlformats.org/officeDocument/2006/relationships" ref="CD49" display="https://seed.com/ds-01-daily-synbiotic" r:id="rId2804"/>
    <hyperlink xmlns:r="http://schemas.openxmlformats.org/officeDocument/2006/relationships" ref="CE49" display="https://seed.com/ds-01-daily-synbiotic" r:id="rId2805"/>
    <hyperlink xmlns:r="http://schemas.openxmlformats.org/officeDocument/2006/relationships" ref="CF49" display="https://seed.com/ds-01-daily-synbiotic" r:id="rId2806"/>
    <hyperlink xmlns:r="http://schemas.openxmlformats.org/officeDocument/2006/relationships" ref="CG49" display="https://seed.com/ds-01-daily-synbiotic" r:id="rId2807"/>
    <hyperlink xmlns:r="http://schemas.openxmlformats.org/officeDocument/2006/relationships" ref="CH49" display="https://seed.com/ds-01-daily-synbiotic" r:id="rId2808"/>
    <hyperlink xmlns:r="http://schemas.openxmlformats.org/officeDocument/2006/relationships" ref="CI49" display="https://seed.com/ds-01-daily-synbiotic" r:id="rId2809"/>
    <hyperlink xmlns:r="http://schemas.openxmlformats.org/officeDocument/2006/relationships" ref="CJ49" display="https://seed.com/ds-01-daily-synbiotic" r:id="rId2810"/>
    <hyperlink xmlns:r="http://schemas.openxmlformats.org/officeDocument/2006/relationships" ref="CK49" display="https://seed.com/ds-01-daily-synbiotic" r:id="rId2811"/>
    <hyperlink xmlns:r="http://schemas.openxmlformats.org/officeDocument/2006/relationships" ref="CL49" display="https://seed.com/ds-01-daily-synbiotic" r:id="rId2812"/>
    <hyperlink xmlns:r="http://schemas.openxmlformats.org/officeDocument/2006/relationships" ref="CM49" display="https://seed.com/ds-01-daily-synbiotic" r:id="rId2813"/>
    <hyperlink xmlns:r="http://schemas.openxmlformats.org/officeDocument/2006/relationships" ref="CN49" display="https://seed.com/ds-01-daily-synbiotic" r:id="rId2814"/>
    <hyperlink xmlns:r="http://schemas.openxmlformats.org/officeDocument/2006/relationships" ref="CO49" display="https://seed.com/ds-01-daily-synbiotic" r:id="rId2815"/>
    <hyperlink xmlns:r="http://schemas.openxmlformats.org/officeDocument/2006/relationships" ref="CP49" display="https://seed.com/ds-01-daily-synbiotic" r:id="rId2816"/>
    <hyperlink xmlns:r="http://schemas.openxmlformats.org/officeDocument/2006/relationships" ref="CQ49" display="https://seed.com/ds-01-daily-synbiotic" r:id="rId2817"/>
    <hyperlink xmlns:r="http://schemas.openxmlformats.org/officeDocument/2006/relationships" ref="CR49" display="https://seed.com/ds-01-daily-synbiotic" r:id="rId2818"/>
    <hyperlink xmlns:r="http://schemas.openxmlformats.org/officeDocument/2006/relationships" ref="CS49" display="https://seed.com/ds-01-daily-synbiotic" r:id="rId2819"/>
    <hyperlink xmlns:r="http://schemas.openxmlformats.org/officeDocument/2006/relationships" ref="CT49" display="https://seed.com/ds-01-daily-synbiotic" r:id="rId2820"/>
    <hyperlink xmlns:r="http://schemas.openxmlformats.org/officeDocument/2006/relationships" ref="CU49" display="https://seed.com/ds-01-daily-synbiotic" r:id="rId2821"/>
    <hyperlink xmlns:r="http://schemas.openxmlformats.org/officeDocument/2006/relationships" ref="CV49" display="https://seed.com/ds-01-daily-synbiotic" r:id="rId2822"/>
    <hyperlink xmlns:r="http://schemas.openxmlformats.org/officeDocument/2006/relationships" ref="O50" display="https://www.jarrow.com/product/452/citicoline-cdp-choline" r:id="rId2823"/>
    <hyperlink xmlns:r="http://schemas.openxmlformats.org/officeDocument/2006/relationships" ref="P50" display="https://www.jarrow.com/product/452/citicoline-cdp-choline" r:id="rId2824"/>
    <hyperlink xmlns:r="http://schemas.openxmlformats.org/officeDocument/2006/relationships" ref="Q50" display="https://www.jarrow.com/product/452/citicoline-cdp-choline" r:id="rId2825"/>
    <hyperlink xmlns:r="http://schemas.openxmlformats.org/officeDocument/2006/relationships" ref="R50" display="https://www.jarrow.com/product/452/citicoline-cdp-choline" r:id="rId2826"/>
    <hyperlink xmlns:r="http://schemas.openxmlformats.org/officeDocument/2006/relationships" ref="S50" display="https://www.jarrow.com/product/452/citicoline-cdp-choline" r:id="rId2827"/>
    <hyperlink xmlns:r="http://schemas.openxmlformats.org/officeDocument/2006/relationships" ref="T50" display="https://www.jarrow.com/product/452/citicoline-cdp-choline" r:id="rId2828"/>
    <hyperlink xmlns:r="http://schemas.openxmlformats.org/officeDocument/2006/relationships" ref="U50" display="https://www.jarrow.com/product/452/citicoline-cdp-choline" r:id="rId2829"/>
    <hyperlink xmlns:r="http://schemas.openxmlformats.org/officeDocument/2006/relationships" ref="W50" display="https://www.jarrow.com/product/452/citicoline-cdp-choline" r:id="rId2830"/>
    <hyperlink xmlns:r="http://schemas.openxmlformats.org/officeDocument/2006/relationships" ref="X50" display="https://www.jarrow.com/product/452/citicoline-cdp-choline" r:id="rId2831"/>
    <hyperlink xmlns:r="http://schemas.openxmlformats.org/officeDocument/2006/relationships" ref="Y50" display="https://www.jarrow.com/product/452/citicoline-cdp-choline" r:id="rId2832"/>
    <hyperlink xmlns:r="http://schemas.openxmlformats.org/officeDocument/2006/relationships" ref="Z50" display="https://www.jarrow.com/product/452/citicoline-cdp-choline" r:id="rId2833"/>
    <hyperlink xmlns:r="http://schemas.openxmlformats.org/officeDocument/2006/relationships" ref="AA50" display="https://www.jarrow.com/product/452/citicoline-cdp-choline" r:id="rId2834"/>
    <hyperlink xmlns:r="http://schemas.openxmlformats.org/officeDocument/2006/relationships" ref="AB50" display="https://www.jarrow.com/product/452/citicoline-cdp-choline" r:id="rId2835"/>
    <hyperlink xmlns:r="http://schemas.openxmlformats.org/officeDocument/2006/relationships" ref="AC50" display="https://www.jarrow.com/product/452/citicoline-cdp-choline" r:id="rId2836"/>
    <hyperlink xmlns:r="http://schemas.openxmlformats.org/officeDocument/2006/relationships" ref="AD50" display="https://www.jarrow.com/product/452/citicoline-cdp-choline" r:id="rId2837"/>
    <hyperlink xmlns:r="http://schemas.openxmlformats.org/officeDocument/2006/relationships" ref="AE50" display="https://www.jarrow.com/product/452/citicoline-cdp-choline" r:id="rId2838"/>
    <hyperlink xmlns:r="http://schemas.openxmlformats.org/officeDocument/2006/relationships" ref="AF50" display="https://www.jarrow.com/product/452/citicoline-cdp-choline" r:id="rId2839"/>
    <hyperlink xmlns:r="http://schemas.openxmlformats.org/officeDocument/2006/relationships" ref="AH50" display="https://www.jarrow.com/product/452/citicoline-cdp-choline" r:id="rId2840"/>
    <hyperlink xmlns:r="http://schemas.openxmlformats.org/officeDocument/2006/relationships" ref="AJ50" display="https://www.jarrow.com/product/452/citicoline-cdp-choline" r:id="rId2841"/>
    <hyperlink xmlns:r="http://schemas.openxmlformats.org/officeDocument/2006/relationships" ref="AK50" display="https://www.jarrow.com/product/452/citicoline-cdp-choline" r:id="rId2842"/>
    <hyperlink xmlns:r="http://schemas.openxmlformats.org/officeDocument/2006/relationships" ref="AL50" display="https://www.jarrow.com/product/452/citicoline-cdp-choline" r:id="rId2843"/>
    <hyperlink xmlns:r="http://schemas.openxmlformats.org/officeDocument/2006/relationships" ref="AM50" display="https://www.jarrow.com/product/452/citicoline-cdp-choline" r:id="rId2844"/>
    <hyperlink xmlns:r="http://schemas.openxmlformats.org/officeDocument/2006/relationships" ref="AN50" display="https://www.jarrow.com/product/452/citicoline-cdp-choline" r:id="rId2845"/>
    <hyperlink xmlns:r="http://schemas.openxmlformats.org/officeDocument/2006/relationships" ref="AO50" display="https://www.jarrow.com/product/452/citicoline-cdp-choline" r:id="rId2846"/>
    <hyperlink xmlns:r="http://schemas.openxmlformats.org/officeDocument/2006/relationships" ref="AP50" display="https://www.jarrow.com/product/452/citicoline-cdp-choline" r:id="rId2847"/>
    <hyperlink xmlns:r="http://schemas.openxmlformats.org/officeDocument/2006/relationships" ref="AQ50" display="https://www.jarrow.com/product/452/citicoline-cdp-choline" r:id="rId2848"/>
    <hyperlink xmlns:r="http://schemas.openxmlformats.org/officeDocument/2006/relationships" ref="AR50" display="https://www.jarrow.com/product/452/citicoline-cdp-choline" r:id="rId2849"/>
    <hyperlink xmlns:r="http://schemas.openxmlformats.org/officeDocument/2006/relationships" ref="AS50" display="https://www.jarrow.com/product/452/citicoline-cdp-choline" r:id="rId2850"/>
    <hyperlink xmlns:r="http://schemas.openxmlformats.org/officeDocument/2006/relationships" ref="AT50" display="https://www.jarrow.com/product/452/citicoline-cdp-choline" r:id="rId2851"/>
    <hyperlink xmlns:r="http://schemas.openxmlformats.org/officeDocument/2006/relationships" ref="AU50" display="https://www.jarrow.com/product/452/citicoline-cdp-choline" r:id="rId2852"/>
    <hyperlink xmlns:r="http://schemas.openxmlformats.org/officeDocument/2006/relationships" ref="AV50" display="https://www.jarrow.com/product/452/citicoline-cdp-choline" r:id="rId2853"/>
    <hyperlink xmlns:r="http://schemas.openxmlformats.org/officeDocument/2006/relationships" ref="AW50" display="https://www.jarrow.com/product/452/citicoline-cdp-choline" r:id="rId2854"/>
    <hyperlink xmlns:r="http://schemas.openxmlformats.org/officeDocument/2006/relationships" ref="AX50" display="https://www.jarrow.com/product/452/citicoline-cdp-choline" r:id="rId2855"/>
    <hyperlink xmlns:r="http://schemas.openxmlformats.org/officeDocument/2006/relationships" ref="AY50" display="https://www.jarrow.com/product/452/citicoline-cdp-choline" r:id="rId2856"/>
    <hyperlink xmlns:r="http://schemas.openxmlformats.org/officeDocument/2006/relationships" ref="AZ50" display="https://www.jarrow.com/product/452/citicoline-cdp-choline" r:id="rId2857"/>
    <hyperlink xmlns:r="http://schemas.openxmlformats.org/officeDocument/2006/relationships" ref="BA50" display="https://www.jarrow.com/product/452/citicoline-cdp-choline" r:id="rId2858"/>
    <hyperlink xmlns:r="http://schemas.openxmlformats.org/officeDocument/2006/relationships" ref="BB50" display="https://www.jarrow.com/product/452/citicoline-cdp-choline" r:id="rId2859"/>
    <hyperlink xmlns:r="http://schemas.openxmlformats.org/officeDocument/2006/relationships" ref="BC50" display="https://www.jarrow.com/product/452/citicoline-cdp-choline" r:id="rId2860"/>
    <hyperlink xmlns:r="http://schemas.openxmlformats.org/officeDocument/2006/relationships" ref="BD50" display="https://www.jarrow.com/product/452/citicoline-cdp-choline" r:id="rId2861"/>
    <hyperlink xmlns:r="http://schemas.openxmlformats.org/officeDocument/2006/relationships" ref="BE50" display="https://www.jarrow.com/product/452/citicoline-cdp-choline" r:id="rId2862"/>
    <hyperlink xmlns:r="http://schemas.openxmlformats.org/officeDocument/2006/relationships" ref="BF50" display="https://www.jarrow.com/product/452/citicoline-cdp-choline" r:id="rId2863"/>
    <hyperlink xmlns:r="http://schemas.openxmlformats.org/officeDocument/2006/relationships" ref="BG50" display="https://www.jarrow.com/product/452/citicoline-cdp-choline" r:id="rId2864"/>
    <hyperlink xmlns:r="http://schemas.openxmlformats.org/officeDocument/2006/relationships" ref="BH50" display="https://www.jarrow.com/product/452/citicoline-cdp-choline" r:id="rId2865"/>
    <hyperlink xmlns:r="http://schemas.openxmlformats.org/officeDocument/2006/relationships" ref="BI50" display="https://www.jarrow.com/product/452/citicoline-cdp-choline" r:id="rId2866"/>
    <hyperlink xmlns:r="http://schemas.openxmlformats.org/officeDocument/2006/relationships" ref="BJ50" display="https://www.jarrow.com/product/452/citicoline-cdp-choline" r:id="rId2867"/>
    <hyperlink xmlns:r="http://schemas.openxmlformats.org/officeDocument/2006/relationships" ref="BK50" display="https://www.jarrow.com/product/452/citicoline-cdp-choline" r:id="rId2868"/>
    <hyperlink xmlns:r="http://schemas.openxmlformats.org/officeDocument/2006/relationships" ref="BL50" display="https://www.jarrow.com/product/452/citicoline-cdp-choline" r:id="rId2869"/>
    <hyperlink xmlns:r="http://schemas.openxmlformats.org/officeDocument/2006/relationships" ref="BM50" display="https://www.jarrow.com/product/452/citicoline-cdp-choline" r:id="rId2870"/>
    <hyperlink xmlns:r="http://schemas.openxmlformats.org/officeDocument/2006/relationships" ref="BN50" display="https://www.jarrow.com/product/452/citicoline-cdp-choline" r:id="rId2871"/>
    <hyperlink xmlns:r="http://schemas.openxmlformats.org/officeDocument/2006/relationships" ref="BO50" display="https://www.jarrow.com/product/452/citicoline-cdp-choline" r:id="rId2872"/>
    <hyperlink xmlns:r="http://schemas.openxmlformats.org/officeDocument/2006/relationships" ref="BP50" display="https://www.jarrow.com/product/452/citicoline-cdp-choline" r:id="rId2873"/>
    <hyperlink xmlns:r="http://schemas.openxmlformats.org/officeDocument/2006/relationships" ref="BQ50" display="https://www.jarrow.com/product/452/citicoline-cdp-choline" r:id="rId2874"/>
    <hyperlink xmlns:r="http://schemas.openxmlformats.org/officeDocument/2006/relationships" ref="BR50" display="https://www.jarrow.com/product/452/citicoline-cdp-choline" r:id="rId2875"/>
    <hyperlink xmlns:r="http://schemas.openxmlformats.org/officeDocument/2006/relationships" ref="BS50" display="https://www.jarrow.com/product/452/citicoline-cdp-choline" r:id="rId2876"/>
    <hyperlink xmlns:r="http://schemas.openxmlformats.org/officeDocument/2006/relationships" ref="BT50" display="https://www.jarrow.com/product/452/citicoline-cdp-choline" r:id="rId2877"/>
    <hyperlink xmlns:r="http://schemas.openxmlformats.org/officeDocument/2006/relationships" ref="BU50" display="https://www.jarrow.com/product/452/citicoline-cdp-choline" r:id="rId2878"/>
    <hyperlink xmlns:r="http://schemas.openxmlformats.org/officeDocument/2006/relationships" ref="BV50" display="https://www.jarrow.com/product/452/citicoline-cdp-choline" r:id="rId2879"/>
    <hyperlink xmlns:r="http://schemas.openxmlformats.org/officeDocument/2006/relationships" ref="BW50" display="https://www.jarrow.com/product/452/citicoline-cdp-choline" r:id="rId2880"/>
    <hyperlink xmlns:r="http://schemas.openxmlformats.org/officeDocument/2006/relationships" ref="BX50" display="https://www.jarrow.com/product/452/citicoline-cdp-choline" r:id="rId2881"/>
    <hyperlink xmlns:r="http://schemas.openxmlformats.org/officeDocument/2006/relationships" ref="BY50" display="https://www.jarrow.com/product/452/citicoline-cdp-choline" r:id="rId2882"/>
    <hyperlink xmlns:r="http://schemas.openxmlformats.org/officeDocument/2006/relationships" ref="BZ50" display="https://www.jarrow.com/product/452/citicoline-cdp-choline" r:id="rId2883"/>
    <hyperlink xmlns:r="http://schemas.openxmlformats.org/officeDocument/2006/relationships" ref="CA50" display="https://www.jarrow.com/product/452/citicoline-cdp-choline" r:id="rId2884"/>
    <hyperlink xmlns:r="http://schemas.openxmlformats.org/officeDocument/2006/relationships" ref="CB50" display="https://www.jarrow.com/product/452/citicoline-cdp-choline" r:id="rId2885"/>
    <hyperlink xmlns:r="http://schemas.openxmlformats.org/officeDocument/2006/relationships" ref="CC50" display="https://www.jarrow.com/product/452/citicoline-cdp-choline" r:id="rId2886"/>
    <hyperlink xmlns:r="http://schemas.openxmlformats.org/officeDocument/2006/relationships" ref="CD50" display="https://www.jarrow.com/product/452/citicoline-cdp-choline" r:id="rId2887"/>
    <hyperlink xmlns:r="http://schemas.openxmlformats.org/officeDocument/2006/relationships" ref="CE50" display="https://www.jarrow.com/product/452/citicoline-cdp-choline" r:id="rId2888"/>
    <hyperlink xmlns:r="http://schemas.openxmlformats.org/officeDocument/2006/relationships" ref="CF50" display="https://www.jarrow.com/product/452/citicoline-cdp-choline" r:id="rId2889"/>
    <hyperlink xmlns:r="http://schemas.openxmlformats.org/officeDocument/2006/relationships" ref="CG50" display="https://www.jarrow.com/product/452/citicoline-cdp-choline" r:id="rId2890"/>
    <hyperlink xmlns:r="http://schemas.openxmlformats.org/officeDocument/2006/relationships" ref="CH50" display="https://www.jarrow.com/product/452/citicoline-cdp-choline" r:id="rId2891"/>
    <hyperlink xmlns:r="http://schemas.openxmlformats.org/officeDocument/2006/relationships" ref="CI50" display="https://www.jarrow.com/product/452/citicoline-cdp-choline" r:id="rId2892"/>
    <hyperlink xmlns:r="http://schemas.openxmlformats.org/officeDocument/2006/relationships" ref="CJ50" display="https://www.jarrow.com/product/452/citicoline-cdp-choline" r:id="rId2893"/>
    <hyperlink xmlns:r="http://schemas.openxmlformats.org/officeDocument/2006/relationships" ref="CK50" display="https://www.jarrow.com/product/452/citicoline-cdp-choline" r:id="rId2894"/>
    <hyperlink xmlns:r="http://schemas.openxmlformats.org/officeDocument/2006/relationships" ref="CL50" display="https://www.jarrow.com/product/452/citicoline-cdp-choline" r:id="rId2895"/>
    <hyperlink xmlns:r="http://schemas.openxmlformats.org/officeDocument/2006/relationships" ref="CM50" display="https://www.jarrow.com/product/452/citicoline-cdp-choline" r:id="rId2896"/>
    <hyperlink xmlns:r="http://schemas.openxmlformats.org/officeDocument/2006/relationships" ref="CN50" display="https://www.jarrow.com/product/452/citicoline-cdp-choline" r:id="rId2897"/>
    <hyperlink xmlns:r="http://schemas.openxmlformats.org/officeDocument/2006/relationships" ref="CO50" display="https://www.jarrow.com/product/452/citicoline-cdp-choline" r:id="rId2898"/>
    <hyperlink xmlns:r="http://schemas.openxmlformats.org/officeDocument/2006/relationships" ref="CP50" display="https://www.jarrow.com/product/452/citicoline-cdp-choline" r:id="rId2899"/>
    <hyperlink xmlns:r="http://schemas.openxmlformats.org/officeDocument/2006/relationships" ref="CQ50" display="https://www.jarrow.com/product/452/citicoline-cdp-choline" r:id="rId2900"/>
    <hyperlink xmlns:r="http://schemas.openxmlformats.org/officeDocument/2006/relationships" ref="CR50" display="https://www.jarrow.com/product/452/citicoline-cdp-choline" r:id="rId2901"/>
    <hyperlink xmlns:r="http://schemas.openxmlformats.org/officeDocument/2006/relationships" ref="CS50" display="https://www.jarrow.com/product/452/citicoline-cdp-choline" r:id="rId2902"/>
    <hyperlink xmlns:r="http://schemas.openxmlformats.org/officeDocument/2006/relationships" ref="CT50" display="https://www.jarrow.com/product/452/citicoline-cdp-choline" r:id="rId2903"/>
    <hyperlink xmlns:r="http://schemas.openxmlformats.org/officeDocument/2006/relationships" ref="CU50" display="https://www.jarrow.com/product/452/citicoline-cdp-choline" r:id="rId2904"/>
    <hyperlink xmlns:r="http://schemas.openxmlformats.org/officeDocument/2006/relationships" ref="CV50" display="https://www.jarrow.com/product/452/citicoline-cdp-choline" r:id="rId2905"/>
    <hyperlink xmlns:r="http://schemas.openxmlformats.org/officeDocument/2006/relationships" ref="O51" display="https://www.qunol.com/products/ultra-coq10" r:id="rId2906"/>
    <hyperlink xmlns:r="http://schemas.openxmlformats.org/officeDocument/2006/relationships" ref="P51" display="https://www.qunol.com/products/ultra-coq10" r:id="rId2907"/>
    <hyperlink xmlns:r="http://schemas.openxmlformats.org/officeDocument/2006/relationships" ref="Q51" display="https://www.qunol.com/products/ultra-coq10" r:id="rId2908"/>
    <hyperlink xmlns:r="http://schemas.openxmlformats.org/officeDocument/2006/relationships" ref="R51" display="https://www.qunol.com/products/ultra-coq10" r:id="rId2909"/>
    <hyperlink xmlns:r="http://schemas.openxmlformats.org/officeDocument/2006/relationships" ref="S51" display="https://www.qunol.com/products/ultra-coq10" r:id="rId2910"/>
    <hyperlink xmlns:r="http://schemas.openxmlformats.org/officeDocument/2006/relationships" ref="T51" display="https://www.qunol.com/products/ultra-coq10" r:id="rId2911"/>
    <hyperlink xmlns:r="http://schemas.openxmlformats.org/officeDocument/2006/relationships" ref="U51" display="https://www.qunol.com/products/ultra-coq10" r:id="rId2912"/>
    <hyperlink xmlns:r="http://schemas.openxmlformats.org/officeDocument/2006/relationships" ref="W51" display="https://www.qunol.com/products/ultra-coq10" r:id="rId2913"/>
    <hyperlink xmlns:r="http://schemas.openxmlformats.org/officeDocument/2006/relationships" ref="X51" display="https://www.qunol.com/products/ultra-coq10" r:id="rId2914"/>
    <hyperlink xmlns:r="http://schemas.openxmlformats.org/officeDocument/2006/relationships" ref="Y51" display="https://www.qunol.com/products/ultra-coq10" r:id="rId2915"/>
    <hyperlink xmlns:r="http://schemas.openxmlformats.org/officeDocument/2006/relationships" ref="Z51" display="https://www.qunol.com/products/ultra-coq10" r:id="rId2916"/>
    <hyperlink xmlns:r="http://schemas.openxmlformats.org/officeDocument/2006/relationships" ref="AA51" display="https://www.qunol.com/products/ultra-coq10" r:id="rId2917"/>
    <hyperlink xmlns:r="http://schemas.openxmlformats.org/officeDocument/2006/relationships" ref="AB51" display="https://www.qunol.com/products/ultra-coq10" r:id="rId2918"/>
    <hyperlink xmlns:r="http://schemas.openxmlformats.org/officeDocument/2006/relationships" ref="AC51" display="https://www.qunol.com/products/ultra-coq10" r:id="rId2919"/>
    <hyperlink xmlns:r="http://schemas.openxmlformats.org/officeDocument/2006/relationships" ref="AD51" display="https://www.qunol.com/products/ultra-coq10" r:id="rId2920"/>
    <hyperlink xmlns:r="http://schemas.openxmlformats.org/officeDocument/2006/relationships" ref="AE51" display="https://www.qunol.com/products/ultra-coq10" r:id="rId2921"/>
    <hyperlink xmlns:r="http://schemas.openxmlformats.org/officeDocument/2006/relationships" ref="AF51" display="https://www.qunol.com/products/ultra-coq10" r:id="rId2922"/>
    <hyperlink xmlns:r="http://schemas.openxmlformats.org/officeDocument/2006/relationships" ref="AH51" display="https://www.qunol.com/products/ultra-coq10" r:id="rId2923"/>
    <hyperlink xmlns:r="http://schemas.openxmlformats.org/officeDocument/2006/relationships" ref="AJ51" display="https://www.qunol.com/products/ultra-coq10" r:id="rId2924"/>
    <hyperlink xmlns:r="http://schemas.openxmlformats.org/officeDocument/2006/relationships" ref="AK51" display="https://www.qunol.com/products/ultra-coq10" r:id="rId2925"/>
    <hyperlink xmlns:r="http://schemas.openxmlformats.org/officeDocument/2006/relationships" ref="AL51" display="https://www.qunol.com/products/ultra-coq10" r:id="rId2926"/>
    <hyperlink xmlns:r="http://schemas.openxmlformats.org/officeDocument/2006/relationships" ref="AM51" display="https://www.qunol.com/products/ultra-coq10" r:id="rId2927"/>
    <hyperlink xmlns:r="http://schemas.openxmlformats.org/officeDocument/2006/relationships" ref="AN51" display="https://www.qunol.com/products/ultra-coq10" r:id="rId2928"/>
    <hyperlink xmlns:r="http://schemas.openxmlformats.org/officeDocument/2006/relationships" ref="AO51" display="https://www.qunol.com/products/ultra-coq10" r:id="rId2929"/>
    <hyperlink xmlns:r="http://schemas.openxmlformats.org/officeDocument/2006/relationships" ref="AP51" display="https://www.qunol.com/products/ultra-coq10" r:id="rId2930"/>
    <hyperlink xmlns:r="http://schemas.openxmlformats.org/officeDocument/2006/relationships" ref="AQ51" display="https://www.qunol.com/products/ultra-coq10" r:id="rId2931"/>
    <hyperlink xmlns:r="http://schemas.openxmlformats.org/officeDocument/2006/relationships" ref="AR51" display="https://www.qunol.com/products/ultra-coq10" r:id="rId2932"/>
    <hyperlink xmlns:r="http://schemas.openxmlformats.org/officeDocument/2006/relationships" ref="AS51" display="https://www.qunol.com/products/ultra-coq10" r:id="rId2933"/>
    <hyperlink xmlns:r="http://schemas.openxmlformats.org/officeDocument/2006/relationships" ref="AT51" display="https://www.qunol.com/products/ultra-coq10" r:id="rId2934"/>
    <hyperlink xmlns:r="http://schemas.openxmlformats.org/officeDocument/2006/relationships" ref="AU51" display="https://www.qunol.com/products/ultra-coq10" r:id="rId2935"/>
    <hyperlink xmlns:r="http://schemas.openxmlformats.org/officeDocument/2006/relationships" ref="AV51" display="https://www.qunol.com/products/ultra-coq10" r:id="rId2936"/>
    <hyperlink xmlns:r="http://schemas.openxmlformats.org/officeDocument/2006/relationships" ref="AW51" display="https://www.qunol.com/products/ultra-coq10" r:id="rId2937"/>
    <hyperlink xmlns:r="http://schemas.openxmlformats.org/officeDocument/2006/relationships" ref="AX51" display="https://www.qunol.com/products/ultra-coq10" r:id="rId2938"/>
    <hyperlink xmlns:r="http://schemas.openxmlformats.org/officeDocument/2006/relationships" ref="AY51" display="https://www.qunol.com/products/ultra-coq10" r:id="rId2939"/>
    <hyperlink xmlns:r="http://schemas.openxmlformats.org/officeDocument/2006/relationships" ref="AZ51" display="https://www.qunol.com/products/ultra-coq10" r:id="rId2940"/>
    <hyperlink xmlns:r="http://schemas.openxmlformats.org/officeDocument/2006/relationships" ref="BA51" display="https://www.qunol.com/products/ultra-coq10" r:id="rId2941"/>
    <hyperlink xmlns:r="http://schemas.openxmlformats.org/officeDocument/2006/relationships" ref="BB51" display="https://www.qunol.com/products/ultra-coq10" r:id="rId2942"/>
    <hyperlink xmlns:r="http://schemas.openxmlformats.org/officeDocument/2006/relationships" ref="BC51" display="https://www.qunol.com/products/ultra-coq10" r:id="rId2943"/>
    <hyperlink xmlns:r="http://schemas.openxmlformats.org/officeDocument/2006/relationships" ref="BD51" display="https://www.qunol.com/products/ultra-coq10" r:id="rId2944"/>
    <hyperlink xmlns:r="http://schemas.openxmlformats.org/officeDocument/2006/relationships" ref="BE51" display="https://www.qunol.com/products/ultra-coq10" r:id="rId2945"/>
    <hyperlink xmlns:r="http://schemas.openxmlformats.org/officeDocument/2006/relationships" ref="BF51" display="https://www.qunol.com/products/ultra-coq10" r:id="rId2946"/>
    <hyperlink xmlns:r="http://schemas.openxmlformats.org/officeDocument/2006/relationships" ref="BG51" display="https://www.qunol.com/products/ultra-coq10" r:id="rId2947"/>
    <hyperlink xmlns:r="http://schemas.openxmlformats.org/officeDocument/2006/relationships" ref="BH51" display="https://www.qunol.com/products/ultra-coq10" r:id="rId2948"/>
    <hyperlink xmlns:r="http://schemas.openxmlformats.org/officeDocument/2006/relationships" ref="BI51" display="https://www.qunol.com/products/ultra-coq10" r:id="rId2949"/>
    <hyperlink xmlns:r="http://schemas.openxmlformats.org/officeDocument/2006/relationships" ref="BJ51" display="https://www.qunol.com/products/ultra-coq10" r:id="rId2950"/>
    <hyperlink xmlns:r="http://schemas.openxmlformats.org/officeDocument/2006/relationships" ref="BK51" display="https://www.qunol.com/products/ultra-coq10" r:id="rId2951"/>
    <hyperlink xmlns:r="http://schemas.openxmlformats.org/officeDocument/2006/relationships" ref="BL51" display="https://www.qunol.com/products/ultra-coq10" r:id="rId2952"/>
    <hyperlink xmlns:r="http://schemas.openxmlformats.org/officeDocument/2006/relationships" ref="BM51" display="https://www.qunol.com/products/ultra-coq10" r:id="rId2953"/>
    <hyperlink xmlns:r="http://schemas.openxmlformats.org/officeDocument/2006/relationships" ref="BN51" display="https://www.qunol.com/products/ultra-coq10" r:id="rId2954"/>
    <hyperlink xmlns:r="http://schemas.openxmlformats.org/officeDocument/2006/relationships" ref="BO51" display="https://www.qunol.com/products/ultra-coq10" r:id="rId2955"/>
    <hyperlink xmlns:r="http://schemas.openxmlformats.org/officeDocument/2006/relationships" ref="BP51" display="https://www.qunol.com/products/ultra-coq10" r:id="rId2956"/>
    <hyperlink xmlns:r="http://schemas.openxmlformats.org/officeDocument/2006/relationships" ref="BQ51" display="https://www.qunol.com/products/ultra-coq10" r:id="rId2957"/>
    <hyperlink xmlns:r="http://schemas.openxmlformats.org/officeDocument/2006/relationships" ref="BR51" display="https://www.qunol.com/products/ultra-coq10" r:id="rId2958"/>
    <hyperlink xmlns:r="http://schemas.openxmlformats.org/officeDocument/2006/relationships" ref="BS51" display="https://www.qunol.com/products/ultra-coq10" r:id="rId2959"/>
    <hyperlink xmlns:r="http://schemas.openxmlformats.org/officeDocument/2006/relationships" ref="BT51" display="https://www.qunol.com/products/ultra-coq10" r:id="rId2960"/>
    <hyperlink xmlns:r="http://schemas.openxmlformats.org/officeDocument/2006/relationships" ref="BU51" display="https://www.qunol.com/products/ultra-coq10" r:id="rId2961"/>
    <hyperlink xmlns:r="http://schemas.openxmlformats.org/officeDocument/2006/relationships" ref="BV51" display="https://www.qunol.com/products/ultra-coq10" r:id="rId2962"/>
    <hyperlink xmlns:r="http://schemas.openxmlformats.org/officeDocument/2006/relationships" ref="BW51" display="https://www.qunol.com/products/ultra-coq10" r:id="rId2963"/>
    <hyperlink xmlns:r="http://schemas.openxmlformats.org/officeDocument/2006/relationships" ref="BX51" display="https://www.qunol.com/products/ultra-coq10" r:id="rId2964"/>
    <hyperlink xmlns:r="http://schemas.openxmlformats.org/officeDocument/2006/relationships" ref="BY51" display="https://www.qunol.com/products/ultra-coq10" r:id="rId2965"/>
    <hyperlink xmlns:r="http://schemas.openxmlformats.org/officeDocument/2006/relationships" ref="BZ51" display="https://www.qunol.com/products/ultra-coq10" r:id="rId2966"/>
    <hyperlink xmlns:r="http://schemas.openxmlformats.org/officeDocument/2006/relationships" ref="CA51" display="https://www.qunol.com/products/ultra-coq10" r:id="rId2967"/>
    <hyperlink xmlns:r="http://schemas.openxmlformats.org/officeDocument/2006/relationships" ref="CB51" display="https://www.qunol.com/products/ultra-coq10" r:id="rId2968"/>
    <hyperlink xmlns:r="http://schemas.openxmlformats.org/officeDocument/2006/relationships" ref="CC51" display="https://www.qunol.com/products/ultra-coq10" r:id="rId2969"/>
    <hyperlink xmlns:r="http://schemas.openxmlformats.org/officeDocument/2006/relationships" ref="CD51" display="https://www.qunol.com/products/ultra-coq10" r:id="rId2970"/>
    <hyperlink xmlns:r="http://schemas.openxmlformats.org/officeDocument/2006/relationships" ref="CE51" display="https://www.qunol.com/products/ultra-coq10" r:id="rId2971"/>
    <hyperlink xmlns:r="http://schemas.openxmlformats.org/officeDocument/2006/relationships" ref="CF51" display="https://www.qunol.com/products/ultra-coq10" r:id="rId2972"/>
    <hyperlink xmlns:r="http://schemas.openxmlformats.org/officeDocument/2006/relationships" ref="CG51" display="https://www.qunol.com/products/ultra-coq10" r:id="rId2973"/>
    <hyperlink xmlns:r="http://schemas.openxmlformats.org/officeDocument/2006/relationships" ref="CH51" display="https://www.qunol.com/products/ultra-coq10" r:id="rId2974"/>
    <hyperlink xmlns:r="http://schemas.openxmlformats.org/officeDocument/2006/relationships" ref="CI51" display="https://www.qunol.com/products/ultra-coq10" r:id="rId2975"/>
    <hyperlink xmlns:r="http://schemas.openxmlformats.org/officeDocument/2006/relationships" ref="CJ51" display="https://www.qunol.com/products/ultra-coq10" r:id="rId2976"/>
    <hyperlink xmlns:r="http://schemas.openxmlformats.org/officeDocument/2006/relationships" ref="CK51" display="https://www.qunol.com/products/ultra-coq10" r:id="rId2977"/>
    <hyperlink xmlns:r="http://schemas.openxmlformats.org/officeDocument/2006/relationships" ref="CL51" display="https://www.qunol.com/products/ultra-coq10" r:id="rId2978"/>
    <hyperlink xmlns:r="http://schemas.openxmlformats.org/officeDocument/2006/relationships" ref="CM51" display="https://www.qunol.com/products/ultra-coq10" r:id="rId2979"/>
    <hyperlink xmlns:r="http://schemas.openxmlformats.org/officeDocument/2006/relationships" ref="CN51" display="https://www.qunol.com/products/ultra-coq10" r:id="rId2980"/>
    <hyperlink xmlns:r="http://schemas.openxmlformats.org/officeDocument/2006/relationships" ref="CO51" display="https://www.qunol.com/products/ultra-coq10" r:id="rId2981"/>
    <hyperlink xmlns:r="http://schemas.openxmlformats.org/officeDocument/2006/relationships" ref="CP51" display="https://www.qunol.com/products/ultra-coq10" r:id="rId2982"/>
    <hyperlink xmlns:r="http://schemas.openxmlformats.org/officeDocument/2006/relationships" ref="CQ51" display="https://www.qunol.com/products/ultra-coq10" r:id="rId2983"/>
    <hyperlink xmlns:r="http://schemas.openxmlformats.org/officeDocument/2006/relationships" ref="CR51" display="https://www.qunol.com/products/ultra-coq10" r:id="rId2984"/>
    <hyperlink xmlns:r="http://schemas.openxmlformats.org/officeDocument/2006/relationships" ref="CS51" display="https://www.qunol.com/products/ultra-coq10" r:id="rId2985"/>
    <hyperlink xmlns:r="http://schemas.openxmlformats.org/officeDocument/2006/relationships" ref="CT51" display="https://www.qunol.com/products/ultra-coq10" r:id="rId2986"/>
    <hyperlink xmlns:r="http://schemas.openxmlformats.org/officeDocument/2006/relationships" ref="CU51" display="https://www.qunol.com/products/ultra-coq10" r:id="rId2987"/>
    <hyperlink xmlns:r="http://schemas.openxmlformats.org/officeDocument/2006/relationships" ref="CV51" display="https://www.qunol.com/products/ultra-coq10" r:id="rId2988"/>
    <hyperlink xmlns:r="http://schemas.openxmlformats.org/officeDocument/2006/relationships" ref="O52" display="https://www.innovixlabs.com/products/full-spectrum-vitamin-k2" r:id="rId2989"/>
    <hyperlink xmlns:r="http://schemas.openxmlformats.org/officeDocument/2006/relationships" ref="P52" display="https://www.innovixlabs.com/products/full-spectrum-vitamin-k2" r:id="rId2990"/>
    <hyperlink xmlns:r="http://schemas.openxmlformats.org/officeDocument/2006/relationships" ref="Q52" display="https://www.innovixlabs.com/products/full-spectrum-vitamin-k2" r:id="rId2991"/>
    <hyperlink xmlns:r="http://schemas.openxmlformats.org/officeDocument/2006/relationships" ref="R52" display="https://www.innovixlabs.com/products/full-spectrum-vitamin-k2" r:id="rId2992"/>
    <hyperlink xmlns:r="http://schemas.openxmlformats.org/officeDocument/2006/relationships" ref="S52" display="https://www.innovixlabs.com/products/full-spectrum-vitamin-k2" r:id="rId2993"/>
    <hyperlink xmlns:r="http://schemas.openxmlformats.org/officeDocument/2006/relationships" ref="T52" display="https://www.innovixlabs.com/products/full-spectrum-vitamin-k2" r:id="rId2994"/>
    <hyperlink xmlns:r="http://schemas.openxmlformats.org/officeDocument/2006/relationships" ref="U52" display="https://www.innovixlabs.com/products/full-spectrum-vitamin-k2" r:id="rId2995"/>
    <hyperlink xmlns:r="http://schemas.openxmlformats.org/officeDocument/2006/relationships" ref="W52" display="https://www.innovixlabs.com/products/full-spectrum-vitamin-k2" r:id="rId2996"/>
    <hyperlink xmlns:r="http://schemas.openxmlformats.org/officeDocument/2006/relationships" ref="X52" display="https://www.innovixlabs.com/products/full-spectrum-vitamin-k2" r:id="rId2997"/>
    <hyperlink xmlns:r="http://schemas.openxmlformats.org/officeDocument/2006/relationships" ref="Y52" display="https://www.innovixlabs.com/products/full-spectrum-vitamin-k2" r:id="rId2998"/>
    <hyperlink xmlns:r="http://schemas.openxmlformats.org/officeDocument/2006/relationships" ref="Z52" display="https://www.innovixlabs.com/products/full-spectrum-vitamin-k2" r:id="rId2999"/>
    <hyperlink xmlns:r="http://schemas.openxmlformats.org/officeDocument/2006/relationships" ref="AA52" display="https://www.innovixlabs.com/products/full-spectrum-vitamin-k2" r:id="rId3000"/>
    <hyperlink xmlns:r="http://schemas.openxmlformats.org/officeDocument/2006/relationships" ref="AB52" display="https://www.innovixlabs.com/products/full-spectrum-vitamin-k2" r:id="rId3001"/>
    <hyperlink xmlns:r="http://schemas.openxmlformats.org/officeDocument/2006/relationships" ref="AC52" display="https://www.innovixlabs.com/products/full-spectrum-vitamin-k2" r:id="rId3002"/>
    <hyperlink xmlns:r="http://schemas.openxmlformats.org/officeDocument/2006/relationships" ref="AD52" display="https://www.innovixlabs.com/products/full-spectrum-vitamin-k2" r:id="rId3003"/>
    <hyperlink xmlns:r="http://schemas.openxmlformats.org/officeDocument/2006/relationships" ref="AE52" display="https://www.innovixlabs.com/products/full-spectrum-vitamin-k2" r:id="rId3004"/>
    <hyperlink xmlns:r="http://schemas.openxmlformats.org/officeDocument/2006/relationships" ref="AF52" display="https://www.innovixlabs.com/products/full-spectrum-vitamin-k2" r:id="rId3005"/>
    <hyperlink xmlns:r="http://schemas.openxmlformats.org/officeDocument/2006/relationships" ref="AH52" display="https://www.innovixlabs.com/products/full-spectrum-vitamin-k2" r:id="rId3006"/>
    <hyperlink xmlns:r="http://schemas.openxmlformats.org/officeDocument/2006/relationships" ref="AJ52" display="https://www.innovixlabs.com/products/full-spectrum-vitamin-k2" r:id="rId3007"/>
    <hyperlink xmlns:r="http://schemas.openxmlformats.org/officeDocument/2006/relationships" ref="AK52" display="https://www.innovixlabs.com/products/full-spectrum-vitamin-k2" r:id="rId3008"/>
    <hyperlink xmlns:r="http://schemas.openxmlformats.org/officeDocument/2006/relationships" ref="AL52" display="https://www.innovixlabs.com/products/full-spectrum-vitamin-k2" r:id="rId3009"/>
    <hyperlink xmlns:r="http://schemas.openxmlformats.org/officeDocument/2006/relationships" ref="AM52" display="https://www.innovixlabs.com/products/full-spectrum-vitamin-k2" r:id="rId3010"/>
    <hyperlink xmlns:r="http://schemas.openxmlformats.org/officeDocument/2006/relationships" ref="AN52" display="https://www.innovixlabs.com/products/full-spectrum-vitamin-k2" r:id="rId3011"/>
    <hyperlink xmlns:r="http://schemas.openxmlformats.org/officeDocument/2006/relationships" ref="AO52" display="https://www.innovixlabs.com/products/full-spectrum-vitamin-k2" r:id="rId3012"/>
    <hyperlink xmlns:r="http://schemas.openxmlformats.org/officeDocument/2006/relationships" ref="AP52" display="https://www.innovixlabs.com/products/full-spectrum-vitamin-k2" r:id="rId3013"/>
    <hyperlink xmlns:r="http://schemas.openxmlformats.org/officeDocument/2006/relationships" ref="AQ52" display="https://www.innovixlabs.com/products/full-spectrum-vitamin-k2" r:id="rId3014"/>
    <hyperlink xmlns:r="http://schemas.openxmlformats.org/officeDocument/2006/relationships" ref="AR52" display="https://www.innovixlabs.com/products/full-spectrum-vitamin-k2" r:id="rId3015"/>
    <hyperlink xmlns:r="http://schemas.openxmlformats.org/officeDocument/2006/relationships" ref="AS52" display="https://www.innovixlabs.com/products/full-spectrum-vitamin-k2" r:id="rId3016"/>
    <hyperlink xmlns:r="http://schemas.openxmlformats.org/officeDocument/2006/relationships" ref="AT52" display="https://www.innovixlabs.com/products/full-spectrum-vitamin-k2" r:id="rId3017"/>
    <hyperlink xmlns:r="http://schemas.openxmlformats.org/officeDocument/2006/relationships" ref="AU52" display="https://www.innovixlabs.com/products/full-spectrum-vitamin-k2" r:id="rId3018"/>
    <hyperlink xmlns:r="http://schemas.openxmlformats.org/officeDocument/2006/relationships" ref="AV52" display="https://www.innovixlabs.com/products/full-spectrum-vitamin-k2" r:id="rId3019"/>
    <hyperlink xmlns:r="http://schemas.openxmlformats.org/officeDocument/2006/relationships" ref="AW52" display="https://www.innovixlabs.com/products/full-spectrum-vitamin-k2" r:id="rId3020"/>
    <hyperlink xmlns:r="http://schemas.openxmlformats.org/officeDocument/2006/relationships" ref="AX52" display="https://www.innovixlabs.com/products/full-spectrum-vitamin-k2" r:id="rId3021"/>
    <hyperlink xmlns:r="http://schemas.openxmlformats.org/officeDocument/2006/relationships" ref="AY52" display="https://www.innovixlabs.com/products/full-spectrum-vitamin-k2" r:id="rId3022"/>
    <hyperlink xmlns:r="http://schemas.openxmlformats.org/officeDocument/2006/relationships" ref="AZ52" display="https://www.innovixlabs.com/products/full-spectrum-vitamin-k2" r:id="rId3023"/>
    <hyperlink xmlns:r="http://schemas.openxmlformats.org/officeDocument/2006/relationships" ref="BA52" display="https://www.innovixlabs.com/products/full-spectrum-vitamin-k2" r:id="rId3024"/>
    <hyperlink xmlns:r="http://schemas.openxmlformats.org/officeDocument/2006/relationships" ref="BB52" display="https://www.innovixlabs.com/products/full-spectrum-vitamin-k2" r:id="rId3025"/>
    <hyperlink xmlns:r="http://schemas.openxmlformats.org/officeDocument/2006/relationships" ref="BC52" display="https://www.innovixlabs.com/products/full-spectrum-vitamin-k2" r:id="rId3026"/>
    <hyperlink xmlns:r="http://schemas.openxmlformats.org/officeDocument/2006/relationships" ref="BD52" display="https://www.innovixlabs.com/products/full-spectrum-vitamin-k2" r:id="rId3027"/>
    <hyperlink xmlns:r="http://schemas.openxmlformats.org/officeDocument/2006/relationships" ref="BE52" display="https://www.innovixlabs.com/products/full-spectrum-vitamin-k2" r:id="rId3028"/>
    <hyperlink xmlns:r="http://schemas.openxmlformats.org/officeDocument/2006/relationships" ref="BF52" display="https://www.innovixlabs.com/products/full-spectrum-vitamin-k2" r:id="rId3029"/>
    <hyperlink xmlns:r="http://schemas.openxmlformats.org/officeDocument/2006/relationships" ref="BG52" display="https://www.innovixlabs.com/products/full-spectrum-vitamin-k2" r:id="rId3030"/>
    <hyperlink xmlns:r="http://schemas.openxmlformats.org/officeDocument/2006/relationships" ref="BH52" display="https://www.innovixlabs.com/products/full-spectrum-vitamin-k2" r:id="rId3031"/>
    <hyperlink xmlns:r="http://schemas.openxmlformats.org/officeDocument/2006/relationships" ref="BI52" display="https://www.innovixlabs.com/products/full-spectrum-vitamin-k2" r:id="rId3032"/>
    <hyperlink xmlns:r="http://schemas.openxmlformats.org/officeDocument/2006/relationships" ref="BJ52" display="https://www.innovixlabs.com/products/full-spectrum-vitamin-k2" r:id="rId3033"/>
    <hyperlink xmlns:r="http://schemas.openxmlformats.org/officeDocument/2006/relationships" ref="BK52" display="https://www.innovixlabs.com/products/full-spectrum-vitamin-k2" r:id="rId3034"/>
    <hyperlink xmlns:r="http://schemas.openxmlformats.org/officeDocument/2006/relationships" ref="BL52" display="https://www.innovixlabs.com/products/full-spectrum-vitamin-k2" r:id="rId3035"/>
    <hyperlink xmlns:r="http://schemas.openxmlformats.org/officeDocument/2006/relationships" ref="BM52" display="https://www.innovixlabs.com/products/full-spectrum-vitamin-k2" r:id="rId3036"/>
    <hyperlink xmlns:r="http://schemas.openxmlformats.org/officeDocument/2006/relationships" ref="BN52" display="https://www.innovixlabs.com/products/full-spectrum-vitamin-k2" r:id="rId3037"/>
    <hyperlink xmlns:r="http://schemas.openxmlformats.org/officeDocument/2006/relationships" ref="BO52" display="https://www.innovixlabs.com/products/full-spectrum-vitamin-k2" r:id="rId3038"/>
    <hyperlink xmlns:r="http://schemas.openxmlformats.org/officeDocument/2006/relationships" ref="BP52" display="https://www.innovixlabs.com/products/full-spectrum-vitamin-k2" r:id="rId3039"/>
    <hyperlink xmlns:r="http://schemas.openxmlformats.org/officeDocument/2006/relationships" ref="BQ52" display="https://www.innovixlabs.com/products/full-spectrum-vitamin-k2" r:id="rId3040"/>
    <hyperlink xmlns:r="http://schemas.openxmlformats.org/officeDocument/2006/relationships" ref="BR52" display="https://www.innovixlabs.com/products/full-spectrum-vitamin-k2" r:id="rId3041"/>
    <hyperlink xmlns:r="http://schemas.openxmlformats.org/officeDocument/2006/relationships" ref="BS52" display="https://www.innovixlabs.com/products/full-spectrum-vitamin-k2" r:id="rId3042"/>
    <hyperlink xmlns:r="http://schemas.openxmlformats.org/officeDocument/2006/relationships" ref="BT52" display="https://www.innovixlabs.com/products/full-spectrum-vitamin-k2" r:id="rId3043"/>
    <hyperlink xmlns:r="http://schemas.openxmlformats.org/officeDocument/2006/relationships" ref="BU52" display="https://www.innovixlabs.com/products/full-spectrum-vitamin-k2" r:id="rId3044"/>
    <hyperlink xmlns:r="http://schemas.openxmlformats.org/officeDocument/2006/relationships" ref="BV52" display="https://www.innovixlabs.com/products/full-spectrum-vitamin-k2" r:id="rId3045"/>
    <hyperlink xmlns:r="http://schemas.openxmlformats.org/officeDocument/2006/relationships" ref="BW52" display="https://www.innovixlabs.com/products/full-spectrum-vitamin-k2" r:id="rId3046"/>
    <hyperlink xmlns:r="http://schemas.openxmlformats.org/officeDocument/2006/relationships" ref="BX52" display="https://www.innovixlabs.com/products/full-spectrum-vitamin-k2" r:id="rId3047"/>
    <hyperlink xmlns:r="http://schemas.openxmlformats.org/officeDocument/2006/relationships" ref="BY52" display="https://www.innovixlabs.com/products/full-spectrum-vitamin-k2" r:id="rId3048"/>
    <hyperlink xmlns:r="http://schemas.openxmlformats.org/officeDocument/2006/relationships" ref="BZ52" display="https://www.innovixlabs.com/products/full-spectrum-vitamin-k2" r:id="rId3049"/>
    <hyperlink xmlns:r="http://schemas.openxmlformats.org/officeDocument/2006/relationships" ref="CA52" display="https://www.innovixlabs.com/products/full-spectrum-vitamin-k2" r:id="rId3050"/>
    <hyperlink xmlns:r="http://schemas.openxmlformats.org/officeDocument/2006/relationships" ref="CB52" display="https://www.innovixlabs.com/products/full-spectrum-vitamin-k2" r:id="rId3051"/>
    <hyperlink xmlns:r="http://schemas.openxmlformats.org/officeDocument/2006/relationships" ref="CC52" display="https://www.innovixlabs.com/products/full-spectrum-vitamin-k2" r:id="rId3052"/>
    <hyperlink xmlns:r="http://schemas.openxmlformats.org/officeDocument/2006/relationships" ref="CD52" display="https://www.innovixlabs.com/products/full-spectrum-vitamin-k2" r:id="rId3053"/>
    <hyperlink xmlns:r="http://schemas.openxmlformats.org/officeDocument/2006/relationships" ref="CE52" display="https://www.innovixlabs.com/products/full-spectrum-vitamin-k2" r:id="rId3054"/>
    <hyperlink xmlns:r="http://schemas.openxmlformats.org/officeDocument/2006/relationships" ref="CF52" display="https://www.innovixlabs.com/products/full-spectrum-vitamin-k2" r:id="rId3055"/>
    <hyperlink xmlns:r="http://schemas.openxmlformats.org/officeDocument/2006/relationships" ref="CG52" display="https://www.innovixlabs.com/products/full-spectrum-vitamin-k2" r:id="rId3056"/>
    <hyperlink xmlns:r="http://schemas.openxmlformats.org/officeDocument/2006/relationships" ref="CH52" display="https://www.innovixlabs.com/products/full-spectrum-vitamin-k2" r:id="rId3057"/>
    <hyperlink xmlns:r="http://schemas.openxmlformats.org/officeDocument/2006/relationships" ref="CI52" display="https://www.innovixlabs.com/products/full-spectrum-vitamin-k2" r:id="rId3058"/>
    <hyperlink xmlns:r="http://schemas.openxmlformats.org/officeDocument/2006/relationships" ref="CJ52" display="https://www.innovixlabs.com/products/full-spectrum-vitamin-k2" r:id="rId3059"/>
    <hyperlink xmlns:r="http://schemas.openxmlformats.org/officeDocument/2006/relationships" ref="CK52" display="https://www.innovixlabs.com/products/full-spectrum-vitamin-k2" r:id="rId3060"/>
    <hyperlink xmlns:r="http://schemas.openxmlformats.org/officeDocument/2006/relationships" ref="CL52" display="https://www.innovixlabs.com/products/full-spectrum-vitamin-k2" r:id="rId3061"/>
    <hyperlink xmlns:r="http://schemas.openxmlformats.org/officeDocument/2006/relationships" ref="CM52" display="https://www.innovixlabs.com/products/full-spectrum-vitamin-k2" r:id="rId3062"/>
    <hyperlink xmlns:r="http://schemas.openxmlformats.org/officeDocument/2006/relationships" ref="CN52" display="https://www.innovixlabs.com/products/full-spectrum-vitamin-k2" r:id="rId3063"/>
    <hyperlink xmlns:r="http://schemas.openxmlformats.org/officeDocument/2006/relationships" ref="CO52" display="https://www.innovixlabs.com/products/full-spectrum-vitamin-k2" r:id="rId3064"/>
    <hyperlink xmlns:r="http://schemas.openxmlformats.org/officeDocument/2006/relationships" ref="CP52" display="https://www.innovixlabs.com/products/full-spectrum-vitamin-k2" r:id="rId3065"/>
    <hyperlink xmlns:r="http://schemas.openxmlformats.org/officeDocument/2006/relationships" ref="CQ52" display="https://www.innovixlabs.com/products/full-spectrum-vitamin-k2" r:id="rId3066"/>
    <hyperlink xmlns:r="http://schemas.openxmlformats.org/officeDocument/2006/relationships" ref="CR52" display="https://www.innovixlabs.com/products/full-spectrum-vitamin-k2" r:id="rId3067"/>
    <hyperlink xmlns:r="http://schemas.openxmlformats.org/officeDocument/2006/relationships" ref="CS52" display="https://www.innovixlabs.com/products/full-spectrum-vitamin-k2" r:id="rId3068"/>
    <hyperlink xmlns:r="http://schemas.openxmlformats.org/officeDocument/2006/relationships" ref="CT52" display="https://www.innovixlabs.com/products/full-spectrum-vitamin-k2" r:id="rId3069"/>
    <hyperlink xmlns:r="http://schemas.openxmlformats.org/officeDocument/2006/relationships" ref="CU52" display="https://www.innovixlabs.com/products/full-spectrum-vitamin-k2" r:id="rId3070"/>
    <hyperlink xmlns:r="http://schemas.openxmlformats.org/officeDocument/2006/relationships" ref="CV52" display="https://www.innovixlabs.com/products/full-spectrum-vitamin-k2" r:id="rId3071"/>
    <hyperlink xmlns:r="http://schemas.openxmlformats.org/officeDocument/2006/relationships" ref="O53" display="https://www.seekinghealth.com/products/lithium-orotate-5-mg" r:id="rId3072"/>
    <hyperlink xmlns:r="http://schemas.openxmlformats.org/officeDocument/2006/relationships" ref="P53" display="https://www.seekinghealth.com/products/lithium-orotate-5-mg" r:id="rId3073"/>
    <hyperlink xmlns:r="http://schemas.openxmlformats.org/officeDocument/2006/relationships" ref="Q53" display="https://www.seekinghealth.com/products/lithium-orotate-5-mg" r:id="rId3074"/>
    <hyperlink xmlns:r="http://schemas.openxmlformats.org/officeDocument/2006/relationships" ref="R53" display="https://www.seekinghealth.com/products/lithium-orotate-5-mg" r:id="rId3075"/>
    <hyperlink xmlns:r="http://schemas.openxmlformats.org/officeDocument/2006/relationships" ref="S53" display="https://www.seekinghealth.com/products/lithium-orotate-5-mg" r:id="rId3076"/>
    <hyperlink xmlns:r="http://schemas.openxmlformats.org/officeDocument/2006/relationships" ref="T53" display="https://www.seekinghealth.com/products/lithium-orotate-5-mg" r:id="rId3077"/>
    <hyperlink xmlns:r="http://schemas.openxmlformats.org/officeDocument/2006/relationships" ref="U53" display="https://www.seekinghealth.com/products/lithium-orotate-5-mg" r:id="rId3078"/>
    <hyperlink xmlns:r="http://schemas.openxmlformats.org/officeDocument/2006/relationships" ref="W53" display="https://www.seekinghealth.com/products/lithium-orotate-5-mg" r:id="rId3079"/>
    <hyperlink xmlns:r="http://schemas.openxmlformats.org/officeDocument/2006/relationships" ref="X53" display="https://www.seekinghealth.com/products/lithium-orotate-5-mg" r:id="rId3080"/>
    <hyperlink xmlns:r="http://schemas.openxmlformats.org/officeDocument/2006/relationships" ref="Y53" display="https://www.seekinghealth.com/products/lithium-orotate-5-mg" r:id="rId3081"/>
    <hyperlink xmlns:r="http://schemas.openxmlformats.org/officeDocument/2006/relationships" ref="Z53" display="https://www.seekinghealth.com/products/lithium-orotate-5-mg" r:id="rId3082"/>
    <hyperlink xmlns:r="http://schemas.openxmlformats.org/officeDocument/2006/relationships" ref="AA53" display="https://www.seekinghealth.com/products/lithium-orotate-5-mg" r:id="rId3083"/>
    <hyperlink xmlns:r="http://schemas.openxmlformats.org/officeDocument/2006/relationships" ref="AB53" display="https://www.seekinghealth.com/products/lithium-orotate-5-mg" r:id="rId3084"/>
    <hyperlink xmlns:r="http://schemas.openxmlformats.org/officeDocument/2006/relationships" ref="AC53" display="https://www.seekinghealth.com/products/lithium-orotate-5-mg" r:id="rId3085"/>
    <hyperlink xmlns:r="http://schemas.openxmlformats.org/officeDocument/2006/relationships" ref="AD53" display="https://www.seekinghealth.com/products/lithium-orotate-5-mg" r:id="rId3086"/>
    <hyperlink xmlns:r="http://schemas.openxmlformats.org/officeDocument/2006/relationships" ref="AE53" display="https://www.seekinghealth.com/products/lithium-orotate-5-mg" r:id="rId3087"/>
    <hyperlink xmlns:r="http://schemas.openxmlformats.org/officeDocument/2006/relationships" ref="AF53" display="https://www.seekinghealth.com/products/lithium-orotate-5-mg" r:id="rId3088"/>
    <hyperlink xmlns:r="http://schemas.openxmlformats.org/officeDocument/2006/relationships" ref="AH53" display="https://www.seekinghealth.com/products/lithium-orotate-5-mg" r:id="rId3089"/>
    <hyperlink xmlns:r="http://schemas.openxmlformats.org/officeDocument/2006/relationships" ref="AJ53" display="https://www.seekinghealth.com/products/lithium-orotate-5-mg" r:id="rId3090"/>
    <hyperlink xmlns:r="http://schemas.openxmlformats.org/officeDocument/2006/relationships" ref="AK53" display="https://www.seekinghealth.com/products/lithium-orotate-5-mg" r:id="rId3091"/>
    <hyperlink xmlns:r="http://schemas.openxmlformats.org/officeDocument/2006/relationships" ref="AL53" display="https://www.seekinghealth.com/products/lithium-orotate-5-mg" r:id="rId3092"/>
    <hyperlink xmlns:r="http://schemas.openxmlformats.org/officeDocument/2006/relationships" ref="AM53" display="https://www.seekinghealth.com/products/lithium-orotate-5-mg" r:id="rId3093"/>
    <hyperlink xmlns:r="http://schemas.openxmlformats.org/officeDocument/2006/relationships" ref="AN53" display="https://www.seekinghealth.com/products/lithium-orotate-5-mg" r:id="rId3094"/>
    <hyperlink xmlns:r="http://schemas.openxmlformats.org/officeDocument/2006/relationships" ref="AO53" display="https://www.seekinghealth.com/products/lithium-orotate-5-mg" r:id="rId3095"/>
    <hyperlink xmlns:r="http://schemas.openxmlformats.org/officeDocument/2006/relationships" ref="AP53" display="https://www.seekinghealth.com/products/lithium-orotate-5-mg" r:id="rId3096"/>
    <hyperlink xmlns:r="http://schemas.openxmlformats.org/officeDocument/2006/relationships" ref="AQ53" display="https://www.seekinghealth.com/products/lithium-orotate-5-mg" r:id="rId3097"/>
    <hyperlink xmlns:r="http://schemas.openxmlformats.org/officeDocument/2006/relationships" ref="AR53" display="https://www.seekinghealth.com/products/lithium-orotate-5-mg" r:id="rId3098"/>
    <hyperlink xmlns:r="http://schemas.openxmlformats.org/officeDocument/2006/relationships" ref="AS53" display="https://www.seekinghealth.com/products/lithium-orotate-5-mg" r:id="rId3099"/>
    <hyperlink xmlns:r="http://schemas.openxmlformats.org/officeDocument/2006/relationships" ref="AT53" display="https://www.seekinghealth.com/products/lithium-orotate-5-mg" r:id="rId3100"/>
    <hyperlink xmlns:r="http://schemas.openxmlformats.org/officeDocument/2006/relationships" ref="AU53" display="https://www.seekinghealth.com/products/lithium-orotate-5-mg" r:id="rId3101"/>
    <hyperlink xmlns:r="http://schemas.openxmlformats.org/officeDocument/2006/relationships" ref="AV53" display="https://www.seekinghealth.com/products/lithium-orotate-5-mg" r:id="rId3102"/>
    <hyperlink xmlns:r="http://schemas.openxmlformats.org/officeDocument/2006/relationships" ref="AW53" display="https://www.seekinghealth.com/products/lithium-orotate-5-mg" r:id="rId3103"/>
    <hyperlink xmlns:r="http://schemas.openxmlformats.org/officeDocument/2006/relationships" ref="AX53" display="https://www.seekinghealth.com/products/lithium-orotate-5-mg" r:id="rId3104"/>
    <hyperlink xmlns:r="http://schemas.openxmlformats.org/officeDocument/2006/relationships" ref="AY53" display="https://www.seekinghealth.com/products/lithium-orotate-5-mg" r:id="rId3105"/>
    <hyperlink xmlns:r="http://schemas.openxmlformats.org/officeDocument/2006/relationships" ref="AZ53" display="https://www.seekinghealth.com/products/lithium-orotate-5-mg" r:id="rId3106"/>
    <hyperlink xmlns:r="http://schemas.openxmlformats.org/officeDocument/2006/relationships" ref="BA53" display="https://www.seekinghealth.com/products/lithium-orotate-5-mg" r:id="rId3107"/>
    <hyperlink xmlns:r="http://schemas.openxmlformats.org/officeDocument/2006/relationships" ref="BB53" display="https://www.seekinghealth.com/products/lithium-orotate-5-mg" r:id="rId3108"/>
    <hyperlink xmlns:r="http://schemas.openxmlformats.org/officeDocument/2006/relationships" ref="BC53" display="https://www.seekinghealth.com/products/lithium-orotate-5-mg" r:id="rId3109"/>
    <hyperlink xmlns:r="http://schemas.openxmlformats.org/officeDocument/2006/relationships" ref="BD53" display="https://www.seekinghealth.com/products/lithium-orotate-5-mg" r:id="rId3110"/>
    <hyperlink xmlns:r="http://schemas.openxmlformats.org/officeDocument/2006/relationships" ref="BE53" display="https://www.seekinghealth.com/products/lithium-orotate-5-mg" r:id="rId3111"/>
    <hyperlink xmlns:r="http://schemas.openxmlformats.org/officeDocument/2006/relationships" ref="BF53" display="https://www.seekinghealth.com/products/lithium-orotate-5-mg" r:id="rId3112"/>
    <hyperlink xmlns:r="http://schemas.openxmlformats.org/officeDocument/2006/relationships" ref="BG53" display="https://www.seekinghealth.com/products/lithium-orotate-5-mg" r:id="rId3113"/>
    <hyperlink xmlns:r="http://schemas.openxmlformats.org/officeDocument/2006/relationships" ref="BH53" display="https://www.seekinghealth.com/products/lithium-orotate-5-mg" r:id="rId3114"/>
    <hyperlink xmlns:r="http://schemas.openxmlformats.org/officeDocument/2006/relationships" ref="BI53" display="https://www.seekinghealth.com/products/lithium-orotate-5-mg" r:id="rId3115"/>
    <hyperlink xmlns:r="http://schemas.openxmlformats.org/officeDocument/2006/relationships" ref="BJ53" display="https://www.seekinghealth.com/products/lithium-orotate-5-mg" r:id="rId3116"/>
    <hyperlink xmlns:r="http://schemas.openxmlformats.org/officeDocument/2006/relationships" ref="BK53" display="https://www.seekinghealth.com/products/lithium-orotate-5-mg" r:id="rId3117"/>
    <hyperlink xmlns:r="http://schemas.openxmlformats.org/officeDocument/2006/relationships" ref="BL53" display="https://www.seekinghealth.com/products/lithium-orotate-5-mg" r:id="rId3118"/>
    <hyperlink xmlns:r="http://schemas.openxmlformats.org/officeDocument/2006/relationships" ref="BM53" display="https://www.seekinghealth.com/products/lithium-orotate-5-mg" r:id="rId3119"/>
    <hyperlink xmlns:r="http://schemas.openxmlformats.org/officeDocument/2006/relationships" ref="BN53" display="https://www.seekinghealth.com/products/lithium-orotate-5-mg" r:id="rId3120"/>
    <hyperlink xmlns:r="http://schemas.openxmlformats.org/officeDocument/2006/relationships" ref="BO53" display="https://www.seekinghealth.com/products/lithium-orotate-5-mg" r:id="rId3121"/>
    <hyperlink xmlns:r="http://schemas.openxmlformats.org/officeDocument/2006/relationships" ref="BP53" display="https://www.seekinghealth.com/products/lithium-orotate-5-mg" r:id="rId3122"/>
    <hyperlink xmlns:r="http://schemas.openxmlformats.org/officeDocument/2006/relationships" ref="BQ53" display="https://www.seekinghealth.com/products/lithium-orotate-5-mg" r:id="rId3123"/>
    <hyperlink xmlns:r="http://schemas.openxmlformats.org/officeDocument/2006/relationships" ref="BR53" display="https://www.seekinghealth.com/products/lithium-orotate-5-mg" r:id="rId3124"/>
    <hyperlink xmlns:r="http://schemas.openxmlformats.org/officeDocument/2006/relationships" ref="BS53" display="https://www.seekinghealth.com/products/lithium-orotate-5-mg" r:id="rId3125"/>
    <hyperlink xmlns:r="http://schemas.openxmlformats.org/officeDocument/2006/relationships" ref="BT53" display="https://www.seekinghealth.com/products/lithium-orotate-5-mg" r:id="rId3126"/>
    <hyperlink xmlns:r="http://schemas.openxmlformats.org/officeDocument/2006/relationships" ref="BU53" display="https://www.seekinghealth.com/products/lithium-orotate-5-mg" r:id="rId3127"/>
    <hyperlink xmlns:r="http://schemas.openxmlformats.org/officeDocument/2006/relationships" ref="BV53" display="https://www.seekinghealth.com/products/lithium-orotate-5-mg" r:id="rId3128"/>
    <hyperlink xmlns:r="http://schemas.openxmlformats.org/officeDocument/2006/relationships" ref="BW53" display="https://www.seekinghealth.com/products/lithium-orotate-5-mg" r:id="rId3129"/>
    <hyperlink xmlns:r="http://schemas.openxmlformats.org/officeDocument/2006/relationships" ref="BX53" display="https://www.seekinghealth.com/products/lithium-orotate-5-mg" r:id="rId3130"/>
    <hyperlink xmlns:r="http://schemas.openxmlformats.org/officeDocument/2006/relationships" ref="BY53" display="https://www.seekinghealth.com/products/lithium-orotate-5-mg" r:id="rId3131"/>
    <hyperlink xmlns:r="http://schemas.openxmlformats.org/officeDocument/2006/relationships" ref="BZ53" display="https://www.seekinghealth.com/products/lithium-orotate-5-mg" r:id="rId3132"/>
    <hyperlink xmlns:r="http://schemas.openxmlformats.org/officeDocument/2006/relationships" ref="CA53" display="https://www.seekinghealth.com/products/lithium-orotate-5-mg" r:id="rId3133"/>
    <hyperlink xmlns:r="http://schemas.openxmlformats.org/officeDocument/2006/relationships" ref="CB53" display="https://www.seekinghealth.com/products/lithium-orotate-5-mg" r:id="rId3134"/>
    <hyperlink xmlns:r="http://schemas.openxmlformats.org/officeDocument/2006/relationships" ref="CC53" display="https://www.seekinghealth.com/products/lithium-orotate-5-mg" r:id="rId3135"/>
    <hyperlink xmlns:r="http://schemas.openxmlformats.org/officeDocument/2006/relationships" ref="CD53" display="https://www.seekinghealth.com/products/lithium-orotate-5-mg" r:id="rId3136"/>
    <hyperlink xmlns:r="http://schemas.openxmlformats.org/officeDocument/2006/relationships" ref="CE53" display="https://www.seekinghealth.com/products/lithium-orotate-5-mg" r:id="rId3137"/>
    <hyperlink xmlns:r="http://schemas.openxmlformats.org/officeDocument/2006/relationships" ref="CF53" display="https://www.seekinghealth.com/products/lithium-orotate-5-mg" r:id="rId3138"/>
    <hyperlink xmlns:r="http://schemas.openxmlformats.org/officeDocument/2006/relationships" ref="CG53" display="https://www.seekinghealth.com/products/lithium-orotate-5-mg" r:id="rId3139"/>
    <hyperlink xmlns:r="http://schemas.openxmlformats.org/officeDocument/2006/relationships" ref="CH53" display="https://www.seekinghealth.com/products/lithium-orotate-5-mg" r:id="rId3140"/>
    <hyperlink xmlns:r="http://schemas.openxmlformats.org/officeDocument/2006/relationships" ref="CI53" display="https://www.seekinghealth.com/products/lithium-orotate-5-mg" r:id="rId3141"/>
    <hyperlink xmlns:r="http://schemas.openxmlformats.org/officeDocument/2006/relationships" ref="CJ53" display="https://www.seekinghealth.com/products/lithium-orotate-5-mg" r:id="rId3142"/>
    <hyperlink xmlns:r="http://schemas.openxmlformats.org/officeDocument/2006/relationships" ref="CK53" display="https://www.seekinghealth.com/products/lithium-orotate-5-mg" r:id="rId3143"/>
    <hyperlink xmlns:r="http://schemas.openxmlformats.org/officeDocument/2006/relationships" ref="CL53" display="https://www.seekinghealth.com/products/lithium-orotate-5-mg" r:id="rId3144"/>
    <hyperlink xmlns:r="http://schemas.openxmlformats.org/officeDocument/2006/relationships" ref="CM53" display="https://www.seekinghealth.com/products/lithium-orotate-5-mg" r:id="rId3145"/>
    <hyperlink xmlns:r="http://schemas.openxmlformats.org/officeDocument/2006/relationships" ref="CN53" display="https://www.seekinghealth.com/products/lithium-orotate-5-mg" r:id="rId3146"/>
    <hyperlink xmlns:r="http://schemas.openxmlformats.org/officeDocument/2006/relationships" ref="CO53" display="https://www.seekinghealth.com/products/lithium-orotate-5-mg" r:id="rId3147"/>
    <hyperlink xmlns:r="http://schemas.openxmlformats.org/officeDocument/2006/relationships" ref="CP53" display="https://www.seekinghealth.com/products/lithium-orotate-5-mg" r:id="rId3148"/>
    <hyperlink xmlns:r="http://schemas.openxmlformats.org/officeDocument/2006/relationships" ref="CQ53" display="https://www.seekinghealth.com/products/lithium-orotate-5-mg" r:id="rId3149"/>
    <hyperlink xmlns:r="http://schemas.openxmlformats.org/officeDocument/2006/relationships" ref="CR53" display="https://www.seekinghealth.com/products/lithium-orotate-5-mg" r:id="rId3150"/>
    <hyperlink xmlns:r="http://schemas.openxmlformats.org/officeDocument/2006/relationships" ref="CS53" display="https://www.seekinghealth.com/products/lithium-orotate-5-mg" r:id="rId3151"/>
    <hyperlink xmlns:r="http://schemas.openxmlformats.org/officeDocument/2006/relationships" ref="CT53" display="https://www.seekinghealth.com/products/lithium-orotate-5-mg" r:id="rId3152"/>
    <hyperlink xmlns:r="http://schemas.openxmlformats.org/officeDocument/2006/relationships" ref="CU53" display="https://www.seekinghealth.com/products/lithium-orotate-5-mg" r:id="rId3153"/>
    <hyperlink xmlns:r="http://schemas.openxmlformats.org/officeDocument/2006/relationships" ref="CV53" display="https://www.seekinghealth.com/products/lithium-orotate-5-mg" r:id="rId3154"/>
    <hyperlink xmlns:r="http://schemas.openxmlformats.org/officeDocument/2006/relationships" ref="O54" r:id="rId3155"/>
    <hyperlink xmlns:r="http://schemas.openxmlformats.org/officeDocument/2006/relationships" ref="P54" r:id="rId3156"/>
    <hyperlink xmlns:r="http://schemas.openxmlformats.org/officeDocument/2006/relationships" ref="Q54" r:id="rId3157"/>
    <hyperlink xmlns:r="http://schemas.openxmlformats.org/officeDocument/2006/relationships" ref="R54" r:id="rId3158"/>
    <hyperlink xmlns:r="http://schemas.openxmlformats.org/officeDocument/2006/relationships" ref="S54" r:id="rId3159"/>
    <hyperlink xmlns:r="http://schemas.openxmlformats.org/officeDocument/2006/relationships" ref="T54" r:id="rId3160"/>
    <hyperlink xmlns:r="http://schemas.openxmlformats.org/officeDocument/2006/relationships" ref="U54" r:id="rId3161"/>
    <hyperlink xmlns:r="http://schemas.openxmlformats.org/officeDocument/2006/relationships" ref="W54" r:id="rId3162"/>
    <hyperlink xmlns:r="http://schemas.openxmlformats.org/officeDocument/2006/relationships" ref="X54" r:id="rId3163"/>
    <hyperlink xmlns:r="http://schemas.openxmlformats.org/officeDocument/2006/relationships" ref="Y54" r:id="rId3164"/>
    <hyperlink xmlns:r="http://schemas.openxmlformats.org/officeDocument/2006/relationships" ref="Z54" r:id="rId3165"/>
    <hyperlink xmlns:r="http://schemas.openxmlformats.org/officeDocument/2006/relationships" ref="AA54" r:id="rId3166"/>
    <hyperlink xmlns:r="http://schemas.openxmlformats.org/officeDocument/2006/relationships" ref="AB54" r:id="rId3167"/>
    <hyperlink xmlns:r="http://schemas.openxmlformats.org/officeDocument/2006/relationships" ref="AC54" r:id="rId3168"/>
    <hyperlink xmlns:r="http://schemas.openxmlformats.org/officeDocument/2006/relationships" ref="AD54" r:id="rId3169"/>
    <hyperlink xmlns:r="http://schemas.openxmlformats.org/officeDocument/2006/relationships" ref="AE54" r:id="rId3170"/>
    <hyperlink xmlns:r="http://schemas.openxmlformats.org/officeDocument/2006/relationships" ref="AF54" r:id="rId3171"/>
    <hyperlink xmlns:r="http://schemas.openxmlformats.org/officeDocument/2006/relationships" ref="AH54" r:id="rId3172"/>
    <hyperlink xmlns:r="http://schemas.openxmlformats.org/officeDocument/2006/relationships" ref="AJ54" r:id="rId3173"/>
    <hyperlink xmlns:r="http://schemas.openxmlformats.org/officeDocument/2006/relationships" ref="AK54" r:id="rId3174"/>
    <hyperlink xmlns:r="http://schemas.openxmlformats.org/officeDocument/2006/relationships" ref="AL54" r:id="rId3175"/>
    <hyperlink xmlns:r="http://schemas.openxmlformats.org/officeDocument/2006/relationships" ref="AM54" r:id="rId3176"/>
    <hyperlink xmlns:r="http://schemas.openxmlformats.org/officeDocument/2006/relationships" ref="AN54" r:id="rId3177"/>
    <hyperlink xmlns:r="http://schemas.openxmlformats.org/officeDocument/2006/relationships" ref="AO54" r:id="rId3178"/>
    <hyperlink xmlns:r="http://schemas.openxmlformats.org/officeDocument/2006/relationships" ref="AP54" r:id="rId3179"/>
    <hyperlink xmlns:r="http://schemas.openxmlformats.org/officeDocument/2006/relationships" ref="AQ54" r:id="rId3180"/>
    <hyperlink xmlns:r="http://schemas.openxmlformats.org/officeDocument/2006/relationships" ref="AR54" r:id="rId3181"/>
    <hyperlink xmlns:r="http://schemas.openxmlformats.org/officeDocument/2006/relationships" ref="AS54" r:id="rId3182"/>
    <hyperlink xmlns:r="http://schemas.openxmlformats.org/officeDocument/2006/relationships" ref="AT54" r:id="rId3183"/>
    <hyperlink xmlns:r="http://schemas.openxmlformats.org/officeDocument/2006/relationships" ref="AU54" r:id="rId3184"/>
    <hyperlink xmlns:r="http://schemas.openxmlformats.org/officeDocument/2006/relationships" ref="AV54" r:id="rId3185"/>
    <hyperlink xmlns:r="http://schemas.openxmlformats.org/officeDocument/2006/relationships" ref="AW54" r:id="rId3186"/>
    <hyperlink xmlns:r="http://schemas.openxmlformats.org/officeDocument/2006/relationships" ref="AX54" r:id="rId3187"/>
    <hyperlink xmlns:r="http://schemas.openxmlformats.org/officeDocument/2006/relationships" ref="AY54" r:id="rId3188"/>
    <hyperlink xmlns:r="http://schemas.openxmlformats.org/officeDocument/2006/relationships" ref="AZ54" r:id="rId3189"/>
    <hyperlink xmlns:r="http://schemas.openxmlformats.org/officeDocument/2006/relationships" ref="BA54" r:id="rId3190"/>
    <hyperlink xmlns:r="http://schemas.openxmlformats.org/officeDocument/2006/relationships" ref="BB54" r:id="rId3191"/>
    <hyperlink xmlns:r="http://schemas.openxmlformats.org/officeDocument/2006/relationships" ref="BC54" r:id="rId3192"/>
    <hyperlink xmlns:r="http://schemas.openxmlformats.org/officeDocument/2006/relationships" ref="BD54" r:id="rId3193"/>
    <hyperlink xmlns:r="http://schemas.openxmlformats.org/officeDocument/2006/relationships" ref="BE54" r:id="rId3194"/>
    <hyperlink xmlns:r="http://schemas.openxmlformats.org/officeDocument/2006/relationships" ref="BF54" r:id="rId3195"/>
    <hyperlink xmlns:r="http://schemas.openxmlformats.org/officeDocument/2006/relationships" ref="BG54" r:id="rId3196"/>
    <hyperlink xmlns:r="http://schemas.openxmlformats.org/officeDocument/2006/relationships" ref="BH54" r:id="rId3197"/>
    <hyperlink xmlns:r="http://schemas.openxmlformats.org/officeDocument/2006/relationships" ref="BI54" r:id="rId3198"/>
    <hyperlink xmlns:r="http://schemas.openxmlformats.org/officeDocument/2006/relationships" ref="BJ54" r:id="rId3199"/>
    <hyperlink xmlns:r="http://schemas.openxmlformats.org/officeDocument/2006/relationships" ref="BK54" r:id="rId3200"/>
    <hyperlink xmlns:r="http://schemas.openxmlformats.org/officeDocument/2006/relationships" ref="BL54" r:id="rId3201"/>
    <hyperlink xmlns:r="http://schemas.openxmlformats.org/officeDocument/2006/relationships" ref="BM54" r:id="rId3202"/>
    <hyperlink xmlns:r="http://schemas.openxmlformats.org/officeDocument/2006/relationships" ref="BN54" r:id="rId3203"/>
    <hyperlink xmlns:r="http://schemas.openxmlformats.org/officeDocument/2006/relationships" ref="BO54" r:id="rId3204"/>
    <hyperlink xmlns:r="http://schemas.openxmlformats.org/officeDocument/2006/relationships" ref="BP54" r:id="rId3205"/>
    <hyperlink xmlns:r="http://schemas.openxmlformats.org/officeDocument/2006/relationships" ref="BQ54" r:id="rId3206"/>
    <hyperlink xmlns:r="http://schemas.openxmlformats.org/officeDocument/2006/relationships" ref="BR54" r:id="rId3207"/>
    <hyperlink xmlns:r="http://schemas.openxmlformats.org/officeDocument/2006/relationships" ref="BS54" r:id="rId3208"/>
    <hyperlink xmlns:r="http://schemas.openxmlformats.org/officeDocument/2006/relationships" ref="BT54" r:id="rId3209"/>
    <hyperlink xmlns:r="http://schemas.openxmlformats.org/officeDocument/2006/relationships" ref="BU54" r:id="rId3210"/>
    <hyperlink xmlns:r="http://schemas.openxmlformats.org/officeDocument/2006/relationships" ref="BV54" r:id="rId3211"/>
    <hyperlink xmlns:r="http://schemas.openxmlformats.org/officeDocument/2006/relationships" ref="BW54" r:id="rId3212"/>
    <hyperlink xmlns:r="http://schemas.openxmlformats.org/officeDocument/2006/relationships" ref="BX54" r:id="rId3213"/>
    <hyperlink xmlns:r="http://schemas.openxmlformats.org/officeDocument/2006/relationships" ref="BY54" r:id="rId3214"/>
    <hyperlink xmlns:r="http://schemas.openxmlformats.org/officeDocument/2006/relationships" ref="BZ54" r:id="rId3215"/>
    <hyperlink xmlns:r="http://schemas.openxmlformats.org/officeDocument/2006/relationships" ref="CA54" r:id="rId3216"/>
    <hyperlink xmlns:r="http://schemas.openxmlformats.org/officeDocument/2006/relationships" ref="CB54" r:id="rId3217"/>
    <hyperlink xmlns:r="http://schemas.openxmlformats.org/officeDocument/2006/relationships" ref="CC54" r:id="rId3218"/>
    <hyperlink xmlns:r="http://schemas.openxmlformats.org/officeDocument/2006/relationships" ref="CD54" r:id="rId3219"/>
    <hyperlink xmlns:r="http://schemas.openxmlformats.org/officeDocument/2006/relationships" ref="CE54" r:id="rId3220"/>
    <hyperlink xmlns:r="http://schemas.openxmlformats.org/officeDocument/2006/relationships" ref="CF54" r:id="rId3221"/>
    <hyperlink xmlns:r="http://schemas.openxmlformats.org/officeDocument/2006/relationships" ref="CG54" r:id="rId3222"/>
    <hyperlink xmlns:r="http://schemas.openxmlformats.org/officeDocument/2006/relationships" ref="CH54" r:id="rId3223"/>
    <hyperlink xmlns:r="http://schemas.openxmlformats.org/officeDocument/2006/relationships" ref="CI54" r:id="rId3224"/>
    <hyperlink xmlns:r="http://schemas.openxmlformats.org/officeDocument/2006/relationships" ref="CJ54" r:id="rId3225"/>
    <hyperlink xmlns:r="http://schemas.openxmlformats.org/officeDocument/2006/relationships" ref="CK54" r:id="rId3226"/>
    <hyperlink xmlns:r="http://schemas.openxmlformats.org/officeDocument/2006/relationships" ref="CL54" r:id="rId3227"/>
    <hyperlink xmlns:r="http://schemas.openxmlformats.org/officeDocument/2006/relationships" ref="CM54" r:id="rId3228"/>
    <hyperlink xmlns:r="http://schemas.openxmlformats.org/officeDocument/2006/relationships" ref="CN54" r:id="rId3229"/>
    <hyperlink xmlns:r="http://schemas.openxmlformats.org/officeDocument/2006/relationships" ref="CO54" r:id="rId3230"/>
    <hyperlink xmlns:r="http://schemas.openxmlformats.org/officeDocument/2006/relationships" ref="CP54" r:id="rId3231"/>
    <hyperlink xmlns:r="http://schemas.openxmlformats.org/officeDocument/2006/relationships" ref="CQ54" r:id="rId3232"/>
    <hyperlink xmlns:r="http://schemas.openxmlformats.org/officeDocument/2006/relationships" ref="CR54" r:id="rId3233"/>
    <hyperlink xmlns:r="http://schemas.openxmlformats.org/officeDocument/2006/relationships" ref="CS54" r:id="rId3234"/>
    <hyperlink xmlns:r="http://schemas.openxmlformats.org/officeDocument/2006/relationships" ref="CT54" r:id="rId3235"/>
    <hyperlink xmlns:r="http://schemas.openxmlformats.org/officeDocument/2006/relationships" ref="CU54" r:id="rId3236"/>
    <hyperlink xmlns:r="http://schemas.openxmlformats.org/officeDocument/2006/relationships" ref="CV54" r:id="rId3237"/>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B2:J10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34375" defaultRowHeight="15" customHeight="0" zeroHeight="0" outlineLevelRow="0"/>
  <cols>
    <col width="2" customWidth="1" style="159" min="1" max="1"/>
    <col width="26" customWidth="1" style="159" min="2" max="2"/>
    <col width="10" customWidth="1" style="159" min="3" max="5"/>
    <col width="12" customWidth="1" style="159" min="6" max="6"/>
    <col width="10" customWidth="1" style="159" min="7" max="9"/>
    <col width="60" customWidth="1" style="159" min="10" max="10"/>
  </cols>
  <sheetData>
    <row r="2" ht="16.15" customHeight="1" s="160">
      <c r="B2" s="161" t="inlineStr">
        <is>
          <t>MASTER DAILY TOTALS — v15 HORMONE-SAFE (Thorne Elite AM/PM)</t>
        </is>
      </c>
    </row>
    <row r="3" ht="15" customHeight="1" s="160">
      <c r="B3" s="162" t="inlineStr">
        <is>
          <t>33 shake ingredients + 8 supplements | Iron EOD | 7 fiber types | MK-4+MK-7 | Taurine | 2026-04-12</t>
        </is>
      </c>
    </row>
    <row r="5" ht="15" customHeight="1" s="160">
      <c r="B5" s="166" t="inlineStr">
        <is>
          <t>Nutrient</t>
        </is>
      </c>
      <c r="C5" s="166" t="inlineStr">
        <is>
          <t>Unit</t>
        </is>
      </c>
      <c r="D5" s="166" t="inlineStr">
        <is>
          <t>Shake</t>
        </is>
      </c>
      <c r="E5" s="166" t="inlineStr">
        <is>
          <t>Supps</t>
        </is>
      </c>
      <c r="F5" s="166" t="inlineStr">
        <is>
          <t>DAILY TOTAL</t>
        </is>
      </c>
      <c r="G5" s="166" t="inlineStr">
        <is>
          <t>%DV</t>
        </is>
      </c>
      <c r="H5" s="166" t="inlineStr">
        <is>
          <t>Target</t>
        </is>
      </c>
      <c r="I5" s="166" t="inlineStr">
        <is>
          <t>UL</t>
        </is>
      </c>
      <c r="J5" s="166" t="inlineStr">
        <is>
          <t>Verdict</t>
        </is>
      </c>
    </row>
    <row r="7" ht="15" customHeight="1" s="160">
      <c r="B7" s="163" t="inlineStr">
        <is>
          <t>MACRONUTRIENTS</t>
        </is>
      </c>
    </row>
    <row r="8" ht="15" customHeight="1" s="160">
      <c r="B8" s="170" t="inlineStr">
        <is>
          <t>Calories</t>
        </is>
      </c>
      <c r="C8" s="170" t="inlineStr">
        <is>
          <t>kcal</t>
        </is>
      </c>
      <c r="D8" s="279" t="n">
        <v>2968</v>
      </c>
      <c r="E8" s="279" t="n">
        <v>25</v>
      </c>
      <c r="F8" s="280">
        <f>D8+E8</f>
        <v/>
      </c>
      <c r="G8" s="281" t="inlineStr">
        <is>
          <t>—</t>
        </is>
      </c>
      <c r="H8" s="170" t="inlineStr">
        <is>
          <t>~3000</t>
        </is>
      </c>
      <c r="I8" s="170" t="inlineStr">
        <is>
          <t>No UL</t>
        </is>
      </c>
      <c r="J8" s="170" t="inlineStr">
        <is>
          <t>✅ ~2993. On target.</t>
        </is>
      </c>
    </row>
    <row r="9" ht="15" customHeight="1" s="160">
      <c r="B9" s="189" t="inlineStr">
        <is>
          <t>Total Protein</t>
        </is>
      </c>
      <c r="C9" s="189" t="inlineStr">
        <is>
          <t>g</t>
        </is>
      </c>
      <c r="D9" s="282" t="n">
        <v>198.3</v>
      </c>
      <c r="E9" s="282" t="n">
        <v>0</v>
      </c>
      <c r="F9" s="283">
        <f>D9+E9</f>
        <v/>
      </c>
      <c r="G9" s="284" t="inlineStr">
        <is>
          <t>—</t>
        </is>
      </c>
      <c r="H9" s="189" t="inlineStr">
        <is>
          <t>180-200</t>
        </is>
      </c>
      <c r="I9" s="189" t="inlineStr">
        <is>
          <t>No UL</t>
        </is>
      </c>
      <c r="J9" s="189" t="inlineStr">
        <is>
          <t>✅ 198g. 27P macro split.</t>
        </is>
      </c>
    </row>
    <row r="10" ht="15" customHeight="1" s="160">
      <c r="B10" s="285" t="inlineStr">
        <is>
          <t xml:space="preserve">  DIAAS (weighted avg)</t>
        </is>
      </c>
      <c r="C10" s="285" t="inlineStr">
        <is>
          <t>score</t>
        </is>
      </c>
      <c r="D10" s="285">
        <f>ROUND((D11*1.09+D12*1+D13*1.13+D14*0+D15*0.52+D16*0.75)/D9,2)</f>
        <v/>
      </c>
      <c r="E10" s="285" t="inlineStr">
        <is>
          <t>—</t>
        </is>
      </c>
      <c r="F10" s="285">
        <f>D10</f>
        <v/>
      </c>
      <c r="G10" s="285" t="inlineStr">
        <is>
          <t>—</t>
        </is>
      </c>
      <c r="H10" s="285" t="inlineStr">
        <is>
          <t>&gt;0.90</t>
        </is>
      </c>
      <c r="I10" s="285" t="inlineStr">
        <is>
          <t>No UL</t>
        </is>
      </c>
      <c r="J10" s="285" t="inlineStr">
        <is>
          <t>High-quality blended protein</t>
        </is>
      </c>
    </row>
    <row r="11" ht="15" customHeight="1" s="160">
      <c r="B11" s="170" t="inlineStr">
        <is>
          <t xml:space="preserve">  Whey Protein</t>
        </is>
      </c>
      <c r="C11" s="170" t="inlineStr">
        <is>
          <t>g</t>
        </is>
      </c>
      <c r="D11" s="279" t="n">
        <v>30.2</v>
      </c>
      <c r="E11" s="279" t="n">
        <v>0</v>
      </c>
      <c r="F11" s="280">
        <f>D10+E10</f>
        <v/>
      </c>
      <c r="G11" s="281" t="inlineStr">
        <is>
          <t>—</t>
        </is>
      </c>
      <c r="H11" s="170" t="inlineStr">
        <is>
          <t>—</t>
        </is>
      </c>
      <c r="I11" s="170" t="inlineStr">
        <is>
          <t>—</t>
        </is>
      </c>
      <c r="J11" s="170" t="inlineStr">
        <is>
          <t>Milk 3.2 + isolate 27g</t>
        </is>
      </c>
    </row>
    <row r="12" ht="15" customHeight="1" s="160">
      <c r="B12" s="189" t="inlineStr">
        <is>
          <t xml:space="preserve">  Casein Protein</t>
        </is>
      </c>
      <c r="C12" s="189" t="inlineStr">
        <is>
          <t>g</t>
        </is>
      </c>
      <c r="D12" s="282" t="n">
        <v>12.8</v>
      </c>
      <c r="E12" s="282" t="n">
        <v>0</v>
      </c>
      <c r="F12" s="283">
        <f>D11+E11</f>
        <v/>
      </c>
      <c r="G12" s="284" t="inlineStr">
        <is>
          <t>—</t>
        </is>
      </c>
      <c r="H12" s="189" t="inlineStr">
        <is>
          <t>—</t>
        </is>
      </c>
      <c r="I12" s="189" t="inlineStr">
        <is>
          <t>—</t>
        </is>
      </c>
      <c r="J12" s="189" t="inlineStr">
        <is>
          <t>12.8g from milk. IGF-1 driver.</t>
        </is>
      </c>
    </row>
    <row r="13" ht="15" customHeight="1" s="160">
      <c r="B13" s="170" t="inlineStr">
        <is>
          <t xml:space="preserve">  Egg Protein</t>
        </is>
      </c>
      <c r="C13" s="170" t="inlineStr">
        <is>
          <t>g</t>
        </is>
      </c>
      <c r="D13" s="279" t="n">
        <v>101.3</v>
      </c>
      <c r="E13" s="279" t="n">
        <v>0</v>
      </c>
      <c r="F13" s="280">
        <f>D12+E12</f>
        <v/>
      </c>
      <c r="G13" s="281" t="inlineStr">
        <is>
          <t>—</t>
        </is>
      </c>
      <c r="H13" s="170" t="inlineStr">
        <is>
          <t>—</t>
        </is>
      </c>
      <c r="I13" s="170" t="inlineStr">
        <is>
          <t>—</t>
        </is>
      </c>
      <c r="J13" s="170" t="inlineStr">
        <is>
          <t>Pwd 86.1 + whites 15.2. Low insulinogenic.</t>
        </is>
      </c>
    </row>
    <row r="14" ht="15" customHeight="1" s="160">
      <c r="B14" s="189" t="inlineStr">
        <is>
          <t xml:space="preserve">  Collagen Protein</t>
        </is>
      </c>
      <c r="C14" s="189" t="inlineStr">
        <is>
          <t>g</t>
        </is>
      </c>
      <c r="D14" s="282" t="n">
        <v>13</v>
      </c>
      <c r="E14" s="282" t="n">
        <v>0</v>
      </c>
      <c r="F14" s="283">
        <f>D13+E13</f>
        <v/>
      </c>
      <c r="G14" s="284" t="inlineStr">
        <is>
          <t>—</t>
        </is>
      </c>
      <c r="H14" s="189" t="inlineStr">
        <is>
          <t>—</t>
        </is>
      </c>
      <c r="I14" s="189" t="inlineStr">
        <is>
          <t>—</t>
        </is>
      </c>
      <c r="J14" s="189" t="inlineStr">
        <is>
          <t>Connective tissue + glycine.</t>
        </is>
      </c>
    </row>
    <row r="15" ht="15" customHeight="1" s="160">
      <c r="B15" s="170" t="inlineStr">
        <is>
          <t xml:space="preserve">  Plant Protein</t>
        </is>
      </c>
      <c r="C15" s="170" t="inlineStr">
        <is>
          <t>g</t>
        </is>
      </c>
      <c r="D15" s="279" t="n">
        <v>36.8</v>
      </c>
      <c r="E15" s="279" t="n">
        <v>0</v>
      </c>
      <c r="F15" s="280">
        <f>D14+E14</f>
        <v/>
      </c>
      <c r="G15" s="281" t="inlineStr">
        <is>
          <t>—</t>
        </is>
      </c>
      <c r="H15" s="170" t="inlineStr">
        <is>
          <t>—</t>
        </is>
      </c>
      <c r="I15" s="170" t="inlineStr">
        <is>
          <t>—</t>
        </is>
      </c>
      <c r="J15" s="170" t="inlineStr">
        <is>
          <t>From whole foods.</t>
        </is>
      </c>
    </row>
    <row r="16" ht="15" customHeight="1" s="160">
      <c r="B16" s="189" t="inlineStr">
        <is>
          <t xml:space="preserve">  Other (Creatine N)</t>
        </is>
      </c>
      <c r="C16" s="189" t="inlineStr">
        <is>
          <t>g</t>
        </is>
      </c>
      <c r="D16" s="282" t="n">
        <v>4.4</v>
      </c>
      <c r="E16" s="282" t="n">
        <v>0</v>
      </c>
      <c r="F16" s="283">
        <f>D15+E15</f>
        <v/>
      </c>
      <c r="G16" s="284" t="inlineStr">
        <is>
          <t>—</t>
        </is>
      </c>
      <c r="H16" s="189" t="inlineStr">
        <is>
          <t>—</t>
        </is>
      </c>
      <c r="I16" s="189" t="inlineStr">
        <is>
          <t>—</t>
        </is>
      </c>
      <c r="J16" s="189" t="inlineStr">
        <is>
          <t>Amino acid derivative.</t>
        </is>
      </c>
    </row>
    <row r="17" ht="15" customHeight="1" s="160">
      <c r="B17" s="170" t="inlineStr">
        <is>
          <t>Total Fat</t>
        </is>
      </c>
      <c r="C17" s="170" t="inlineStr">
        <is>
          <t>g</t>
        </is>
      </c>
      <c r="D17" s="279" t="n">
        <v>156.2</v>
      </c>
      <c r="E17" s="279" t="n">
        <v>3</v>
      </c>
      <c r="F17" s="280">
        <f>D16+E16</f>
        <v/>
      </c>
      <c r="G17" s="286">
        <f>F16/78</f>
        <v/>
      </c>
      <c r="H17" s="170" t="inlineStr">
        <is>
          <t>~155</t>
        </is>
      </c>
      <c r="I17" s="170" t="inlineStr">
        <is>
          <t>No UL</t>
        </is>
      </c>
      <c r="J17" s="170" t="inlineStr">
        <is>
          <t>✅ ~159g. 46F macro split.</t>
        </is>
      </c>
    </row>
    <row r="18" ht="15" customHeight="1" s="160">
      <c r="B18" s="189" t="inlineStr">
        <is>
          <t xml:space="preserve">  Saturated Fat</t>
        </is>
      </c>
      <c r="C18" s="189" t="inlineStr">
        <is>
          <t>g</t>
        </is>
      </c>
      <c r="D18" s="282" t="n">
        <v>34.5</v>
      </c>
      <c r="E18" s="282" t="n">
        <v>0</v>
      </c>
      <c r="F18" s="283">
        <f>D17+E17</f>
        <v/>
      </c>
      <c r="G18" s="287">
        <f>F17/20</f>
        <v/>
      </c>
      <c r="H18" s="189" t="inlineStr">
        <is>
          <t>&lt;22 (AHA)</t>
        </is>
      </c>
      <c r="I18" s="189" t="inlineStr">
        <is>
          <t>No UL</t>
        </is>
      </c>
      <c r="J18" s="288" t="inlineStr">
        <is>
          <t>⚠ 63% stearic+oleic (neutral). Annual lipid panel.</t>
        </is>
      </c>
    </row>
    <row r="19" ht="15" customHeight="1" s="160">
      <c r="B19" s="170" t="inlineStr">
        <is>
          <t xml:space="preserve">  MUFA</t>
        </is>
      </c>
      <c r="C19" s="170" t="inlineStr">
        <is>
          <t>g</t>
        </is>
      </c>
      <c r="D19" s="279" t="n">
        <v>97.5</v>
      </c>
      <c r="E19" s="279" t="n">
        <v>0</v>
      </c>
      <c r="F19" s="280">
        <f>D18+E18</f>
        <v/>
      </c>
      <c r="G19" s="281" t="inlineStr">
        <is>
          <t>—</t>
        </is>
      </c>
      <c r="H19" s="170" t="inlineStr">
        <is>
          <t>40-70</t>
        </is>
      </c>
      <c r="I19" s="170" t="inlineStr">
        <is>
          <t>No UL</t>
        </is>
      </c>
      <c r="J19" s="170" t="inlineStr">
        <is>
          <t>✅ Mac + EVOO + avocado.</t>
        </is>
      </c>
    </row>
    <row r="20" ht="15" customHeight="1" s="160">
      <c r="B20" s="189" t="inlineStr">
        <is>
          <t xml:space="preserve">  PUFA</t>
        </is>
      </c>
      <c r="C20" s="189" t="inlineStr">
        <is>
          <t>g</t>
        </is>
      </c>
      <c r="D20" s="282" t="n">
        <v>15.5</v>
      </c>
      <c r="E20" s="282" t="n">
        <v>3</v>
      </c>
      <c r="F20" s="283">
        <f>D19+E19</f>
        <v/>
      </c>
      <c r="G20" s="284" t="inlineStr">
        <is>
          <t>—</t>
        </is>
      </c>
      <c r="H20" s="189" t="inlineStr">
        <is>
          <t>12-22</t>
        </is>
      </c>
      <c r="I20" s="189" t="inlineStr">
        <is>
          <t>No UL</t>
        </is>
      </c>
      <c r="J20" s="189" t="inlineStr">
        <is>
          <t>✅ ~18.5g.</t>
        </is>
      </c>
    </row>
    <row r="21" ht="15" customHeight="1" s="160">
      <c r="B21" s="170" t="inlineStr">
        <is>
          <t xml:space="preserve">  ALA (Omega-3)</t>
        </is>
      </c>
      <c r="C21" s="170" t="inlineStr">
        <is>
          <t>g</t>
        </is>
      </c>
      <c r="D21" s="279" t="n">
        <v>1.1</v>
      </c>
      <c r="E21" s="279" t="n">
        <v>0</v>
      </c>
      <c r="F21" s="280">
        <f>D20+E20</f>
        <v/>
      </c>
      <c r="G21" s="286">
        <f>F20/1.6</f>
        <v/>
      </c>
      <c r="H21" s="170" t="inlineStr">
        <is>
          <t>1.6 AI</t>
        </is>
      </c>
      <c r="I21" s="170" t="inlineStr">
        <is>
          <t>No UL</t>
        </is>
      </c>
      <c r="J21" s="289" t="inlineStr">
        <is>
          <t>⚠ Below AI. No dedicated ALA source.</t>
        </is>
      </c>
    </row>
    <row r="22" ht="15" customHeight="1" s="160">
      <c r="B22" s="189" t="inlineStr">
        <is>
          <t xml:space="preserve">  Omega-6</t>
        </is>
      </c>
      <c r="C22" s="189" t="inlineStr">
        <is>
          <t>g</t>
        </is>
      </c>
      <c r="D22" s="282" t="n">
        <v>14.4</v>
      </c>
      <c r="E22" s="282" t="n">
        <v>0</v>
      </c>
      <c r="F22" s="283">
        <f>D21+E21</f>
        <v/>
      </c>
      <c r="G22" s="284" t="inlineStr">
        <is>
          <t>—</t>
        </is>
      </c>
      <c r="H22" s="189" t="inlineStr">
        <is>
          <t>&lt;15</t>
        </is>
      </c>
      <c r="I22" s="189" t="inlineStr">
        <is>
          <t>No UL</t>
        </is>
      </c>
      <c r="J22" s="189" t="inlineStr">
        <is>
          <t>✅ Barely under.</t>
        </is>
      </c>
    </row>
    <row r="23" ht="15" customHeight="1" s="160">
      <c r="B23" s="170" t="inlineStr">
        <is>
          <t xml:space="preserve">  Trans Fat</t>
        </is>
      </c>
      <c r="C23" s="170" t="inlineStr">
        <is>
          <t>g</t>
        </is>
      </c>
      <c r="D23" s="279" t="n">
        <v>0.5</v>
      </c>
      <c r="E23" s="279" t="n">
        <v>0</v>
      </c>
      <c r="F23" s="280">
        <f>D22+E22</f>
        <v/>
      </c>
      <c r="G23" s="281" t="inlineStr">
        <is>
          <t>—</t>
        </is>
      </c>
      <c r="H23" s="170" t="inlineStr">
        <is>
          <t>&lt;1</t>
        </is>
      </c>
      <c r="I23" s="170" t="inlineStr">
        <is>
          <t>No UL</t>
        </is>
      </c>
      <c r="J23" s="170" t="inlineStr">
        <is>
          <t>✅ Natural vaccenic acid (milk).</t>
        </is>
      </c>
    </row>
    <row r="24" ht="15" customHeight="1" s="160">
      <c r="B24" s="189" t="inlineStr">
        <is>
          <t>Total Carbs</t>
        </is>
      </c>
      <c r="C24" s="189" t="inlineStr">
        <is>
          <t>g</t>
        </is>
      </c>
      <c r="D24" s="282" t="n">
        <v>241.3</v>
      </c>
      <c r="E24" s="282" t="n">
        <v>0</v>
      </c>
      <c r="F24" s="283">
        <f>D23+E23</f>
        <v/>
      </c>
      <c r="G24" s="287">
        <f>F23/275</f>
        <v/>
      </c>
      <c r="H24" s="189" t="inlineStr">
        <is>
          <t>~210</t>
        </is>
      </c>
      <c r="I24" s="189" t="inlineStr">
        <is>
          <t>No UL</t>
        </is>
      </c>
      <c r="J24" s="189" t="inlineStr">
        <is>
          <t>✅ 241g but 62g fiber. Net ~179g.</t>
        </is>
      </c>
    </row>
    <row r="25" ht="15" customHeight="1" s="160">
      <c r="B25" s="170" t="inlineStr">
        <is>
          <t xml:space="preserve">  Sugars (Simple)</t>
        </is>
      </c>
      <c r="C25" s="170" t="inlineStr">
        <is>
          <t>g</t>
        </is>
      </c>
      <c r="D25" s="279" t="n">
        <v>95.90000000000001</v>
      </c>
      <c r="E25" s="279" t="n">
        <v>0</v>
      </c>
      <c r="F25" s="280">
        <f>D24+E24</f>
        <v/>
      </c>
      <c r="G25" s="281" t="inlineStr">
        <is>
          <t>—</t>
        </is>
      </c>
      <c r="H25" s="170" t="inlineStr">
        <is>
          <t>&lt;100</t>
        </is>
      </c>
      <c r="I25" s="170" t="inlineStr">
        <is>
          <t>No UL</t>
        </is>
      </c>
      <c r="J25" s="170" t="inlineStr">
        <is>
          <t>✅ All natural. Zero added.</t>
        </is>
      </c>
    </row>
    <row r="26" ht="15" customHeight="1" s="160">
      <c r="B26" s="285" t="inlineStr">
        <is>
          <t xml:space="preserve">  Sugar Alcohols</t>
        </is>
      </c>
      <c r="C26" s="285" t="inlineStr">
        <is>
          <t>g</t>
        </is>
      </c>
      <c r="D26" s="285" t="n">
        <v>0</v>
      </c>
      <c r="E26" s="285" t="n">
        <v>0</v>
      </c>
      <c r="F26" s="285">
        <f>D25+E25</f>
        <v/>
      </c>
      <c r="G26" s="285" t="inlineStr">
        <is>
          <t>—</t>
        </is>
      </c>
      <c r="H26" s="285" t="inlineStr">
        <is>
          <t>&lt;5</t>
        </is>
      </c>
      <c r="I26" s="285" t="inlineStr">
        <is>
          <t>No UL</t>
        </is>
      </c>
      <c r="J26" s="285" t="inlineStr">
        <is>
          <t>✅ 0g — verify monk fruit label</t>
        </is>
      </c>
    </row>
    <row r="27" ht="15" customHeight="1" s="160">
      <c r="B27" s="189" t="inlineStr">
        <is>
          <t xml:space="preserve">  Complex (Starch)</t>
        </is>
      </c>
      <c r="C27" s="189" t="inlineStr">
        <is>
          <t>g</t>
        </is>
      </c>
      <c r="D27" s="282" t="n">
        <v>83.59999999999999</v>
      </c>
      <c r="E27" s="282" t="n">
        <v>0</v>
      </c>
      <c r="F27" s="283">
        <f>D25+E25</f>
        <v/>
      </c>
      <c r="G27" s="284" t="inlineStr">
        <is>
          <t>—</t>
        </is>
      </c>
      <c r="H27" s="189" t="inlineStr">
        <is>
          <t>70-110</t>
        </is>
      </c>
      <c r="I27" s="189" t="inlineStr">
        <is>
          <t>No UL</t>
        </is>
      </c>
      <c r="J27" s="189" t="inlineStr">
        <is>
          <t>✅ Cluster dextrin + lentil + cacao.</t>
        </is>
      </c>
    </row>
    <row r="28" ht="15" customHeight="1" s="160">
      <c r="B28" s="170" t="inlineStr">
        <is>
          <t xml:space="preserve">  Total Fiber</t>
        </is>
      </c>
      <c r="C28" s="170" t="inlineStr">
        <is>
          <t>g</t>
        </is>
      </c>
      <c r="D28" s="279" t="n">
        <v>61.8</v>
      </c>
      <c r="E28" s="279" t="n">
        <v>0</v>
      </c>
      <c r="F28" s="280">
        <f>D26+E26</f>
        <v/>
      </c>
      <c r="G28" s="286">
        <f>F26/28</f>
        <v/>
      </c>
      <c r="H28" s="170" t="inlineStr">
        <is>
          <t>28-38</t>
        </is>
      </c>
      <c r="I28" s="170" t="inlineStr">
        <is>
          <t>No UL</t>
        </is>
      </c>
      <c r="J28" s="170" t="inlineStr">
        <is>
          <t>✅ 7 diverse fiber types.</t>
        </is>
      </c>
    </row>
    <row r="29" ht="15" customHeight="1" s="160">
      <c r="B29" s="189" t="inlineStr">
        <is>
          <t xml:space="preserve">  Net Carbs</t>
        </is>
      </c>
      <c r="C29" s="159" t="inlineStr">
        <is>
          <t>g</t>
        </is>
      </c>
      <c r="D29" s="159" t="n">
        <v>179.5</v>
      </c>
      <c r="E29" s="159" t="n">
        <v>0</v>
      </c>
      <c r="F29" s="159">
        <f>D29+E29</f>
        <v/>
      </c>
      <c r="G29" s="159">
        <f>F29/275</f>
        <v/>
      </c>
      <c r="H29" s="159" t="inlineStr">
        <is>
          <t>~170-185</t>
        </is>
      </c>
      <c r="I29" s="159" t="inlineStr">
        <is>
          <t>No UL</t>
        </is>
      </c>
      <c r="J29" s="159" t="inlineStr">
        <is>
          <t>✅ ~179g. 62g fiber offset.</t>
        </is>
      </c>
    </row>
    <row r="30" ht="15" customHeight="1" s="160">
      <c r="B30" s="170" t="inlineStr">
        <is>
          <t>Choline</t>
        </is>
      </c>
      <c r="C30" s="170" t="inlineStr">
        <is>
          <t>mg</t>
        </is>
      </c>
      <c r="D30" s="279" t="n">
        <v>440</v>
      </c>
      <c r="E30" s="279" t="n">
        <v>182</v>
      </c>
      <c r="F30" s="280">
        <f>D28+E28</f>
        <v/>
      </c>
      <c r="G30" s="286">
        <f>F28/550</f>
        <v/>
      </c>
      <c r="H30" s="170" t="inlineStr">
        <is>
          <t>550 AI</t>
        </is>
      </c>
      <c r="I30" s="170" t="inlineStr">
        <is>
          <t>3,500</t>
        </is>
      </c>
      <c r="J30" s="170" t="inlineStr">
        <is>
          <t>✅ ~622mg. Lecithin+Thorne+CDP.</t>
        </is>
      </c>
    </row>
    <row r="31" ht="15" customHeight="1" s="160">
      <c r="B31" s="163" t="inlineStr">
        <is>
          <t>VITAMINS</t>
        </is>
      </c>
    </row>
    <row r="32" ht="15" customHeight="1" s="160">
      <c r="B32" s="170" t="inlineStr">
        <is>
          <t>Vitamin A</t>
        </is>
      </c>
      <c r="C32" s="170" t="inlineStr">
        <is>
          <t>mcg RAE</t>
        </is>
      </c>
      <c r="D32" s="279" t="n">
        <v>305</v>
      </c>
      <c r="E32" s="279" t="n">
        <v>1260</v>
      </c>
      <c r="F32" s="280">
        <f>D30+E30</f>
        <v/>
      </c>
      <c r="G32" s="286">
        <f>F30/900</f>
        <v/>
      </c>
      <c r="H32" s="170" t="inlineStr">
        <is>
          <t>900</t>
        </is>
      </c>
      <c r="I32" s="170" t="inlineStr">
        <is>
          <t>3,000</t>
        </is>
      </c>
      <c r="J32" s="170" t="inlineStr">
        <is>
          <t>✅ 1565mcg (174%).</t>
        </is>
      </c>
    </row>
    <row r="33" ht="15" customHeight="1" s="160">
      <c r="B33" s="189" t="inlineStr">
        <is>
          <t>Vitamin C</t>
        </is>
      </c>
      <c r="C33" s="189" t="inlineStr">
        <is>
          <t>mg</t>
        </is>
      </c>
      <c r="D33" s="282" t="n">
        <v>95</v>
      </c>
      <c r="E33" s="282" t="n">
        <v>400</v>
      </c>
      <c r="F33" s="283">
        <f>D31+E31</f>
        <v/>
      </c>
      <c r="G33" s="287">
        <f>F31/90</f>
        <v/>
      </c>
      <c r="H33" s="189" t="inlineStr">
        <is>
          <t>90</t>
        </is>
      </c>
      <c r="I33" s="189" t="inlineStr">
        <is>
          <t>2,000</t>
        </is>
      </c>
      <c r="J33" s="189" t="inlineStr">
        <is>
          <t>✅ 495mg.</t>
        </is>
      </c>
    </row>
    <row r="34" ht="15" customHeight="1" s="160">
      <c r="B34" s="170" t="inlineStr">
        <is>
          <t>Vitamin D3</t>
        </is>
      </c>
      <c r="C34" s="170" t="inlineStr">
        <is>
          <t>mcg</t>
        </is>
      </c>
      <c r="D34" s="279" t="n">
        <v>0</v>
      </c>
      <c r="E34" s="279" t="n">
        <v>62.5</v>
      </c>
      <c r="F34" s="280">
        <f>D34+E34</f>
        <v/>
      </c>
      <c r="G34" s="286">
        <f>F34/20</f>
        <v/>
      </c>
      <c r="H34" s="170" t="inlineStr">
        <is>
          <t>15</t>
        </is>
      </c>
      <c r="I34" s="170" t="inlineStr">
        <is>
          <t>100</t>
        </is>
      </c>
      <c r="J34" s="170" t="inlineStr">
        <is>
          <t>✅ 62.5mcg (2500 IU).</t>
        </is>
      </c>
    </row>
    <row r="35" ht="15" customHeight="1" s="160">
      <c r="B35" s="189" t="inlineStr">
        <is>
          <t>Vitamin E</t>
        </is>
      </c>
      <c r="C35" s="189" t="inlineStr">
        <is>
          <t>mg</t>
        </is>
      </c>
      <c r="D35" s="282" t="n">
        <v>5</v>
      </c>
      <c r="E35" s="282" t="n">
        <v>27</v>
      </c>
      <c r="F35" s="283">
        <f>D35+E35</f>
        <v/>
      </c>
      <c r="G35" s="287">
        <f>F35/15</f>
        <v/>
      </c>
      <c r="H35" s="189" t="inlineStr">
        <is>
          <t>15</t>
        </is>
      </c>
      <c r="I35" s="189" t="inlineStr">
        <is>
          <t>1,000</t>
        </is>
      </c>
      <c r="J35" s="189" t="inlineStr">
        <is>
          <t>✅ 32mg d-Alpha + d-Gamma.</t>
        </is>
      </c>
    </row>
    <row r="36" ht="15" customHeight="1" s="160">
      <c r="B36" s="170" t="inlineStr">
        <is>
          <t>Vitamin K1</t>
        </is>
      </c>
      <c r="C36" s="170" t="inlineStr">
        <is>
          <t>mcg</t>
        </is>
      </c>
      <c r="D36" s="279" t="n">
        <v>62</v>
      </c>
      <c r="E36" s="279" t="n">
        <v>200</v>
      </c>
      <c r="F36" s="280">
        <f>D36+E36</f>
        <v/>
      </c>
      <c r="G36" s="286">
        <f>F36/120</f>
        <v/>
      </c>
      <c r="H36" s="170" t="inlineStr">
        <is>
          <t>120</t>
        </is>
      </c>
      <c r="I36" s="170" t="inlineStr">
        <is>
          <t>No UL</t>
        </is>
      </c>
      <c r="J36" s="170" t="inlineStr">
        <is>
          <t>✅ 262mcg.</t>
        </is>
      </c>
    </row>
    <row r="37" ht="15" customHeight="1" s="160">
      <c r="B37" s="189" t="inlineStr">
        <is>
          <t>Vitamin K2 MK-4</t>
        </is>
      </c>
      <c r="C37" s="189" t="inlineStr">
        <is>
          <t>mcg</t>
        </is>
      </c>
      <c r="D37" s="282" t="n">
        <v>0</v>
      </c>
      <c r="E37" s="282" t="n">
        <v>200</v>
      </c>
      <c r="F37" s="283">
        <f>D37+E37</f>
        <v/>
      </c>
      <c r="G37" s="284" t="inlineStr">
        <is>
          <t>—</t>
        </is>
      </c>
      <c r="H37" s="189" t="inlineStr">
        <is>
          <t>90-120</t>
        </is>
      </c>
      <c r="I37" s="189" t="inlineStr">
        <is>
          <t>No UL</t>
        </is>
      </c>
      <c r="J37" s="189" t="inlineStr">
        <is>
          <t>✅ Thorne Elite. 6hr t½.</t>
        </is>
      </c>
    </row>
    <row r="38" ht="15" customHeight="1" s="160">
      <c r="B38" s="170" t="inlineStr">
        <is>
          <t>Vitamin K2 MK-7</t>
        </is>
      </c>
      <c r="C38" s="170" t="inlineStr">
        <is>
          <t>mcg</t>
        </is>
      </c>
      <c r="D38" s="279" t="n">
        <v>0</v>
      </c>
      <c r="E38" s="279" t="n">
        <v>100</v>
      </c>
      <c r="F38" s="280">
        <f>D38+E38</f>
        <v/>
      </c>
      <c r="G38" s="281" t="inlineStr">
        <is>
          <t>—</t>
        </is>
      </c>
      <c r="H38" s="170" t="inlineStr">
        <is>
          <t>90-120</t>
        </is>
      </c>
      <c r="I38" s="170" t="inlineStr">
        <is>
          <t>No UL</t>
        </is>
      </c>
      <c r="J38" s="170" t="inlineStr">
        <is>
          <t>✅ Separate cap. 72hr t½.</t>
        </is>
      </c>
    </row>
    <row r="39" ht="15" customHeight="1" s="160">
      <c r="B39" s="189" t="inlineStr">
        <is>
          <t>Thiamin B1</t>
        </is>
      </c>
      <c r="C39" s="189" t="inlineStr">
        <is>
          <t>mg</t>
        </is>
      </c>
      <c r="D39" s="282" t="n">
        <v>0.9</v>
      </c>
      <c r="E39" s="282" t="n">
        <v>50</v>
      </c>
      <c r="F39" s="283">
        <f>D39+E39</f>
        <v/>
      </c>
      <c r="G39" s="287">
        <f>F39/1.2</f>
        <v/>
      </c>
      <c r="H39" s="189" t="inlineStr">
        <is>
          <t>1.2</t>
        </is>
      </c>
      <c r="I39" s="189" t="inlineStr">
        <is>
          <t>No UL</t>
        </is>
      </c>
      <c r="J39" s="189" t="inlineStr">
        <is>
          <t>✅ 50.9mg.</t>
        </is>
      </c>
    </row>
    <row r="40" ht="15" customHeight="1" s="160">
      <c r="B40" s="170" t="inlineStr">
        <is>
          <t>Riboflavin B2</t>
        </is>
      </c>
      <c r="C40" s="170" t="inlineStr">
        <is>
          <t>mg</t>
        </is>
      </c>
      <c r="D40" s="279" t="n">
        <v>1</v>
      </c>
      <c r="E40" s="279" t="n">
        <v>12</v>
      </c>
      <c r="F40" s="280">
        <f>D40+E40</f>
        <v/>
      </c>
      <c r="G40" s="286">
        <f>F40/1.3</f>
        <v/>
      </c>
      <c r="H40" s="170" t="inlineStr">
        <is>
          <t>1.3</t>
        </is>
      </c>
      <c r="I40" s="170" t="inlineStr">
        <is>
          <t>No UL</t>
        </is>
      </c>
      <c r="J40" s="170" t="inlineStr">
        <is>
          <t>✅ 13mg.</t>
        </is>
      </c>
    </row>
    <row r="41" ht="15" customHeight="1" s="160">
      <c r="B41" s="189" t="inlineStr">
        <is>
          <t>Niacin B3</t>
        </is>
      </c>
      <c r="C41" s="189" t="inlineStr">
        <is>
          <t>mg</t>
        </is>
      </c>
      <c r="D41" s="282" t="n">
        <v>5.5</v>
      </c>
      <c r="E41" s="282" t="n">
        <v>60</v>
      </c>
      <c r="F41" s="283">
        <f>D41+E41</f>
        <v/>
      </c>
      <c r="G41" s="287">
        <f>F41/16</f>
        <v/>
      </c>
      <c r="H41" s="189" t="inlineStr">
        <is>
          <t>16</t>
        </is>
      </c>
      <c r="I41" s="189" t="inlineStr">
        <is>
          <t>35 (suppl)</t>
        </is>
      </c>
      <c r="J41" s="288" t="inlineStr">
        <is>
          <t>⚠ 65.5mg niacinamide &gt; 35mg suppl UL.</t>
        </is>
      </c>
    </row>
    <row r="42" ht="15" customHeight="1" s="160">
      <c r="B42" s="170" t="inlineStr">
        <is>
          <t>Vitamin B6</t>
        </is>
      </c>
      <c r="C42" s="170" t="inlineStr">
        <is>
          <t>mg</t>
        </is>
      </c>
      <c r="D42" s="279" t="n">
        <v>1.4</v>
      </c>
      <c r="E42" s="279" t="n">
        <v>20</v>
      </c>
      <c r="F42" s="280">
        <f>D42+E42</f>
        <v/>
      </c>
      <c r="G42" s="286">
        <f>F42/1.7</f>
        <v/>
      </c>
      <c r="H42" s="170" t="inlineStr">
        <is>
          <t>1.3</t>
        </is>
      </c>
      <c r="I42" s="170" t="inlineStr">
        <is>
          <t>100</t>
        </is>
      </c>
      <c r="J42" s="170" t="inlineStr">
        <is>
          <t>✅ 21.4mg P5P.</t>
        </is>
      </c>
    </row>
    <row r="43" ht="15" customHeight="1" s="160">
      <c r="B43" s="189" t="inlineStr">
        <is>
          <t>Folate</t>
        </is>
      </c>
      <c r="C43" s="189" t="inlineStr">
        <is>
          <t>mcg DFE</t>
        </is>
      </c>
      <c r="D43" s="282" t="n">
        <v>135</v>
      </c>
      <c r="E43" s="282" t="n">
        <v>1667</v>
      </c>
      <c r="F43" s="283">
        <f>D43+E43</f>
        <v/>
      </c>
      <c r="G43" s="287">
        <f>F43/400</f>
        <v/>
      </c>
      <c r="H43" s="189" t="inlineStr">
        <is>
          <t>400</t>
        </is>
      </c>
      <c r="I43" s="189" t="inlineStr">
        <is>
          <t>1,000 (suppl)</t>
        </is>
      </c>
      <c r="J43" s="290" t="inlineStr">
        <is>
          <t>🔴 1802mcg. Exceeds suppl UL.</t>
        </is>
      </c>
    </row>
    <row r="44" ht="15" customHeight="1" s="160">
      <c r="B44" s="170" t="inlineStr">
        <is>
          <t>Vitamin B12</t>
        </is>
      </c>
      <c r="C44" s="170" t="inlineStr">
        <is>
          <t>mcg</t>
        </is>
      </c>
      <c r="D44" s="279" t="n">
        <v>4.5</v>
      </c>
      <c r="E44" s="279" t="n">
        <v>600</v>
      </c>
      <c r="F44" s="280">
        <f>D44+E44</f>
        <v/>
      </c>
      <c r="G44" s="286">
        <f>F44/2.4</f>
        <v/>
      </c>
      <c r="H44" s="170" t="inlineStr">
        <is>
          <t>2.4</t>
        </is>
      </c>
      <c r="I44" s="170" t="inlineStr">
        <is>
          <t>No UL</t>
        </is>
      </c>
      <c r="J44" s="170" t="inlineStr">
        <is>
          <t>✅ 604.5mcg methylcobalamin.</t>
        </is>
      </c>
    </row>
    <row r="45" ht="15" customHeight="1" s="160">
      <c r="B45" s="189" t="inlineStr">
        <is>
          <t>Biotin</t>
        </is>
      </c>
      <c r="C45" s="159" t="inlineStr">
        <is>
          <t>mcg</t>
        </is>
      </c>
      <c r="D45" s="159" t="n">
        <v>15</v>
      </c>
      <c r="E45" s="159" t="n">
        <v>1000</v>
      </c>
      <c r="F45" s="159">
        <f>D45+E45</f>
        <v/>
      </c>
      <c r="G45" s="159">
        <f>F45/30</f>
        <v/>
      </c>
      <c r="H45" s="159" t="inlineStr">
        <is>
          <t>30</t>
        </is>
      </c>
      <c r="I45" s="159" t="inlineStr">
        <is>
          <t>No UL</t>
        </is>
      </c>
      <c r="J45" s="159" t="inlineStr">
        <is>
          <t>✅ 1015mcg. Thorne Elite high-dose.</t>
        </is>
      </c>
    </row>
    <row r="46" ht="15" customHeight="1" s="160">
      <c r="B46" s="170" t="inlineStr">
        <is>
          <t>Pantothenic Acid</t>
        </is>
      </c>
      <c r="C46" s="170" t="inlineStr">
        <is>
          <t>mg</t>
        </is>
      </c>
      <c r="D46" s="279" t="n">
        <v>3.5</v>
      </c>
      <c r="E46" s="279" t="n">
        <v>45</v>
      </c>
      <c r="F46" s="280">
        <f>D46+E46</f>
        <v/>
      </c>
      <c r="G46" s="286">
        <f>F46/5</f>
        <v/>
      </c>
      <c r="H46" s="170" t="inlineStr">
        <is>
          <t>5</t>
        </is>
      </c>
      <c r="I46" s="170" t="inlineStr">
        <is>
          <t>No UL</t>
        </is>
      </c>
      <c r="J46" s="170" t="inlineStr">
        <is>
          <t>✅ 48.5mg.</t>
        </is>
      </c>
    </row>
    <row r="47" ht="15" customHeight="1" s="160">
      <c r="B47" s="163" t="inlineStr">
        <is>
          <t>MINERALS</t>
        </is>
      </c>
    </row>
    <row r="48" ht="15" customHeight="1" s="160">
      <c r="B48" s="170" t="inlineStr">
        <is>
          <t>Calcium</t>
        </is>
      </c>
      <c r="C48" s="170" t="inlineStr">
        <is>
          <t>mg</t>
        </is>
      </c>
      <c r="D48" s="279" t="n">
        <v>1170</v>
      </c>
      <c r="E48" s="279" t="n">
        <v>160</v>
      </c>
      <c r="F48" s="280">
        <f>D48+E48</f>
        <v/>
      </c>
      <c r="G48" s="286">
        <f>F48/1300</f>
        <v/>
      </c>
      <c r="H48" s="170" t="inlineStr">
        <is>
          <t>1000</t>
        </is>
      </c>
      <c r="I48" s="170" t="inlineStr">
        <is>
          <t>2,500</t>
        </is>
      </c>
      <c r="J48" s="170" t="inlineStr">
        <is>
          <t>✅ 1330mg.</t>
        </is>
      </c>
    </row>
    <row r="49" ht="15" customHeight="1" s="160">
      <c r="B49" s="189" t="inlineStr">
        <is>
          <t>Iodine</t>
        </is>
      </c>
      <c r="C49" s="189" t="inlineStr">
        <is>
          <t>mcg</t>
        </is>
      </c>
      <c r="D49" s="282" t="n">
        <v>140</v>
      </c>
      <c r="E49" s="282" t="n">
        <v>150</v>
      </c>
      <c r="F49" s="283">
        <f>D49+E49</f>
        <v/>
      </c>
      <c r="G49" s="287">
        <f>F49/150</f>
        <v/>
      </c>
      <c r="H49" s="189" t="inlineStr">
        <is>
          <t>150</t>
        </is>
      </c>
      <c r="I49" s="189" t="inlineStr">
        <is>
          <t>1,100</t>
        </is>
      </c>
      <c r="J49" s="189" t="inlineStr">
        <is>
          <t>✅ 290mcg.</t>
        </is>
      </c>
    </row>
    <row r="50" ht="15" customHeight="1" s="160">
      <c r="B50" s="170" t="inlineStr">
        <is>
          <t>Magnesium</t>
        </is>
      </c>
      <c r="C50" s="170" t="inlineStr">
        <is>
          <t>mg</t>
        </is>
      </c>
      <c r="D50" s="279" t="n">
        <v>723</v>
      </c>
      <c r="E50" s="279" t="n">
        <v>170</v>
      </c>
      <c r="F50" s="280">
        <f>D50+E50</f>
        <v/>
      </c>
      <c r="G50" s="286">
        <f>F50/420</f>
        <v/>
      </c>
      <c r="H50" s="170" t="inlineStr">
        <is>
          <t>420</t>
        </is>
      </c>
      <c r="I50" s="170" t="inlineStr">
        <is>
          <t>350 (suppl)</t>
        </is>
      </c>
      <c r="J50" s="170" t="inlineStr">
        <is>
          <t>✅ 893mg. Suppl 170 &lt; 350 UL.</t>
        </is>
      </c>
    </row>
    <row r="51" ht="15" customHeight="1" s="160">
      <c r="B51" s="189" t="inlineStr">
        <is>
          <t>Zinc</t>
        </is>
      </c>
      <c r="C51" s="189" t="inlineStr">
        <is>
          <t>mg</t>
        </is>
      </c>
      <c r="D51" s="282" t="n">
        <v>5.5</v>
      </c>
      <c r="E51" s="282" t="n">
        <v>30</v>
      </c>
      <c r="F51" s="283">
        <f>D51+E51</f>
        <v/>
      </c>
      <c r="G51" s="287">
        <f>F51/11</f>
        <v/>
      </c>
      <c r="H51" s="189" t="inlineStr">
        <is>
          <t>11</t>
        </is>
      </c>
      <c r="I51" s="189" t="inlineStr">
        <is>
          <t>40</t>
        </is>
      </c>
      <c r="J51" s="288" t="inlineStr">
        <is>
          <t>⚠ 35.5mg. 89% of 40mg UL.</t>
        </is>
      </c>
    </row>
    <row r="52" ht="15" customHeight="1" s="160">
      <c r="B52" s="170" t="inlineStr">
        <is>
          <t>Selenium</t>
        </is>
      </c>
      <c r="C52" s="170" t="inlineStr">
        <is>
          <t>mcg</t>
        </is>
      </c>
      <c r="D52" s="279" t="n">
        <v>21</v>
      </c>
      <c r="E52" s="279" t="n">
        <v>200</v>
      </c>
      <c r="F52" s="280">
        <f>D52+E52</f>
        <v/>
      </c>
      <c r="G52" s="286">
        <f>F52/55</f>
        <v/>
      </c>
      <c r="H52" s="170" t="inlineStr">
        <is>
          <t>55</t>
        </is>
      </c>
      <c r="I52" s="170" t="inlineStr">
        <is>
          <t>400</t>
        </is>
      </c>
      <c r="J52" s="289" t="inlineStr">
        <is>
          <t>⚠ 221mcg. 55% of UL.</t>
        </is>
      </c>
    </row>
    <row r="53" ht="15" customHeight="1" s="160">
      <c r="B53" s="189" t="inlineStr">
        <is>
          <t>Copper</t>
        </is>
      </c>
      <c r="C53" s="189" t="inlineStr">
        <is>
          <t>mcg</t>
        </is>
      </c>
      <c r="D53" s="282" t="n">
        <v>620</v>
      </c>
      <c r="E53" s="282" t="n">
        <v>1500</v>
      </c>
      <c r="F53" s="283">
        <f>D53+E53</f>
        <v/>
      </c>
      <c r="G53" s="287">
        <f>F53/900</f>
        <v/>
      </c>
      <c r="H53" s="189" t="inlineStr">
        <is>
          <t>900</t>
        </is>
      </c>
      <c r="I53" s="189" t="inlineStr">
        <is>
          <t>10,000</t>
        </is>
      </c>
      <c r="J53" s="189" t="inlineStr">
        <is>
          <t>✅ 2120mcg.</t>
        </is>
      </c>
    </row>
    <row r="54" ht="15" customHeight="1" s="160">
      <c r="B54" s="170" t="inlineStr">
        <is>
          <t>Manganese</t>
        </is>
      </c>
      <c r="C54" s="170" t="inlineStr">
        <is>
          <t>mg</t>
        </is>
      </c>
      <c r="D54" s="279" t="n">
        <v>3.5</v>
      </c>
      <c r="E54" s="279" t="n">
        <v>3</v>
      </c>
      <c r="F54" s="280">
        <f>D54+E54</f>
        <v/>
      </c>
      <c r="G54" s="286">
        <f>F54/2.3</f>
        <v/>
      </c>
      <c r="H54" s="170" t="inlineStr">
        <is>
          <t>2.3</t>
        </is>
      </c>
      <c r="I54" s="170" t="inlineStr">
        <is>
          <t>11</t>
        </is>
      </c>
      <c r="J54" s="170" t="inlineStr">
        <is>
          <t>✅ 6.5mg.</t>
        </is>
      </c>
    </row>
    <row r="55" ht="15" customHeight="1" s="160">
      <c r="B55" s="189" t="inlineStr">
        <is>
          <t>Chromium</t>
        </is>
      </c>
      <c r="C55" s="189" t="inlineStr">
        <is>
          <t>mcg</t>
        </is>
      </c>
      <c r="D55" s="282" t="n">
        <v>5</v>
      </c>
      <c r="E55" s="282" t="n">
        <v>400</v>
      </c>
      <c r="F55" s="283">
        <f>D55+E55</f>
        <v/>
      </c>
      <c r="G55" s="287">
        <f>F55/35</f>
        <v/>
      </c>
      <c r="H55" s="189" t="inlineStr">
        <is>
          <t>35</t>
        </is>
      </c>
      <c r="I55" s="189" t="inlineStr">
        <is>
          <t>No UL</t>
        </is>
      </c>
      <c r="J55" s="189" t="inlineStr">
        <is>
          <t>✅ 405mcg.</t>
        </is>
      </c>
    </row>
    <row r="56" ht="15" customHeight="1" s="160">
      <c r="B56" s="170" t="inlineStr">
        <is>
          <t>Boron</t>
        </is>
      </c>
      <c r="C56" s="170" t="inlineStr">
        <is>
          <t>mg</t>
        </is>
      </c>
      <c r="D56" s="279" t="n">
        <v>0.6</v>
      </c>
      <c r="E56" s="279" t="n">
        <v>3</v>
      </c>
      <c r="F56" s="280">
        <f>D56+E56</f>
        <v/>
      </c>
      <c r="G56" s="281" t="inlineStr">
        <is>
          <t>—</t>
        </is>
      </c>
      <c r="H56" s="170" t="inlineStr">
        <is>
          <t>1-3 AI</t>
        </is>
      </c>
      <c r="I56" s="170" t="inlineStr">
        <is>
          <t>20</t>
        </is>
      </c>
      <c r="J56" s="170" t="inlineStr">
        <is>
          <t>✅ 3.6mg.</t>
        </is>
      </c>
    </row>
    <row r="57" ht="15" customHeight="1" s="160">
      <c r="B57" s="189" t="inlineStr">
        <is>
          <t>Potassium</t>
        </is>
      </c>
      <c r="C57" s="189" t="inlineStr">
        <is>
          <t>mg</t>
        </is>
      </c>
      <c r="D57" s="282" t="n">
        <v>5130</v>
      </c>
      <c r="E57" s="282" t="n">
        <v>0</v>
      </c>
      <c r="F57" s="283">
        <f>D57+E57</f>
        <v/>
      </c>
      <c r="G57" s="287">
        <f>F57/2600</f>
        <v/>
      </c>
      <c r="H57" s="189" t="inlineStr">
        <is>
          <t>2600 AI</t>
        </is>
      </c>
      <c r="I57" s="189" t="inlineStr">
        <is>
          <t>No UL</t>
        </is>
      </c>
      <c r="J57" s="189" t="inlineStr">
        <is>
          <t>✅ 5130mg.</t>
        </is>
      </c>
    </row>
    <row r="58" ht="15" customHeight="1" s="160">
      <c r="B58" s="170" t="inlineStr">
        <is>
          <t>Phosphorus</t>
        </is>
      </c>
      <c r="C58" s="170" t="inlineStr">
        <is>
          <t>mg</t>
        </is>
      </c>
      <c r="D58" s="279" t="n">
        <v>1581</v>
      </c>
      <c r="E58" s="279" t="n">
        <v>0</v>
      </c>
      <c r="F58" s="280">
        <f>D58+E58</f>
        <v/>
      </c>
      <c r="G58" s="286">
        <f>F58/1250</f>
        <v/>
      </c>
      <c r="H58" s="170" t="inlineStr">
        <is>
          <t>700</t>
        </is>
      </c>
      <c r="I58" s="170" t="inlineStr">
        <is>
          <t>4,000</t>
        </is>
      </c>
      <c r="J58" s="170" t="inlineStr">
        <is>
          <t>✅ 1581mg.</t>
        </is>
      </c>
    </row>
    <row r="59" ht="15" customHeight="1" s="160">
      <c r="B59" s="189" t="inlineStr">
        <is>
          <t>Iron (EOD avg)</t>
        </is>
      </c>
      <c r="C59" s="189" t="inlineStr">
        <is>
          <t>mg</t>
        </is>
      </c>
      <c r="D59" s="282" t="n">
        <v>5</v>
      </c>
      <c r="E59" s="282" t="n">
        <v>12.5</v>
      </c>
      <c r="F59" s="283">
        <f>D59+E59</f>
        <v/>
      </c>
      <c r="G59" s="287">
        <f>F59/18</f>
        <v/>
      </c>
      <c r="H59" s="189" t="inlineStr">
        <is>
          <t>8</t>
        </is>
      </c>
      <c r="I59" s="189" t="inlineStr">
        <is>
          <t>45</t>
        </is>
      </c>
      <c r="J59" s="189" t="inlineStr">
        <is>
          <t>✅ 17.5mg. Pending labs.</t>
        </is>
      </c>
    </row>
    <row r="60" ht="15" customHeight="1" s="160">
      <c r="B60" s="170" t="inlineStr">
        <is>
          <t>Sodium</t>
        </is>
      </c>
      <c r="C60" s="159" t="inlineStr">
        <is>
          <t>mg</t>
        </is>
      </c>
      <c r="D60" s="159" t="n">
        <v>1200</v>
      </c>
      <c r="E60" s="159" t="n">
        <v>0</v>
      </c>
      <c r="F60" s="159">
        <f>D60+E60</f>
        <v/>
      </c>
      <c r="G60" s="159">
        <f>F60/2300</f>
        <v/>
      </c>
      <c r="H60" s="159" t="inlineStr">
        <is>
          <t>1500 AI</t>
        </is>
      </c>
      <c r="I60" s="159" t="inlineStr">
        <is>
          <t>2,300</t>
        </is>
      </c>
      <c r="J60" s="159" t="inlineStr">
        <is>
          <t>✅ ~1200mg. Iodized salt + milk.</t>
        </is>
      </c>
    </row>
    <row r="61" ht="15" customHeight="1" s="160">
      <c r="B61" s="189" t="inlineStr">
        <is>
          <t>Molybdenum</t>
        </is>
      </c>
      <c r="C61" s="189" t="inlineStr">
        <is>
          <t>mcg</t>
        </is>
      </c>
      <c r="D61" s="282" t="n">
        <v>37.5</v>
      </c>
      <c r="E61" s="282" t="n">
        <v>0</v>
      </c>
      <c r="F61" s="283">
        <f>D61+E61</f>
        <v/>
      </c>
      <c r="G61" s="287">
        <f>F61/45</f>
        <v/>
      </c>
      <c r="H61" s="189" t="inlineStr">
        <is>
          <t>45</t>
        </is>
      </c>
      <c r="I61" s="189" t="inlineStr">
        <is>
          <t>2,000</t>
        </is>
      </c>
      <c r="J61" s="288" t="inlineStr">
        <is>
          <t>⚠ 37.5mcg (83%).</t>
        </is>
      </c>
    </row>
    <row r="62" ht="15" customHeight="1" s="160">
      <c r="B62" s="163" t="inlineStr">
        <is>
          <t>ESSENTIAL FATTY ACIDS</t>
        </is>
      </c>
    </row>
    <row r="63" ht="15" customHeight="1" s="160">
      <c r="B63" s="189" t="inlineStr">
        <is>
          <t>EPA</t>
        </is>
      </c>
      <c r="C63" s="189" t="inlineStr">
        <is>
          <t>mg</t>
        </is>
      </c>
      <c r="D63" s="282" t="n">
        <v>0</v>
      </c>
      <c r="E63" s="282" t="n">
        <v>1125</v>
      </c>
      <c r="F63" s="283">
        <f>D63+E63</f>
        <v/>
      </c>
      <c r="G63" s="284" t="inlineStr">
        <is>
          <t>—</t>
        </is>
      </c>
      <c r="H63" s="189" t="inlineStr">
        <is>
          <t>250+</t>
        </is>
      </c>
      <c r="I63" s="189" t="inlineStr">
        <is>
          <t>No UL</t>
        </is>
      </c>
      <c r="J63" s="189" t="inlineStr">
        <is>
          <t>✅ Nordic Omega 2X.</t>
        </is>
      </c>
    </row>
    <row r="64" ht="15" customHeight="1" s="160">
      <c r="B64" s="170" t="inlineStr">
        <is>
          <t>DHA</t>
        </is>
      </c>
      <c r="C64" s="159" t="inlineStr">
        <is>
          <t>mg</t>
        </is>
      </c>
      <c r="D64" s="159" t="n">
        <v>0</v>
      </c>
      <c r="E64" s="159" t="n">
        <v>875</v>
      </c>
      <c r="F64" s="159">
        <f>D64+E64</f>
        <v/>
      </c>
      <c r="G64" s="159" t="inlineStr">
        <is>
          <t>—</t>
        </is>
      </c>
      <c r="H64" s="159" t="inlineStr">
        <is>
          <t>250+</t>
        </is>
      </c>
      <c r="I64" s="159" t="inlineStr">
        <is>
          <t>No UL</t>
        </is>
      </c>
      <c r="J64" s="159" t="inlineStr">
        <is>
          <t>✅ 875mg Nordic Omega-D3 Sport.</t>
        </is>
      </c>
    </row>
    <row r="65" ht="15" customHeight="1" s="160">
      <c r="B65" s="189" t="inlineStr">
        <is>
          <t>Total Omega-3</t>
        </is>
      </c>
      <c r="C65" s="189" t="inlineStr">
        <is>
          <t>mg</t>
        </is>
      </c>
      <c r="D65" s="282" t="n">
        <v>1100</v>
      </c>
      <c r="E65" s="282" t="n">
        <v>2150</v>
      </c>
      <c r="F65" s="283">
        <f>D65+E65</f>
        <v/>
      </c>
      <c r="G65" s="284" t="inlineStr">
        <is>
          <t>—</t>
        </is>
      </c>
      <c r="H65" s="189" t="inlineStr">
        <is>
          <t>1600 AI</t>
        </is>
      </c>
      <c r="I65" s="189" t="inlineStr">
        <is>
          <t>No UL</t>
        </is>
      </c>
      <c r="J65" s="189" t="inlineStr">
        <is>
          <t>✅ ~3250mg.</t>
        </is>
      </c>
    </row>
    <row r="66" ht="15" customHeight="1" s="160">
      <c r="B66" s="163" t="inlineStr">
        <is>
          <t>PHYTONUTRIENTS</t>
        </is>
      </c>
    </row>
    <row r="67" ht="15" customHeight="1" s="160">
      <c r="B67" s="189" t="inlineStr">
        <is>
          <t>Anthocyanins</t>
        </is>
      </c>
      <c r="C67" s="189" t="inlineStr">
        <is>
          <t>mg</t>
        </is>
      </c>
      <c r="D67" s="282" t="n">
        <v>220</v>
      </c>
      <c r="E67" s="282" t="n">
        <v>0</v>
      </c>
      <c r="F67" s="283">
        <f>D67+E67</f>
        <v/>
      </c>
      <c r="G67" s="284" t="inlineStr">
        <is>
          <t>—</t>
        </is>
      </c>
      <c r="H67" s="189" t="inlineStr">
        <is>
          <t>100-300</t>
        </is>
      </c>
      <c r="I67" s="189" t="inlineStr">
        <is>
          <t>No UL</t>
        </is>
      </c>
      <c r="J67" s="189" t="inlineStr">
        <is>
          <t>✅ Berries + POM.</t>
        </is>
      </c>
    </row>
    <row r="68" ht="15" customHeight="1" s="160">
      <c r="B68" s="170" t="inlineStr">
        <is>
          <t>EGCG</t>
        </is>
      </c>
      <c r="C68" s="170" t="inlineStr">
        <is>
          <t>mg</t>
        </is>
      </c>
      <c r="D68" s="279" t="n">
        <v>120</v>
      </c>
      <c r="E68" s="279" t="n">
        <v>75</v>
      </c>
      <c r="F68" s="280">
        <f>D68+E68</f>
        <v/>
      </c>
      <c r="G68" s="281" t="inlineStr">
        <is>
          <t>—</t>
        </is>
      </c>
      <c r="H68" s="170" t="inlineStr">
        <is>
          <t>100-300</t>
        </is>
      </c>
      <c r="I68" s="170" t="inlineStr">
        <is>
          <t>No UL</t>
        </is>
      </c>
      <c r="J68" s="170" t="inlineStr">
        <is>
          <t>✅ Matcha + Thorne Green Tea Phytosome.</t>
        </is>
      </c>
    </row>
    <row r="69" ht="15" customHeight="1" s="160">
      <c r="B69" s="189" t="inlineStr">
        <is>
          <t>Cocoa Flavanols</t>
        </is>
      </c>
      <c r="C69" s="189" t="inlineStr">
        <is>
          <t>mg</t>
        </is>
      </c>
      <c r="D69" s="282" t="n">
        <v>290</v>
      </c>
      <c r="E69" s="282" t="n">
        <v>0</v>
      </c>
      <c r="F69" s="283">
        <f>D69+E69</f>
        <v/>
      </c>
      <c r="G69" s="284" t="inlineStr">
        <is>
          <t>—</t>
        </is>
      </c>
      <c r="H69" s="189" t="inlineStr">
        <is>
          <t>200-600</t>
        </is>
      </c>
      <c r="I69" s="189" t="inlineStr">
        <is>
          <t>No UL</t>
        </is>
      </c>
      <c r="J69" s="189" t="inlineStr">
        <is>
          <t>✅ 25g cacao.</t>
        </is>
      </c>
    </row>
    <row r="70" ht="15" customHeight="1" s="160">
      <c r="B70" s="170" t="inlineStr">
        <is>
          <t>Ellagitannins</t>
        </is>
      </c>
      <c r="C70" s="170" t="inlineStr">
        <is>
          <t>mg</t>
        </is>
      </c>
      <c r="D70" s="279" t="n">
        <v>100</v>
      </c>
      <c r="E70" s="279" t="n">
        <v>0</v>
      </c>
      <c r="F70" s="280">
        <f>D70+E70</f>
        <v/>
      </c>
      <c r="G70" s="281" t="inlineStr">
        <is>
          <t>—</t>
        </is>
      </c>
      <c r="H70" s="170" t="inlineStr">
        <is>
          <t>50-150</t>
        </is>
      </c>
      <c r="I70" s="170" t="inlineStr">
        <is>
          <t>No UL</t>
        </is>
      </c>
      <c r="J70" s="170" t="inlineStr">
        <is>
          <t>✅ POM juice.</t>
        </is>
      </c>
    </row>
    <row r="71" ht="15" customHeight="1" s="160">
      <c r="B71" s="189" t="inlineStr">
        <is>
          <t>Proanthocyanidins</t>
        </is>
      </c>
      <c r="C71" s="189" t="inlineStr">
        <is>
          <t>mg</t>
        </is>
      </c>
      <c r="D71" s="282" t="n">
        <v>143</v>
      </c>
      <c r="E71" s="282" t="n">
        <v>0</v>
      </c>
      <c r="F71" s="283">
        <f>D71+E71</f>
        <v/>
      </c>
      <c r="G71" s="284" t="inlineStr">
        <is>
          <t>—</t>
        </is>
      </c>
      <c r="H71" s="189" t="inlineStr">
        <is>
          <t>50-200</t>
        </is>
      </c>
      <c r="I71" s="189" t="inlineStr">
        <is>
          <t>No UL</t>
        </is>
      </c>
      <c r="J71" s="189" t="inlineStr">
        <is>
          <t>✅ Berries + cacao + cinnamon.</t>
        </is>
      </c>
    </row>
    <row r="72" ht="15" customHeight="1" s="160">
      <c r="B72" s="170" t="inlineStr">
        <is>
          <t>Hydroxytyrosol</t>
        </is>
      </c>
      <c r="C72" s="170" t="inlineStr">
        <is>
          <t>mg</t>
        </is>
      </c>
      <c r="D72" s="279" t="n">
        <v>5</v>
      </c>
      <c r="E72" s="279" t="n">
        <v>0</v>
      </c>
      <c r="F72" s="280">
        <f>D72+E72</f>
        <v/>
      </c>
      <c r="G72" s="281" t="inlineStr">
        <is>
          <t>—</t>
        </is>
      </c>
      <c r="H72" s="170" t="inlineStr">
        <is>
          <t>5-10</t>
        </is>
      </c>
      <c r="I72" s="170" t="inlineStr">
        <is>
          <t>No UL</t>
        </is>
      </c>
      <c r="J72" s="170" t="inlineStr">
        <is>
          <t>✅ EVOO.</t>
        </is>
      </c>
    </row>
    <row r="73" ht="15" customHeight="1" s="160">
      <c r="B73" s="189" t="inlineStr">
        <is>
          <t>Quercetin (food only)</t>
        </is>
      </c>
      <c r="C73" s="189" t="inlineStr">
        <is>
          <t>mg</t>
        </is>
      </c>
      <c r="D73" s="282" t="n">
        <v>65</v>
      </c>
      <c r="E73" s="282" t="n">
        <v>0</v>
      </c>
      <c r="F73" s="283">
        <f>D73+E73</f>
        <v/>
      </c>
      <c r="G73" s="284" t="inlineStr">
        <is>
          <t>—</t>
        </is>
      </c>
      <c r="H73" s="189" t="inlineStr">
        <is>
          <t>100-500</t>
        </is>
      </c>
      <c r="I73" s="189" t="inlineStr">
        <is>
          <t>No UL</t>
        </is>
      </c>
      <c r="J73" s="189" t="inlineStr">
        <is>
          <t>65mg food. Supp removed (TPO risk).</t>
        </is>
      </c>
    </row>
    <row r="74" ht="15" customHeight="1" s="160">
      <c r="B74" s="170" t="inlineStr">
        <is>
          <t>Lignans</t>
        </is>
      </c>
      <c r="C74" s="170" t="inlineStr">
        <is>
          <t>mg</t>
        </is>
      </c>
      <c r="D74" s="279" t="n">
        <v>0</v>
      </c>
      <c r="E74" s="279" t="n">
        <v>0</v>
      </c>
      <c r="F74" s="280">
        <f>D74+E74</f>
        <v/>
      </c>
      <c r="G74" s="281" t="inlineStr">
        <is>
          <t>—</t>
        </is>
      </c>
      <c r="H74" s="170" t="inlineStr">
        <is>
          <t>10-25</t>
        </is>
      </c>
      <c r="I74" s="170" t="inlineStr">
        <is>
          <t>No UL</t>
        </is>
      </c>
      <c r="J74" s="289" t="inlineStr">
        <is>
          <t>⚠ 0mg. Flax removed. No replacement.</t>
        </is>
      </c>
    </row>
    <row r="75" ht="15" customHeight="1" s="160">
      <c r="B75" s="189" t="inlineStr">
        <is>
          <t>Lutein</t>
        </is>
      </c>
      <c r="C75" s="189" t="inlineStr">
        <is>
          <t>mcg</t>
        </is>
      </c>
      <c r="D75" s="282" t="n">
        <v>13500</v>
      </c>
      <c r="E75" s="282" t="n">
        <v>600</v>
      </c>
      <c r="F75" s="283">
        <f>D75+E75</f>
        <v/>
      </c>
      <c r="G75" s="284" t="inlineStr">
        <is>
          <t>—</t>
        </is>
      </c>
      <c r="H75" s="189" t="inlineStr">
        <is>
          <t>6k-10k</t>
        </is>
      </c>
      <c r="I75" s="189" t="inlineStr">
        <is>
          <t>No UL</t>
        </is>
      </c>
      <c r="J75" s="189" t="inlineStr">
        <is>
          <t>✅ 14100mcg.</t>
        </is>
      </c>
    </row>
    <row r="76" ht="15" customHeight="1" s="160">
      <c r="B76" s="170" t="inlineStr">
        <is>
          <t>Zeaxanthin</t>
        </is>
      </c>
      <c r="C76" s="170" t="inlineStr">
        <is>
          <t>mcg</t>
        </is>
      </c>
      <c r="D76" s="279" t="n">
        <v>4525</v>
      </c>
      <c r="E76" s="279" t="n">
        <v>0</v>
      </c>
      <c r="F76" s="280">
        <f>D76+E76</f>
        <v/>
      </c>
      <c r="G76" s="281" t="inlineStr">
        <is>
          <t>—</t>
        </is>
      </c>
      <c r="H76" s="170" t="inlineStr">
        <is>
          <t>2k-4k</t>
        </is>
      </c>
      <c r="I76" s="170" t="inlineStr">
        <is>
          <t>No UL</t>
        </is>
      </c>
      <c r="J76" s="170" t="inlineStr">
        <is>
          <t>✅ Goji.</t>
        </is>
      </c>
    </row>
    <row r="77" ht="15" customHeight="1" s="160">
      <c r="B77" s="189" t="inlineStr">
        <is>
          <t>Lycopene</t>
        </is>
      </c>
      <c r="C77" s="189" t="inlineStr">
        <is>
          <t>mg</t>
        </is>
      </c>
      <c r="D77" s="282" t="n">
        <v>10</v>
      </c>
      <c r="E77" s="282" t="n">
        <v>0</v>
      </c>
      <c r="F77" s="283">
        <f>D77+E77</f>
        <v/>
      </c>
      <c r="G77" s="284" t="inlineStr">
        <is>
          <t>—</t>
        </is>
      </c>
      <c r="H77" s="189" t="inlineStr">
        <is>
          <t>6-15</t>
        </is>
      </c>
      <c r="I77" s="189" t="inlineStr">
        <is>
          <t>No UL</t>
        </is>
      </c>
      <c r="J77" s="189" t="inlineStr">
        <is>
          <t>✅ Watermelon.</t>
        </is>
      </c>
    </row>
    <row r="78" ht="15" customHeight="1" s="160">
      <c r="B78" s="170" t="inlineStr">
        <is>
          <t>Astaxanthin</t>
        </is>
      </c>
      <c r="C78" s="170" t="inlineStr">
        <is>
          <t>mg</t>
        </is>
      </c>
      <c r="D78" s="279" t="n">
        <v>8</v>
      </c>
      <c r="E78" s="279" t="n">
        <v>0</v>
      </c>
      <c r="F78" s="280">
        <f>D78+E78</f>
        <v/>
      </c>
      <c r="G78" s="281" t="inlineStr">
        <is>
          <t>—</t>
        </is>
      </c>
      <c r="H78" s="170" t="inlineStr">
        <is>
          <t>4-12</t>
        </is>
      </c>
      <c r="I78" s="170" t="inlineStr">
        <is>
          <t>No UL</t>
        </is>
      </c>
      <c r="J78" s="170" t="inlineStr">
        <is>
          <t>✅ BulkSupplements.</t>
        </is>
      </c>
    </row>
    <row r="79" ht="15" customHeight="1" s="160">
      <c r="B79" s="189" t="inlineStr">
        <is>
          <t>Sulforaphane</t>
        </is>
      </c>
      <c r="C79" s="189" t="inlineStr">
        <is>
          <t>mg</t>
        </is>
      </c>
      <c r="D79" s="282" t="n">
        <v>12</v>
      </c>
      <c r="E79" s="282" t="n">
        <v>0</v>
      </c>
      <c r="F79" s="283">
        <f>D79+E79</f>
        <v/>
      </c>
      <c r="G79" s="284" t="inlineStr">
        <is>
          <t>—</t>
        </is>
      </c>
      <c r="H79" s="189" t="inlineStr">
        <is>
          <t>10-30</t>
        </is>
      </c>
      <c r="I79" s="189" t="inlineStr">
        <is>
          <t>No UL</t>
        </is>
      </c>
      <c r="J79" s="189" t="inlineStr">
        <is>
          <t>✅ 4× boost w/ mustard seed.</t>
        </is>
      </c>
    </row>
    <row r="80" ht="15" customHeight="1" s="160">
      <c r="B80" s="170" t="inlineStr">
        <is>
          <t>Phytosterols (food)</t>
        </is>
      </c>
      <c r="C80" s="170" t="inlineStr">
        <is>
          <t>mg</t>
        </is>
      </c>
      <c r="D80" s="279" t="n">
        <v>330</v>
      </c>
      <c r="E80" s="279" t="n">
        <v>0</v>
      </c>
      <c r="F80" s="280">
        <f>D80+E80</f>
        <v/>
      </c>
      <c r="G80" s="281" t="inlineStr">
        <is>
          <t>—</t>
        </is>
      </c>
      <c r="H80" s="170" t="inlineStr">
        <is>
          <t>800-2000</t>
        </is>
      </c>
      <c r="I80" s="170" t="inlineStr">
        <is>
          <t>No UL</t>
        </is>
      </c>
      <c r="J80" s="170" t="inlineStr">
        <is>
          <t>330mg food. Supp removed (DHT).</t>
        </is>
      </c>
    </row>
    <row r="81" ht="15" customHeight="1" s="160">
      <c r="B81" s="189" t="inlineStr">
        <is>
          <t>Nitrate</t>
        </is>
      </c>
      <c r="C81" s="159" t="inlineStr">
        <is>
          <t>mg</t>
        </is>
      </c>
      <c r="D81" s="159" t="n">
        <v>250</v>
      </c>
      <c r="E81" s="159" t="n">
        <v>0</v>
      </c>
      <c r="F81" s="159">
        <f>D81+E81</f>
        <v/>
      </c>
      <c r="G81" s="159" t="inlineStr">
        <is>
          <t>—</t>
        </is>
      </c>
      <c r="H81" s="159" t="inlineStr">
        <is>
          <t>300-500</t>
        </is>
      </c>
      <c r="I81" s="159" t="inlineStr">
        <is>
          <t>No UL</t>
        </is>
      </c>
      <c r="J81" s="159" t="inlineStr">
        <is>
          <t>✅ Beet + watermelon.</t>
        </is>
      </c>
    </row>
    <row r="82" ht="15" customHeight="1" s="160">
      <c r="B82" s="170" t="inlineStr">
        <is>
          <t>Spermidine</t>
        </is>
      </c>
      <c r="C82" s="170" t="inlineStr">
        <is>
          <t>mg</t>
        </is>
      </c>
      <c r="D82" s="279" t="n">
        <v>3.5</v>
      </c>
      <c r="E82" s="279" t="n">
        <v>0</v>
      </c>
      <c r="F82" s="280">
        <f>D82+E82</f>
        <v/>
      </c>
      <c r="G82" s="281" t="inlineStr">
        <is>
          <t>—</t>
        </is>
      </c>
      <c r="H82" s="170" t="inlineStr">
        <is>
          <t>1-5</t>
        </is>
      </c>
      <c r="I82" s="170" t="inlineStr">
        <is>
          <t>No UL</t>
        </is>
      </c>
      <c r="J82" s="170" t="inlineStr">
        <is>
          <t>✅ Lentils + rice bran.</t>
        </is>
      </c>
    </row>
    <row r="83" ht="15" customHeight="1" s="160">
      <c r="B83" s="163" t="inlineStr">
        <is>
          <t>OTHER PERFORMANCE</t>
        </is>
      </c>
    </row>
    <row r="84" ht="15" customHeight="1" s="160">
      <c r="B84" s="170" t="inlineStr">
        <is>
          <t>Leucine</t>
        </is>
      </c>
      <c r="C84" s="170" t="inlineStr">
        <is>
          <t>g</t>
        </is>
      </c>
      <c r="D84" s="279" t="n">
        <v>14.8</v>
      </c>
      <c r="E84" s="279" t="n">
        <v>0</v>
      </c>
      <c r="F84" s="280">
        <f>D84+E84</f>
        <v/>
      </c>
      <c r="G84" s="281" t="inlineStr">
        <is>
          <t>—</t>
        </is>
      </c>
      <c r="H84" s="170" t="inlineStr">
        <is>
          <t>3+ /meal</t>
        </is>
      </c>
      <c r="I84" s="170" t="inlineStr">
        <is>
          <t>No UL</t>
        </is>
      </c>
      <c r="J84" s="170" t="inlineStr">
        <is>
          <t>✅ 14.8g. 5× MPS threshold.</t>
        </is>
      </c>
    </row>
    <row r="85" ht="15" customHeight="1" s="160">
      <c r="B85" s="189" t="inlineStr">
        <is>
          <t>Collagen</t>
        </is>
      </c>
      <c r="C85" s="189" t="inlineStr">
        <is>
          <t>g</t>
        </is>
      </c>
      <c r="D85" s="282" t="n">
        <v>13</v>
      </c>
      <c r="E85" s="282" t="n">
        <v>0</v>
      </c>
      <c r="F85" s="283">
        <f>D85+E85</f>
        <v/>
      </c>
      <c r="G85" s="284" t="inlineStr">
        <is>
          <t>—</t>
        </is>
      </c>
      <c r="H85" s="189" t="inlineStr">
        <is>
          <t>10-15</t>
        </is>
      </c>
      <c r="I85" s="189" t="inlineStr">
        <is>
          <t>No UL</t>
        </is>
      </c>
      <c r="J85" s="189" t="inlineStr">
        <is>
          <t>✅ Vital Proteins.</t>
        </is>
      </c>
    </row>
    <row r="86" ht="15" customHeight="1" s="160">
      <c r="B86" s="170" t="inlineStr">
        <is>
          <t>Prebiotic Fiber</t>
        </is>
      </c>
      <c r="C86" s="170" t="inlineStr">
        <is>
          <t>g</t>
        </is>
      </c>
      <c r="D86" s="279" t="n">
        <v>16</v>
      </c>
      <c r="E86" s="279" t="n">
        <v>0</v>
      </c>
      <c r="F86" s="280">
        <f>D86+E86</f>
        <v/>
      </c>
      <c r="G86" s="281" t="inlineStr">
        <is>
          <t>—</t>
        </is>
      </c>
      <c r="H86" s="170" t="inlineStr">
        <is>
          <t>3-5</t>
        </is>
      </c>
      <c r="I86" s="170" t="inlineStr">
        <is>
          <t>No UL</t>
        </is>
      </c>
      <c r="J86" s="170" t="inlineStr">
        <is>
          <t>✅ 7 types.</t>
        </is>
      </c>
    </row>
    <row r="87" ht="15" customHeight="1" s="160">
      <c r="B87" s="189" t="inlineStr">
        <is>
          <t>Taurine</t>
        </is>
      </c>
      <c r="C87" s="189" t="inlineStr">
        <is>
          <t>mg</t>
        </is>
      </c>
      <c r="D87" s="282" t="n">
        <v>1500</v>
      </c>
      <c r="E87" s="282" t="n">
        <v>0</v>
      </c>
      <c r="F87" s="283">
        <f>D87+E87</f>
        <v/>
      </c>
      <c r="G87" s="284" t="inlineStr">
        <is>
          <t>—</t>
        </is>
      </c>
      <c r="H87" s="189" t="inlineStr">
        <is>
          <t>500-2000</t>
        </is>
      </c>
      <c r="I87" s="189" t="inlineStr">
        <is>
          <t>No UL</t>
        </is>
      </c>
      <c r="J87" s="189" t="inlineStr">
        <is>
          <t>✅ Counter-stimulant medication.</t>
        </is>
      </c>
    </row>
    <row r="88" ht="15" customHeight="1" s="160">
      <c r="B88" s="170" t="inlineStr">
        <is>
          <t>CoQ10</t>
        </is>
      </c>
      <c r="C88" s="170" t="inlineStr">
        <is>
          <t>mg</t>
        </is>
      </c>
      <c r="D88" s="279" t="n">
        <v>0</v>
      </c>
      <c r="E88" s="279" t="n">
        <v>100</v>
      </c>
      <c r="F88" s="280">
        <f>D88+E88</f>
        <v/>
      </c>
      <c r="G88" s="281" t="inlineStr">
        <is>
          <t>—</t>
        </is>
      </c>
      <c r="H88" s="170" t="inlineStr">
        <is>
          <t>100-200</t>
        </is>
      </c>
      <c r="I88" s="170" t="inlineStr">
        <is>
          <t>No UL</t>
        </is>
      </c>
      <c r="J88" s="170" t="inlineStr">
        <is>
          <t>✅ 100mg ubiquinone (Qunol Ultra). At 20, conversion efficient — ubiquinone = correct form. ConsumerLab top pick.</t>
        </is>
      </c>
    </row>
    <row r="89" ht="15" customHeight="1" s="160">
      <c r="B89" s="189" t="inlineStr">
        <is>
          <t>Creatine</t>
        </is>
      </c>
      <c r="C89" s="189" t="inlineStr">
        <is>
          <t>g</t>
        </is>
      </c>
      <c r="D89" s="282" t="n">
        <v>5</v>
      </c>
      <c r="E89" s="282" t="n">
        <v>0</v>
      </c>
      <c r="F89" s="283">
        <f>D89+E89</f>
        <v/>
      </c>
      <c r="G89" s="284" t="inlineStr">
        <is>
          <t>—</t>
        </is>
      </c>
      <c r="H89" s="189" t="inlineStr">
        <is>
          <t>3-5</t>
        </is>
      </c>
      <c r="I89" s="189" t="inlineStr">
        <is>
          <t>No UL</t>
        </is>
      </c>
      <c r="J89" s="189" t="inlineStr">
        <is>
          <t>✅ Creapure.</t>
        </is>
      </c>
    </row>
    <row r="90" ht="15" customHeight="1" s="160">
      <c r="B90" s="170" t="inlineStr">
        <is>
          <t>Lithium</t>
        </is>
      </c>
      <c r="C90" s="170" t="inlineStr">
        <is>
          <t>mg</t>
        </is>
      </c>
      <c r="D90" s="279" t="n">
        <v>0</v>
      </c>
      <c r="E90" s="279" t="n">
        <v>1</v>
      </c>
      <c r="F90" s="280">
        <f>D90+E90</f>
        <v/>
      </c>
      <c r="G90" s="281" t="inlineStr">
        <is>
          <t>—</t>
        </is>
      </c>
      <c r="H90" s="170" t="inlineStr">
        <is>
          <t>N/A</t>
        </is>
      </c>
      <c r="I90" s="170" t="inlineStr">
        <is>
          <t>No UL</t>
        </is>
      </c>
      <c r="J90" s="170" t="inlineStr">
        <is>
          <t>✅ 1mg microdose.</t>
        </is>
      </c>
    </row>
    <row r="91" ht="15" customHeight="1" s="160">
      <c r="B91" s="189" t="inlineStr">
        <is>
          <t>Probiotics</t>
        </is>
      </c>
      <c r="C91" s="159" t="inlineStr">
        <is>
          <t>B AFU</t>
        </is>
      </c>
      <c r="D91" s="159" t="n">
        <v>0</v>
      </c>
      <c r="E91" s="159" t="n">
        <v>53.6</v>
      </c>
      <c r="F91" s="159">
        <f>D91+E91</f>
        <v/>
      </c>
      <c r="G91" s="159" t="inlineStr">
        <is>
          <t>—</t>
        </is>
      </c>
      <c r="H91" s="159" t="inlineStr">
        <is>
          <t>10-50B</t>
        </is>
      </c>
      <c r="I91" s="159" t="inlineStr">
        <is>
          <t>No UL</t>
        </is>
      </c>
      <c r="J91" s="159" t="inlineStr">
        <is>
          <t>✅ Seed DS-01. 53.6B AFU, 24 strains.</t>
        </is>
      </c>
    </row>
    <row r="92" ht="15" customHeight="1" s="160">
      <c r="B92" s="170" t="inlineStr">
        <is>
          <t>Caffeine (base)</t>
        </is>
      </c>
      <c r="C92" s="170" t="inlineStr">
        <is>
          <t>mg</t>
        </is>
      </c>
      <c r="D92" s="279" t="n">
        <v>47</v>
      </c>
      <c r="E92" s="279" t="n">
        <v>0</v>
      </c>
      <c r="F92" s="280">
        <f>D92+E92</f>
        <v/>
      </c>
      <c r="G92" s="281" t="inlineStr">
        <is>
          <t>—</t>
        </is>
      </c>
      <c r="H92" s="170" t="inlineStr">
        <is>
          <t>&lt;200</t>
        </is>
      </c>
      <c r="I92" s="170" t="inlineStr">
        <is>
          <t>400</t>
        </is>
      </c>
      <c r="J92" s="170" t="inlineStr">
        <is>
          <t>✅ 47mg. +30 opt.</t>
        </is>
      </c>
    </row>
    <row r="93" ht="15" customHeight="1" s="160">
      <c r="B93" s="163" t="inlineStr">
        <is>
          <t>THORNE ELITE EXTRAS</t>
        </is>
      </c>
    </row>
    <row r="94" ht="15" customHeight="1" s="160">
      <c r="B94" s="170" t="inlineStr">
        <is>
          <t>Curcumin Phytosome</t>
        </is>
      </c>
      <c r="C94" s="170" t="inlineStr">
        <is>
          <t>mg</t>
        </is>
      </c>
      <c r="D94" s="279" t="n">
        <v>0</v>
      </c>
      <c r="E94" s="279" t="n">
        <v>200</v>
      </c>
      <c r="F94" s="280">
        <f>D94+E94</f>
        <v/>
      </c>
      <c r="G94" s="281" t="inlineStr">
        <is>
          <t>—</t>
        </is>
      </c>
      <c r="H94" s="170" t="inlineStr">
        <is>
          <t>**</t>
        </is>
      </c>
      <c r="I94" s="170" t="inlineStr">
        <is>
          <t>No UL</t>
        </is>
      </c>
      <c r="J94" s="170" t="inlineStr">
        <is>
          <t>✅ AM. Anti-inflammatory.</t>
        </is>
      </c>
    </row>
    <row r="95" ht="15" customHeight="1" s="160">
      <c r="B95" s="189" t="inlineStr">
        <is>
          <t>Green Tea Phytosome</t>
        </is>
      </c>
      <c r="C95" s="189" t="inlineStr">
        <is>
          <t>mg</t>
        </is>
      </c>
      <c r="D95" s="282" t="n">
        <v>0</v>
      </c>
      <c r="E95" s="282" t="n">
        <v>75</v>
      </c>
      <c r="F95" s="283">
        <f>D95+E95</f>
        <v/>
      </c>
      <c r="G95" s="284" t="inlineStr">
        <is>
          <t>—</t>
        </is>
      </c>
      <c r="H95" s="189" t="inlineStr">
        <is>
          <t>**</t>
        </is>
      </c>
      <c r="I95" s="189" t="inlineStr">
        <is>
          <t>No UL</t>
        </is>
      </c>
      <c r="J95" s="189" t="inlineStr">
        <is>
          <t>✅ AM. Decaf.</t>
        </is>
      </c>
    </row>
    <row r="96" ht="15" customHeight="1" s="160">
      <c r="B96" s="170" t="inlineStr">
        <is>
          <t>d-Gamma Tocopherol</t>
        </is>
      </c>
      <c r="C96" s="170" t="inlineStr">
        <is>
          <t>mg</t>
        </is>
      </c>
      <c r="D96" s="279" t="n">
        <v>0</v>
      </c>
      <c r="E96" s="279" t="n">
        <v>48</v>
      </c>
      <c r="F96" s="280">
        <f>D96+E96</f>
        <v/>
      </c>
      <c r="G96" s="281" t="inlineStr">
        <is>
          <t>—</t>
        </is>
      </c>
      <c r="H96" s="170" t="inlineStr">
        <is>
          <t>**</t>
        </is>
      </c>
      <c r="I96" s="170" t="inlineStr">
        <is>
          <t>No UL</t>
        </is>
      </c>
      <c r="J96" s="170" t="inlineStr">
        <is>
          <t>✅ AM+PM. Mixed tocopherols.</t>
        </is>
      </c>
    </row>
    <row r="97" ht="15" customHeight="1" s="160">
      <c r="B97" s="189" t="inlineStr">
        <is>
          <t>Proprietary Blend</t>
        </is>
      </c>
      <c r="C97" s="189" t="inlineStr">
        <is>
          <t>mg</t>
        </is>
      </c>
      <c r="D97" s="282" t="n">
        <v>0</v>
      </c>
      <c r="E97" s="282" t="n">
        <v>200</v>
      </c>
      <c r="F97" s="283">
        <f>D97+E97</f>
        <v/>
      </c>
      <c r="G97" s="284" t="inlineStr">
        <is>
          <t>—</t>
        </is>
      </c>
      <c r="H97" s="189" t="inlineStr">
        <is>
          <t>**</t>
        </is>
      </c>
      <c r="I97" s="189" t="inlineStr">
        <is>
          <t>No UL</t>
        </is>
      </c>
      <c r="J97" s="189" t="inlineStr">
        <is>
          <t>✅ PM. Magnolia + Phellodendron.</t>
        </is>
      </c>
    </row>
    <row r="99" ht="15" customHeight="1" s="160">
      <c r="B99" s="159" t="inlineStr">
        <is>
          <t>HEAVY METALS (DAILY EXPOSURE ESTIMATE)</t>
        </is>
      </c>
    </row>
    <row r="101" ht="15" customHeight="1" s="160">
      <c r="B101" s="159" t="inlineStr">
        <is>
          <t>Lead (Pb)</t>
        </is>
      </c>
      <c r="C101" s="159" t="inlineStr">
        <is>
          <t>mcg</t>
        </is>
      </c>
      <c r="F101" s="159">
        <f>D101+E101</f>
        <v/>
      </c>
      <c r="G101" s="159" t="inlineStr">
        <is>
          <t>—</t>
        </is>
      </c>
      <c r="H101" s="159" t="inlineStr">
        <is>
          <t>ALARA (&lt;3)</t>
        </is>
      </c>
      <c r="I101" s="159" t="n">
        <v>3</v>
      </c>
      <c r="J101" s="159" t="inlineStr">
        <is>
          <t>⬜ Pending COA data. Sources: cacao, berries, beets.</t>
        </is>
      </c>
    </row>
    <row r="102" ht="15" customHeight="1" s="160">
      <c r="B102" s="159" t="inlineStr">
        <is>
          <t>Cadmium (Cd)</t>
        </is>
      </c>
      <c r="C102" s="159" t="inlineStr">
        <is>
          <t>mcg</t>
        </is>
      </c>
      <c r="F102" s="159">
        <f>D102+E102</f>
        <v/>
      </c>
      <c r="G102" s="159" t="inlineStr">
        <is>
          <t>—</t>
        </is>
      </c>
      <c r="H102" s="159" t="inlineStr">
        <is>
          <t>ALARA (&lt;5)</t>
        </is>
      </c>
      <c r="I102" s="159" t="n">
        <v>25</v>
      </c>
      <c r="J102" s="159" t="inlineStr">
        <is>
          <t>⬜ Pending COA data. Sources: cacao, lentil, kale.</t>
        </is>
      </c>
    </row>
    <row r="103" ht="15" customHeight="1" s="160">
      <c r="B103" s="159" t="inlineStr">
        <is>
          <t>Arsenic (As, inorganic)</t>
        </is>
      </c>
      <c r="C103" s="159" t="inlineStr">
        <is>
          <t>mcg</t>
        </is>
      </c>
      <c r="F103" s="159">
        <f>D103+E103</f>
        <v/>
      </c>
      <c r="G103" s="159" t="inlineStr">
        <is>
          <t>—</t>
        </is>
      </c>
      <c r="H103" s="159" t="inlineStr">
        <is>
          <t>ALARA (&lt;5)</t>
        </is>
      </c>
      <c r="I103" s="159" t="n">
        <v>15</v>
      </c>
      <c r="J103" s="159" t="inlineStr">
        <is>
          <t>⬜ Pending COA data. Sources: rice bran, berries.</t>
        </is>
      </c>
    </row>
    <row r="104" ht="15" customHeight="1" s="160">
      <c r="B104" s="159" t="inlineStr">
        <is>
          <t>Mercury (Hg)</t>
        </is>
      </c>
      <c r="C104" s="159" t="inlineStr">
        <is>
          <t>mcg</t>
        </is>
      </c>
      <c r="F104" s="159">
        <f>D104+E104</f>
        <v/>
      </c>
      <c r="G104" s="159" t="inlineStr">
        <is>
          <t>—</t>
        </is>
      </c>
      <c r="H104" s="159" t="inlineStr">
        <is>
          <t>ALARA (&lt;2)</t>
        </is>
      </c>
      <c r="I104" s="159" t="n">
        <v>10</v>
      </c>
      <c r="J104" s="159" t="inlineStr">
        <is>
          <t>⬜ Pending COA data. Sources: fish oil (Nordic — distilled).</t>
        </is>
      </c>
    </row>
    <row r="106" ht="15" customHeight="1" s="160">
      <c r="B106" s="159" t="inlineStr">
        <is>
          <t xml:space="preserve">  Total Metal Burden</t>
        </is>
      </c>
      <c r="C106" s="159" t="inlineStr">
        <is>
          <t>mcg</t>
        </is>
      </c>
      <c r="F106" s="159">
        <f>F101+F102+F103+F104</f>
        <v/>
      </c>
      <c r="G106" s="159" t="inlineStr">
        <is>
          <t>—</t>
        </is>
      </c>
      <c r="H106" s="159" t="inlineStr">
        <is>
          <t>ALARA</t>
        </is>
      </c>
      <c r="I106" s="159" t="inlineStr">
        <is>
          <t>—</t>
        </is>
      </c>
      <c r="J106" s="159" t="inlineStr">
        <is>
          <t>⬜ Populate COA data above to auto-calculate.</t>
        </is>
      </c>
    </row>
    <row r="108" ht="15" customHeight="1" s="160">
      <c r="B108" s="159" t="inlineStr">
        <is>
          <t>UL sources: Lead=FDA IRLC 3mcg/day; Cd=WHO PTDI 25mcg; As(inorg)=EFSA 15mcg; Hg=WHO PTWI converted to daily. ALARA = As Low As Reasonably Achievable.</t>
        </is>
      </c>
    </row>
  </sheetData>
  <mergeCells count="5">
    <mergeCell ref="B7:J7"/>
    <mergeCell ref="B3:J3"/>
    <mergeCell ref="B99:J99"/>
    <mergeCell ref="B108:J108"/>
    <mergeCell ref="B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D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34375" defaultRowHeight="15" customHeight="0" zeroHeight="0" outlineLevelRow="0"/>
  <cols>
    <col width="2" customWidth="1" style="159" min="1" max="1"/>
    <col width="30" customWidth="1" style="159" min="2" max="2"/>
    <col width="60" customWidth="1" style="159" min="3" max="3"/>
    <col width="12" customWidth="1" style="159" min="4" max="4"/>
  </cols>
  <sheetData>
    <row r="2" ht="16.15" customHeight="1" s="160">
      <c r="B2" s="161" t="inlineStr">
        <is>
          <t>STIMULANT MEDICATION SAFETY, TIMING PROTOCOL &amp; ANNUAL LABS</t>
        </is>
      </c>
    </row>
    <row r="4" ht="15" customHeight="1" s="160">
      <c r="B4" s="166" t="inlineStr">
        <is>
          <t>Topic</t>
        </is>
      </c>
      <c r="C4" s="166" t="inlineStr">
        <is>
          <t>Detail</t>
        </is>
      </c>
      <c r="D4" s="166" t="inlineStr">
        <is>
          <t>Status</t>
        </is>
      </c>
    </row>
    <row r="5" ht="15" customHeight="1" s="160">
      <c r="B5" s="189" t="inlineStr">
        <is>
          <t>Beet Nitrate + stimulant medication</t>
        </is>
      </c>
      <c r="C5" s="189" t="inlineStr">
        <is>
          <t>stimulant medication ↑ BP. Beet nitrate → NO → ↓ BP. Synergistic.</t>
        </is>
      </c>
      <c r="D5" s="189" t="inlineStr">
        <is>
          <t>✅</t>
        </is>
      </c>
    </row>
    <row r="6" ht="15" customHeight="1" s="160">
      <c r="B6" s="189" t="inlineStr">
        <is>
          <t>Taurine + stimulant medication</t>
        </is>
      </c>
      <c r="C6" s="189" t="inlineStr">
        <is>
          <t>Taurine ↓ BP + ↑ GABA + ↑ BDNF. Addresses stimulant medication CV + neuro effects.</t>
        </is>
      </c>
      <c r="D6" s="189" t="inlineStr">
        <is>
          <t>✅</t>
        </is>
      </c>
    </row>
    <row r="7" ht="15" customHeight="1" s="160">
      <c r="B7" s="189" t="inlineStr">
        <is>
          <t>CDP-Choline + stimulant medication</t>
        </is>
      </c>
      <c r="C7" s="189" t="inlineStr">
        <is>
          <t>Rebuilds dopamine receptors. Restorative synergy.</t>
        </is>
      </c>
      <c r="D7" s="189" t="inlineStr">
        <is>
          <t>✅</t>
        </is>
      </c>
    </row>
    <row r="8" ht="15" customHeight="1" s="160">
      <c r="B8" s="189" t="inlineStr">
        <is>
          <t>Caffeine (~47mg) + stimulant medication</t>
        </is>
      </c>
      <c r="C8" s="189" t="inlineStr">
        <is>
          <t>Low dose. Cacao + matcha only. Safe. +30 if espresso.</t>
        </is>
      </c>
      <c r="D8" s="189" t="inlineStr">
        <is>
          <t>✅</t>
        </is>
      </c>
    </row>
    <row r="9" ht="15" customHeight="1" s="160">
      <c r="B9" s="189" t="inlineStr">
        <is>
          <t>Biotin (1000mcg) + Labs</t>
        </is>
      </c>
      <c r="C9" s="189" t="inlineStr">
        <is>
          <t>Interferes w/ troponin + TSH assays. DISCLOSE 48hr before.</t>
        </is>
      </c>
      <c r="D9" s="291" t="inlineStr">
        <is>
          <t>⚠</t>
        </is>
      </c>
    </row>
    <row r="10" ht="15" customHeight="1" s="160">
      <c r="B10" s="189" t="inlineStr">
        <is>
          <t>Magnesium + stimulant medication</t>
        </is>
      </c>
      <c r="C10" s="189" t="inlineStr">
        <is>
          <t>May reduce stimulant tolerance. 893mg therapeutic.</t>
        </is>
      </c>
      <c r="D10" s="189" t="inlineStr">
        <is>
          <t>✅</t>
        </is>
      </c>
    </row>
    <row r="11" ht="15" customHeight="1" s="160">
      <c r="B11" s="189" t="inlineStr">
        <is>
          <t>Iron EOD + stimulant medication</t>
        </is>
      </c>
      <c r="C11" s="189" t="inlineStr">
        <is>
          <t>Thorne Ferrochel® = 25mg ELEMENTAL. EOD per hepcidin cycling. PENDING LABS.</t>
        </is>
      </c>
      <c r="D11" s="291" t="inlineStr">
        <is>
          <t>⚠</t>
        </is>
      </c>
    </row>
    <row r="12" ht="15" customHeight="1" s="160">
      <c r="B12" s="189" t="inlineStr">
        <is>
          <t>Sat Fat ~34g</t>
        </is>
      </c>
      <c r="C12" s="189" t="inlineStr">
        <is>
          <t>63% stearic+oleic = neutral. Oat BG (3g) actively lowers LDL.</t>
        </is>
      </c>
      <c r="D12" s="291" t="inlineStr">
        <is>
          <t>⚠</t>
        </is>
      </c>
    </row>
    <row r="13" ht="15" customHeight="1" s="160">
      <c r="B13" s="189" t="inlineStr">
        <is>
          <t>CoQ10 + stimulant medication</t>
        </is>
      </c>
      <c r="C13" s="189" t="inlineStr">
        <is>
          <t>No interaction. Mitochondrial support.</t>
        </is>
      </c>
      <c r="D13" s="189" t="inlineStr">
        <is>
          <t>✅</t>
        </is>
      </c>
    </row>
    <row r="14" ht="15" customHeight="1" s="160">
      <c r="B14" s="189" t="inlineStr">
        <is>
          <t>MK-4 + MK-7 combo</t>
        </is>
      </c>
      <c r="C14" s="189" t="inlineStr">
        <is>
          <t>Complementary. MK-4 local (6hr), MK-7 systemic (72hr). No UL.</t>
        </is>
      </c>
      <c r="D14" s="189" t="inlineStr">
        <is>
          <t>✅</t>
        </is>
      </c>
    </row>
    <row r="15" ht="15" customHeight="1" s="160">
      <c r="B15" s="189" t="inlineStr">
        <is>
          <t>Curcumin Phytosome + stimulant medication</t>
        </is>
      </c>
      <c r="C15" s="189" t="inlineStr">
        <is>
          <t>No known interaction. Anti-inflammatory. AM only.</t>
        </is>
      </c>
      <c r="D15" s="189" t="inlineStr">
        <is>
          <t>✅</t>
        </is>
      </c>
    </row>
    <row r="16" ht="15" customHeight="1" s="160">
      <c r="B16" s="189" t="inlineStr">
        <is>
          <t>Folate 1667mcg + UL</t>
        </is>
      </c>
      <c r="C16" s="189" t="inlineStr">
        <is>
          <t>Exceeds 1000mcg supplemental UL. May mask B12 deficiency.</t>
        </is>
      </c>
      <c r="D16" s="292" t="inlineStr">
        <is>
          <t>🔴</t>
        </is>
      </c>
    </row>
    <row r="17" ht="15" customHeight="1" s="160">
      <c r="B17" s="189" t="inlineStr">
        <is>
          <t>Zinc 35.5mg + UL</t>
        </is>
      </c>
      <c r="C17" s="189" t="inlineStr">
        <is>
          <t>89% of 40mg UL. Thorne Elite has 30mg Zn. Monitor Cu:Zn ratio.</t>
        </is>
      </c>
      <c r="D17" s="291" t="inlineStr">
        <is>
          <t>⚠</t>
        </is>
      </c>
    </row>
    <row r="18" ht="15" customHeight="1" s="160">
      <c r="B18" s="189" t="inlineStr">
        <is>
          <t>Niacin 65.5mg + UL</t>
        </is>
      </c>
      <c r="C18" s="189" t="inlineStr">
        <is>
          <t>Exceeds 35mg suppl UL. Niacinamide form (no flush). Monitor.</t>
        </is>
      </c>
      <c r="D18" s="291" t="inlineStr">
        <is>
          <t>⚠</t>
        </is>
      </c>
    </row>
    <row r="19" ht="15" customHeight="1" s="160">
      <c r="B19" s="189" t="inlineStr">
        <is>
          <t>60g fiber + GI</t>
        </is>
      </c>
      <c r="C19" s="189" t="inlineStr">
        <is>
          <t>Expect 1-2 week GI adjustment (bloating). Microbiome adapts.</t>
        </is>
      </c>
      <c r="D19" s="291" t="inlineStr">
        <is>
          <t>⚠</t>
        </is>
      </c>
    </row>
    <row r="22" ht="15" customHeight="1" s="160">
      <c r="B22" s="163" t="inlineStr">
        <is>
          <t>DAILY TIMING PROTOCOL</t>
        </is>
      </c>
    </row>
    <row r="23" ht="15" customHeight="1" s="160">
      <c r="B23" s="166" t="inlineStr">
        <is>
          <t>Time</t>
        </is>
      </c>
      <c r="C23" s="166" t="inlineStr">
        <is>
          <t>Action</t>
        </is>
      </c>
      <c r="D23" s="166" t="inlineStr">
        <is>
          <t>Notes</t>
        </is>
      </c>
    </row>
    <row r="24" ht="15" customHeight="1" s="160">
      <c r="B24" s="189" t="inlineStr">
        <is>
          <t>6:00 AM</t>
        </is>
      </c>
      <c r="C24" s="189" t="inlineStr">
        <is>
          <t>Iron Bisglycinate (EOD) + stimulant medication</t>
        </is>
      </c>
      <c r="D24" s="189" t="inlineStr">
        <is>
          <t>FASTED. Every other day only. No Vit C needed — Ferrochel absorbs without it.</t>
        </is>
      </c>
    </row>
    <row r="25" ht="15" customHeight="1" s="160">
      <c r="B25" s="189" t="inlineStr">
        <is>
          <t>10-11 AM</t>
        </is>
      </c>
      <c r="C25" s="189" t="inlineStr">
        <is>
          <t>SHAKE + AM supplements</t>
        </is>
      </c>
      <c r="D25" s="189" t="inlineStr">
        <is>
          <t>Shake + Thorne Elite AM (3 caps) + Nordic Omega + Seed + CDP-Choline + CoQ10 + MK-7. All fat-solubles ride the ~159g fat.</t>
        </is>
      </c>
    </row>
    <row r="26" ht="15" customHeight="1" s="160">
      <c r="B26" s="189" t="inlineStr">
        <is>
          <t>8:00 PM</t>
        </is>
      </c>
      <c r="C26" s="189" t="inlineStr">
        <is>
          <t>Thorne Elite PM (3 caps) + Lithium Orotate</t>
        </is>
      </c>
      <c r="D26" s="189" t="inlineStr">
        <is>
          <t>PM caps have higher Mg (107mg Albion DiMg Malate) + Zn (20mg) for sleep. Lithium supports melatonin.</t>
        </is>
      </c>
    </row>
    <row r="29" ht="15" customHeight="1" s="160">
      <c r="B29" s="163" t="inlineStr">
        <is>
          <t>ANNUAL BLOOD PANEL (priority-ordered)</t>
        </is>
      </c>
    </row>
    <row r="30" ht="15" customHeight="1" s="160">
      <c r="B30" s="170" t="inlineStr">
        <is>
          <t>1. Ferritin + TIBC — CRITICAL. Determines iron dosing. If &gt;200: STOP iron.</t>
        </is>
      </c>
    </row>
    <row r="31" ht="15" customHeight="1" s="160">
      <c r="B31" s="189" t="inlineStr">
        <is>
          <t>2. Lipid Panel — LDL, HDL, trigs, apoB. MONITOR w/ 34g sat fat + oat BG.</t>
        </is>
      </c>
    </row>
    <row r="32" ht="15" customHeight="1" s="160">
      <c r="B32" s="170" t="inlineStr">
        <is>
          <t>3. CMP — kidney + liver + glucose + electrolytes</t>
        </is>
      </c>
    </row>
    <row r="33" ht="15" customHeight="1" s="160">
      <c r="B33" s="189" t="inlineStr">
        <is>
          <t>4. CBC — iron status, WBC, RBC, platelets</t>
        </is>
      </c>
    </row>
    <row r="34" ht="15" customHeight="1" s="160">
      <c r="B34" s="170" t="inlineStr">
        <is>
          <t>5. Vitamin D (25-OH) — confirm 40-60 ng/mL</t>
        </is>
      </c>
    </row>
    <row r="35" ht="15" customHeight="1" s="160">
      <c r="B35" s="189" t="inlineStr">
        <is>
          <t>6. Thyroid (TSH, fT3, fT4) — stop biotin 48hrs before draw</t>
        </is>
      </c>
    </row>
    <row r="36" ht="15" customHeight="1" s="160">
      <c r="B36" s="170" t="inlineStr">
        <is>
          <t>7. Testosterone (total+free) + E2 — baseline at 20</t>
        </is>
      </c>
    </row>
    <row r="37" ht="15" customHeight="1" s="160">
      <c r="B37" s="189" t="inlineStr">
        <is>
          <t>8. Serum Zinc / RBC Zinc — verify absorption. 35.5mg intake near UL.</t>
        </is>
      </c>
    </row>
    <row r="38" ht="15" customHeight="1" s="160">
      <c r="B38" s="170" t="inlineStr">
        <is>
          <t>9. Homocysteine — methylation marker (high folate may mask issues)</t>
        </is>
      </c>
    </row>
    <row r="39" ht="15" customHeight="1" s="160">
      <c r="B39" s="189" t="inlineStr">
        <is>
          <t>10. hsCRP — systemic inflammation</t>
        </is>
      </c>
    </row>
    <row r="40" ht="15" customHeight="1" s="160">
      <c r="B40" s="170" t="inlineStr">
        <is>
          <t>11. DHT — baseline 5α-reductase / androgenic status</t>
        </is>
      </c>
    </row>
    <row r="41" ht="15" customHeight="1" s="160">
      <c r="B41" s="189" t="inlineStr">
        <is>
          <t>12. IGF-1 — baseline before shake, retest 2-3 months. Whey/dairy mTORC1 metric.</t>
        </is>
      </c>
    </row>
    <row r="42" ht="15" customHeight="1" s="160">
      <c r="B42" s="170" t="inlineStr">
        <is>
          <t>13. HbA1c — 3-month glucose avg. Validates 180g net carbs daily.</t>
        </is>
      </c>
    </row>
    <row r="43" ht="15" customHeight="1" s="160">
      <c r="B43" s="189" t="inlineStr">
        <is>
          <t>14. Uric Acid — elevated by high protein (198g) + fructose. Silent until gout/stones.</t>
        </is>
      </c>
    </row>
    <row r="44" ht="15" customHeight="1" s="160">
      <c r="B44" s="170" t="inlineStr">
        <is>
          <t>15. Omega-3 Index — confirms EPA/DHA absorption. Calibrates Nordic dose.</t>
        </is>
      </c>
    </row>
    <row r="45" ht="15" customHeight="1" s="160">
      <c r="B45" s="189" t="inlineStr">
        <is>
          <t>16. Folate + B12 — verify no masking effect from 1667mcg supplemental folate.</t>
        </is>
      </c>
    </row>
  </sheetData>
  <mergeCells count="19">
    <mergeCell ref="B42:D42"/>
    <mergeCell ref="B44:D44"/>
    <mergeCell ref="B29:D29"/>
    <mergeCell ref="B38:D38"/>
    <mergeCell ref="B34:D34"/>
    <mergeCell ref="B37:D37"/>
    <mergeCell ref="B40:D40"/>
    <mergeCell ref="B30:D30"/>
    <mergeCell ref="B33:D33"/>
    <mergeCell ref="B36:D36"/>
    <mergeCell ref="B45:D45"/>
    <mergeCell ref="B41:D41"/>
    <mergeCell ref="B32:D32"/>
    <mergeCell ref="B35:D35"/>
    <mergeCell ref="B31:D31"/>
    <mergeCell ref="B22:D22"/>
    <mergeCell ref="B43:D43"/>
    <mergeCell ref="B39:D39"/>
    <mergeCell ref="B2:D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H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34375" defaultRowHeight="15" customHeight="0" zeroHeight="0" outlineLevelRow="0"/>
  <cols>
    <col width="2" customWidth="1" style="159" min="1" max="1"/>
    <col width="22" customWidth="1" style="159" min="2" max="2"/>
    <col width="12" customWidth="1" style="159" min="3" max="3"/>
    <col width="50" customWidth="1" style="159" min="4" max="5"/>
    <col width="10" customWidth="1" style="159" min="6" max="7"/>
    <col width="14" customWidth="1" style="159" min="8" max="8"/>
  </cols>
  <sheetData>
    <row r="2" ht="16.15" customHeight="1" s="160">
      <c r="B2" s="161" t="inlineStr">
        <is>
          <t>SHAKE INTEGRATION PROTOCOL — 4-WEEK FIBER RAMP + GI SURVIVAL GUIDE</t>
        </is>
      </c>
    </row>
    <row r="3" ht="15" customHeight="1" s="160">
      <c r="B3" s="293" t="inlineStr">
        <is>
          <t>Don't nuke your bathroom. Ramp new fibers gradually. Your gut microbiome needs time to recruit the right bacteria.</t>
        </is>
      </c>
    </row>
    <row r="5" ht="15" customHeight="1" s="160">
      <c r="B5" s="163" t="inlineStr">
        <is>
          <t>FIBER RAMP SCHEDULE — WEEKS 1-4</t>
        </is>
      </c>
    </row>
    <row r="6" ht="15" customHeight="1" s="160">
      <c r="B6" s="166" t="inlineStr">
        <is>
          <t>Ingredient</t>
        </is>
      </c>
      <c r="C6" s="166" t="inlineStr">
        <is>
          <t>Full Dose</t>
        </is>
      </c>
      <c r="D6" s="166" t="inlineStr">
        <is>
          <t>Wk 1</t>
        </is>
      </c>
      <c r="E6" s="166" t="inlineStr">
        <is>
          <t>Wk 2</t>
        </is>
      </c>
      <c r="F6" s="166" t="inlineStr">
        <is>
          <t>Wk 3</t>
        </is>
      </c>
      <c r="G6" s="166" t="inlineStr">
        <is>
          <t>Wk 4+</t>
        </is>
      </c>
      <c r="H6" s="166" t="inlineStr">
        <is>
          <t>Fiber Type</t>
        </is>
      </c>
    </row>
    <row r="7" ht="15" customHeight="1" s="160">
      <c r="B7" s="170" t="inlineStr">
        <is>
          <t>Chicory Root Inulin</t>
        </is>
      </c>
      <c r="C7" s="170" t="inlineStr">
        <is>
          <t>3g</t>
        </is>
      </c>
      <c r="D7" s="170" t="inlineStr">
        <is>
          <t>3g</t>
        </is>
      </c>
      <c r="E7" s="170" t="inlineStr">
        <is>
          <t>3g</t>
        </is>
      </c>
      <c r="F7" s="170" t="inlineStr">
        <is>
          <t>3g</t>
        </is>
      </c>
      <c r="G7" s="170" t="inlineStr">
        <is>
          <t>3g</t>
        </is>
      </c>
      <c r="H7" s="170" t="inlineStr">
        <is>
          <t>Fast-ferment FOS</t>
        </is>
      </c>
    </row>
    <row r="8" ht="15" customHeight="1" s="160">
      <c r="B8" s="189" t="inlineStr">
        <is>
          <t>Acacia Fiber ★</t>
        </is>
      </c>
      <c r="C8" s="189" t="inlineStr">
        <is>
          <t>5g</t>
        </is>
      </c>
      <c r="D8" s="189" t="inlineStr">
        <is>
          <t>2g</t>
        </is>
      </c>
      <c r="E8" s="189" t="inlineStr">
        <is>
          <t>3g</t>
        </is>
      </c>
      <c r="F8" s="189" t="inlineStr">
        <is>
          <t>5g</t>
        </is>
      </c>
      <c r="G8" s="189" t="inlineStr">
        <is>
          <t>5g</t>
        </is>
      </c>
      <c r="H8" s="189" t="inlineStr">
        <is>
          <t>Slow-ferment arabinogalactan</t>
        </is>
      </c>
    </row>
    <row r="9" ht="15" customHeight="1" s="160">
      <c r="B9" s="170" t="inlineStr">
        <is>
          <t>Green Banana Flour ★</t>
        </is>
      </c>
      <c r="C9" s="170" t="inlineStr">
        <is>
          <t>10g</t>
        </is>
      </c>
      <c r="D9" s="170" t="inlineStr">
        <is>
          <t>0g (skip)</t>
        </is>
      </c>
      <c r="E9" s="170" t="inlineStr">
        <is>
          <t>5g</t>
        </is>
      </c>
      <c r="F9" s="170" t="inlineStr">
        <is>
          <t>7g</t>
        </is>
      </c>
      <c r="G9" s="170" t="inlineStr">
        <is>
          <t>10g</t>
        </is>
      </c>
      <c r="H9" s="170" t="inlineStr">
        <is>
          <t>Resistant starch RS2</t>
        </is>
      </c>
    </row>
    <row r="10" ht="15" customHeight="1" s="160">
      <c r="B10" s="189" t="inlineStr">
        <is>
          <t>Psyllium Husk</t>
        </is>
      </c>
      <c r="C10" s="189" t="inlineStr">
        <is>
          <t>7g</t>
        </is>
      </c>
      <c r="D10" s="189" t="inlineStr">
        <is>
          <t>3g</t>
        </is>
      </c>
      <c r="E10" s="189" t="inlineStr">
        <is>
          <t>5g</t>
        </is>
      </c>
      <c r="F10" s="189" t="inlineStr">
        <is>
          <t>7g</t>
        </is>
      </c>
      <c r="G10" s="189" t="inlineStr">
        <is>
          <t>7g</t>
        </is>
      </c>
      <c r="H10" s="189" t="inlineStr">
        <is>
          <t>Gel-forming mucilage (soluble)</t>
        </is>
      </c>
    </row>
    <row r="11" ht="15" customHeight="1" s="160">
      <c r="B11" s="170" t="inlineStr">
        <is>
          <t>Frozen Berries</t>
        </is>
      </c>
      <c r="C11" s="170" t="inlineStr">
        <is>
          <t>220g</t>
        </is>
      </c>
      <c r="D11" s="170" t="inlineStr">
        <is>
          <t>220g</t>
        </is>
      </c>
      <c r="E11" s="170" t="inlineStr">
        <is>
          <t>220g</t>
        </is>
      </c>
      <c r="F11" s="170" t="inlineStr">
        <is>
          <t>220g</t>
        </is>
      </c>
      <c r="G11" s="170" t="inlineStr">
        <is>
          <t>220g</t>
        </is>
      </c>
      <c r="H11" s="170" t="inlineStr">
        <is>
          <t>Pectin</t>
        </is>
      </c>
    </row>
    <row r="12" ht="15" customHeight="1" s="160">
      <c r="B12" s="189" t="inlineStr">
        <is>
          <t>Beet</t>
        </is>
      </c>
      <c r="C12" s="189" t="inlineStr">
        <is>
          <t>100g</t>
        </is>
      </c>
      <c r="D12" s="189" t="inlineStr">
        <is>
          <t>100g</t>
        </is>
      </c>
      <c r="E12" s="189" t="inlineStr">
        <is>
          <t>100g</t>
        </is>
      </c>
      <c r="F12" s="189" t="inlineStr">
        <is>
          <t>100g</t>
        </is>
      </c>
      <c r="G12" s="189" t="inlineStr">
        <is>
          <t>100g</t>
        </is>
      </c>
      <c r="H12" s="189" t="inlineStr">
        <is>
          <t>Pectin + cellulose</t>
        </is>
      </c>
    </row>
    <row r="13" ht="15" customHeight="1" s="160">
      <c r="B13" s="170" t="inlineStr">
        <is>
          <t>Kale</t>
        </is>
      </c>
      <c r="C13" s="170" t="inlineStr">
        <is>
          <t>60g</t>
        </is>
      </c>
      <c r="D13" s="170" t="inlineStr">
        <is>
          <t>60g</t>
        </is>
      </c>
      <c r="E13" s="170" t="inlineStr">
        <is>
          <t>60g</t>
        </is>
      </c>
      <c r="F13" s="170" t="inlineStr">
        <is>
          <t>60g</t>
        </is>
      </c>
      <c r="G13" s="170" t="inlineStr">
        <is>
          <t>60g</t>
        </is>
      </c>
      <c r="H13" s="170" t="inlineStr">
        <is>
          <t>Cellulose + hemicellulose</t>
        </is>
      </c>
    </row>
    <row r="14" ht="15" customHeight="1" s="160">
      <c r="B14" s="189" t="inlineStr">
        <is>
          <t>Cacao</t>
        </is>
      </c>
      <c r="C14" s="189" t="inlineStr">
        <is>
          <t>25g</t>
        </is>
      </c>
      <c r="D14" s="189" t="inlineStr">
        <is>
          <t>25g</t>
        </is>
      </c>
      <c r="E14" s="189" t="inlineStr">
        <is>
          <t>25g</t>
        </is>
      </c>
      <c r="F14" s="189" t="inlineStr">
        <is>
          <t>25g</t>
        </is>
      </c>
      <c r="G14" s="189" t="inlineStr">
        <is>
          <t>25g</t>
        </is>
      </c>
      <c r="H14" s="189" t="inlineStr">
        <is>
          <t>Hemicellulose</t>
        </is>
      </c>
    </row>
    <row r="15" ht="15" customHeight="1" s="160">
      <c r="B15" s="170" t="inlineStr">
        <is>
          <t>Spinach</t>
        </is>
      </c>
      <c r="C15" s="170" t="inlineStr">
        <is>
          <t>50g</t>
        </is>
      </c>
      <c r="D15" s="170" t="inlineStr">
        <is>
          <t>50g</t>
        </is>
      </c>
      <c r="E15" s="170" t="inlineStr">
        <is>
          <t>50g</t>
        </is>
      </c>
      <c r="F15" s="170" t="inlineStr">
        <is>
          <t>50g</t>
        </is>
      </c>
      <c r="G15" s="170" t="inlineStr">
        <is>
          <t>50g</t>
        </is>
      </c>
      <c r="H15" s="170" t="inlineStr">
        <is>
          <t>Cellulose + hemicellulose</t>
        </is>
      </c>
    </row>
    <row r="16" ht="15" customHeight="1" s="160">
      <c r="B16" s="222" t="inlineStr">
        <is>
          <t>EST. TOTAL FIBER</t>
        </is>
      </c>
      <c r="C16" s="222" t="inlineStr">
        <is>
          <t>~50g</t>
        </is>
      </c>
      <c r="D16" s="222" t="inlineStr">
        <is>
          <t>~35g</t>
        </is>
      </c>
      <c r="E16" s="222" t="inlineStr">
        <is>
          <t>~42g</t>
        </is>
      </c>
      <c r="F16" s="222" t="inlineStr">
        <is>
          <t>~48g</t>
        </is>
      </c>
      <c r="G16" s="222" t="inlineStr">
        <is>
          <t>~50g</t>
        </is>
      </c>
      <c r="H16" s="222" t="inlineStr">
        <is>
          <t>Ramp avoids GI shock</t>
        </is>
      </c>
    </row>
    <row r="18" ht="15" customHeight="1" s="160">
      <c r="B18" s="163" t="inlineStr">
        <is>
          <t>WEEK-BY-WEEK EXPECTATIONS</t>
        </is>
      </c>
    </row>
    <row r="19" ht="15" customHeight="1" s="160">
      <c r="B19" s="166" t="inlineStr">
        <is>
          <t>Week</t>
        </is>
      </c>
      <c r="C19" s="166" t="inlineStr">
        <is>
          <t>Fiber Load</t>
        </is>
      </c>
      <c r="D19" s="166" t="inlineStr">
        <is>
          <t>What to Expect</t>
        </is>
      </c>
      <c r="E19" s="166" t="inlineStr">
        <is>
          <t>If Problems</t>
        </is>
      </c>
    </row>
    <row r="20" ht="49.5" customHeight="1" s="160">
      <c r="B20" s="294" t="inlineStr">
        <is>
          <t>Week 1 (Days 1-7)</t>
        </is>
      </c>
      <c r="C20" s="294" t="inlineStr">
        <is>
          <t>~42g fiber</t>
        </is>
      </c>
      <c r="D20" s="294" t="inlineStr">
        <is>
          <t>Mild bloating 2-4hrs. Possible loose stools days 1-3. Increased gas. This is the WORST week.</t>
        </is>
      </c>
      <c r="E20" s="294" t="inlineStr">
        <is>
          <t>If diarrhea: drop inulin to 1.5g. If severe bloating: reduce kale 60→40g. Ginger tea helps.</t>
        </is>
      </c>
    </row>
    <row r="21" ht="49.5" customHeight="1" s="160">
      <c r="B21" s="295" t="inlineStr">
        <is>
          <t>Week 2 (Days 8-14)</t>
        </is>
      </c>
      <c r="C21" s="295" t="inlineStr">
        <is>
          <t>~50g fiber</t>
        </is>
      </c>
      <c r="D21" s="295" t="inlineStr">
        <is>
          <t>Bloating 50% less. Stools firming. Gas still present but less. Energy improving (SCFA production rising).</t>
        </is>
      </c>
      <c r="E21" s="295" t="inlineStr">
        <is>
          <t>If banana flour causes regression: stay at 5g another week. If constipated: increase water 500ml.</t>
        </is>
      </c>
    </row>
    <row r="22" ht="49.5" customHeight="1" s="160">
      <c r="B22" s="294" t="inlineStr">
        <is>
          <t>Week 3 (Days 15-21)</t>
        </is>
      </c>
      <c r="C22" s="294" t="inlineStr">
        <is>
          <t>~55g fiber</t>
        </is>
      </c>
      <c r="D22" s="294" t="inlineStr">
        <is>
          <t>Most GI symptoms resolved. Stools well-formed, 1-2× daily. Feeling genuinely good.</t>
        </is>
      </c>
      <c r="E22" s="294" t="inlineStr">
        <is>
          <t>Almost nobody has issues. Fine to push to full dose if zero symptoms.</t>
        </is>
      </c>
    </row>
    <row r="23" ht="49.5" customHeight="1" s="160">
      <c r="B23" s="295" t="inlineStr">
        <is>
          <t>Week 4+ (Day 22+)</t>
        </is>
      </c>
      <c r="C23" s="295" t="inlineStr">
        <is>
          <t>60g FULL</t>
        </is>
      </c>
      <c r="D23" s="295" t="inlineStr">
        <is>
          <t>Fully adapted. Regular stools. No significant gas. Microbiome diverse and stable.</t>
        </is>
      </c>
      <c r="E23" s="295" t="inlineStr">
        <is>
          <t>If travel/miss days: re-ramp at week 2 doses for 3 days. Antibiotics reset → re-ramp from week 1.</t>
        </is>
      </c>
    </row>
    <row r="25" ht="15" customHeight="1" s="160">
      <c r="B25" s="163" t="inlineStr">
        <is>
          <t>DAILY NON-NEGOTIABLES DURING RAMP</t>
        </is>
      </c>
    </row>
    <row r="26" ht="15" customHeight="1" s="160">
      <c r="B26" s="296" t="inlineStr">
        <is>
          <t>💧 Hydration</t>
        </is>
      </c>
      <c r="C26" s="297" t="inlineStr">
        <is>
          <t>Min 2L water BEYOND the shake. 60g fiber + 198g protein = kidneys need water.</t>
        </is>
      </c>
    </row>
    <row r="27" ht="15" customHeight="1" s="160">
      <c r="B27" s="298" t="inlineStr">
        <is>
          <t>🕐 Sipping Speed</t>
        </is>
      </c>
      <c r="C27" s="299" t="inlineStr">
        <is>
          <t>Drink shake over 60-90 min minimum. Chugging 1.5L of 60g-fiber = instant regret.</t>
        </is>
      </c>
    </row>
    <row r="28" ht="15" customHeight="1" s="160">
      <c r="B28" s="296" t="inlineStr">
        <is>
          <t>🌱 Seed DS-01</t>
        </is>
      </c>
      <c r="C28" s="297" t="inlineStr">
        <is>
          <t>Take every single day, especially weeks 1-2. Probiotics accelerate adaptation.</t>
        </is>
      </c>
    </row>
    <row r="29" ht="15" customHeight="1" s="160">
      <c r="B29" s="298" t="inlineStr">
        <is>
          <t>🫚 Ginger Backup</t>
        </is>
      </c>
      <c r="C29" s="299" t="inlineStr">
        <is>
          <t>Keep fresh ginger or ginger tea. 1" raw ginger blended in is nuclear-grade anti-nausea.</t>
        </is>
      </c>
    </row>
    <row r="30" ht="15" customHeight="1" s="160">
      <c r="B30" s="296" t="inlineStr">
        <is>
          <t>📉 Permission to Reduce</t>
        </is>
      </c>
      <c r="C30" s="297" t="inlineStr">
        <is>
          <t>If any week is unbearable: hold current doses for an extra week. No penalty.</t>
        </is>
      </c>
    </row>
    <row r="31" ht="15" customHeight="1" s="160">
      <c r="B31" s="298" t="inlineStr">
        <is>
          <t>🩸 Iron Reminder</t>
        </is>
      </c>
      <c r="C31" s="299" t="inlineStr">
        <is>
          <t>Do NOT start iron until labs confirm ferritin level. Ramp is independent of iron protocol.</t>
        </is>
      </c>
    </row>
    <row r="32" ht="15" customHeight="1" s="160">
      <c r="B32" s="296" t="inlineStr">
        <is>
          <t>📅 After Antibiotics</t>
        </is>
      </c>
      <c r="C32" s="297" t="inlineStr">
        <is>
          <t>Any antibiotic course resets gut. Re-ramp from Week 1. Double Seed DS-01 for 2 weeks post-ABX.</t>
        </is>
      </c>
    </row>
  </sheetData>
  <mergeCells count="12">
    <mergeCell ref="C28:E28"/>
    <mergeCell ref="C27:E27"/>
    <mergeCell ref="B18:H18"/>
    <mergeCell ref="C31:E31"/>
    <mergeCell ref="B2:H2"/>
    <mergeCell ref="B25:E25"/>
    <mergeCell ref="C26:E26"/>
    <mergeCell ref="C29:E29"/>
    <mergeCell ref="C30:E30"/>
    <mergeCell ref="B3:H3"/>
    <mergeCell ref="B5:H5"/>
    <mergeCell ref="C32:E3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C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34375" defaultRowHeight="15" customHeight="0" zeroHeight="0" outlineLevelRow="0"/>
  <cols>
    <col width="2" customWidth="1" style="159" min="1" max="1"/>
    <col width="22" customWidth="1" style="159" min="2" max="2"/>
    <col width="75" customWidth="1" style="159" min="3" max="3"/>
  </cols>
  <sheetData>
    <row r="2" ht="16.15" customHeight="1" s="160">
      <c r="B2" s="161" t="inlineStr">
        <is>
          <t>GENERAL INFO — BLENDING, TASTE, STORAGE, TROUBLESHOOTING</t>
        </is>
      </c>
    </row>
    <row r="4" ht="15" customHeight="1" s="160">
      <c r="B4" s="163" t="inlineStr">
        <is>
          <t>BLENDING ORDER (bottom → top in blender)</t>
        </is>
      </c>
    </row>
    <row r="5" ht="15" customHeight="1" s="160">
      <c r="B5" s="296" t="inlineStr">
        <is>
          <t>1. Liquids first</t>
        </is>
      </c>
      <c r="C5" s="297" t="inlineStr">
        <is>
          <t>Milk 480ml + POM juice 120ml + EVOO 45ml + vanilla + monk fruit. Creates vortex.</t>
        </is>
      </c>
    </row>
    <row r="6" ht="15" customHeight="1" s="160">
      <c r="B6" s="298" t="inlineStr">
        <is>
          <t>2. Leafy/light</t>
        </is>
      </c>
      <c r="C6" s="299" t="inlineStr">
        <is>
          <t>Kale 60g + broccoli sprout pwd 5g + matcha 5g. Needs to hit blades.</t>
        </is>
      </c>
    </row>
    <row r="7" ht="17.25" customHeight="1" s="160">
      <c r="B7" s="296" t="inlineStr">
        <is>
          <t>3. Powders</t>
        </is>
      </c>
      <c r="C7" s="297" t="inlineStr">
        <is>
          <t>All powders: egg white, whey, collagen, cacao, creatine, taurine, cinnamon, salt, mustard, lecithin, inulin, acacia, banana flour, oat BG, cluster dextrin, astaxanthin.</t>
        </is>
      </c>
    </row>
    <row r="8" ht="15" customHeight="1" s="160">
      <c r="B8" s="298" t="inlineStr">
        <is>
          <t>4. Frozen chunks</t>
        </is>
      </c>
      <c r="C8" s="299" t="inlineStr">
        <is>
          <t>Berries 220g + watermelon 220g + avocado 120g + beet 100g. Go last — they create resistance.</t>
        </is>
      </c>
    </row>
    <row r="9" ht="15" customHeight="1" s="160">
      <c r="B9" s="296" t="inlineStr">
        <is>
          <t>5. Dry add-ins</t>
        </is>
      </c>
      <c r="C9" s="297" t="inlineStr">
        <is>
          <t>Goji 15g + macadamia 75g + rice bran 15g on top.</t>
        </is>
      </c>
    </row>
    <row r="10" ht="15" customHeight="1" s="160">
      <c r="B10" s="298" t="inlineStr">
        <is>
          <t>6. BLEND</t>
        </is>
      </c>
      <c r="C10" s="299" t="inlineStr">
        <is>
          <t>Vitamix: start low → Variable 10 → High for 60-90 sec. Should be thick, scoopable almost.</t>
        </is>
      </c>
    </row>
    <row r="11" ht="15" customHeight="1" s="160">
      <c r="B11" s="296" t="inlineStr">
        <is>
          <t>7. Capsules on side</t>
        </is>
      </c>
      <c r="C11" s="297" t="inlineStr">
        <is>
          <t>8 caps taken WITH the shake (except iron: 6AM fasted, Thorne PM: 8PM).</t>
        </is>
      </c>
    </row>
    <row r="13" ht="15" customHeight="1" s="160">
      <c r="B13" s="163" t="inlineStr">
        <is>
          <t>FLAVOR PROFILE &amp; TASTE NOTES</t>
        </is>
      </c>
    </row>
    <row r="14" ht="15" customHeight="1" s="160">
      <c r="B14" s="296" t="inlineStr">
        <is>
          <t>Primary flavor</t>
        </is>
      </c>
      <c r="C14" s="297" t="inlineStr">
        <is>
          <t>BLACKOUT CHOCOLATE. 25g cacao = dominant. Think dark chocolate lava cake.</t>
        </is>
      </c>
    </row>
    <row r="15" ht="15" customHeight="1" s="160">
      <c r="B15" s="298" t="inlineStr">
        <is>
          <t>Secondary notes</t>
        </is>
      </c>
      <c r="C15" s="299" t="inlineStr">
        <is>
          <t>Berry undertone (220g berries), creamy body (avocado+macadamia), warm spice (cinnamon).</t>
        </is>
      </c>
    </row>
    <row r="16" ht="15" customHeight="1" s="160">
      <c r="B16" s="296" t="inlineStr">
        <is>
          <t>Sweetness</t>
        </is>
      </c>
      <c r="C16" s="297" t="inlineStr">
        <is>
          <t>Monk fruit (0 cal) + natural berry sugars + vanilla = perceived sweetness without added sugar.</t>
        </is>
      </c>
    </row>
    <row r="17" ht="15" customHeight="1" s="160">
      <c r="B17" s="298" t="inlineStr">
        <is>
          <t>Salt effect</t>
        </is>
      </c>
      <c r="C17" s="299" t="inlineStr">
        <is>
          <t>3g iodized salt suppresses cacao bitterness + amplifies chocolate perception. Essential.</t>
        </is>
      </c>
    </row>
    <row r="18" ht="15" customHeight="1" s="160">
      <c r="B18" s="296" t="inlineStr">
        <is>
          <t>EVOO masking</t>
        </is>
      </c>
      <c r="C18" s="297" t="inlineStr">
        <is>
          <t>Mild/buttery EVOO only. Strong EVOO will dominate. 365 Organic Mild works.</t>
        </is>
      </c>
    </row>
    <row r="19" ht="15" customHeight="1" s="160">
      <c r="B19" s="298" t="inlineStr">
        <is>
          <t>Espresso option</t>
        </is>
      </c>
      <c r="C19" s="299" t="inlineStr">
        <is>
          <t>+1g instant espresso = Mexican hot chocolate / mocha depth. +30mg caffeine.</t>
        </is>
      </c>
    </row>
    <row r="20" ht="15" customHeight="1" s="160">
      <c r="B20" s="296" t="inlineStr">
        <is>
          <t>What it should NOT taste like</t>
        </is>
      </c>
      <c r="C20" s="297" t="inlineStr">
        <is>
          <t>If green/vegetal: add 5g more cacao. If bitter: more monk fruit. If thin: more macadamia.</t>
        </is>
      </c>
    </row>
    <row r="22" ht="15" customHeight="1" s="160">
      <c r="B22" s="163" t="inlineStr">
        <is>
          <t>STORAGE &amp; SHELF LIFE</t>
        </is>
      </c>
    </row>
    <row r="23" ht="15" customHeight="1" s="160">
      <c r="B23" s="296" t="inlineStr">
        <is>
          <t>Fresh shake</t>
        </is>
      </c>
      <c r="C23" s="297" t="inlineStr">
        <is>
          <t>Consume within 4 hours. Egg whites + milk = bacterial growth risk beyond that.</t>
        </is>
      </c>
    </row>
    <row r="24" ht="15" customHeight="1" s="160">
      <c r="B24" s="298" t="inlineStr">
        <is>
          <t>Fridge storage</t>
        </is>
      </c>
      <c r="C24" s="299" t="inlineStr">
        <is>
          <t>Split into 2 jars → fridge. Consume within 24 hours. Shake vigorously before drinking.</t>
        </is>
      </c>
    </row>
    <row r="25" ht="15" customHeight="1" s="160">
      <c r="B25" s="296" t="inlineStr">
        <is>
          <t>DO NOT freeze blended shake</t>
        </is>
      </c>
      <c r="C25" s="297" t="inlineStr">
        <is>
          <t>Texture destruction. Egg white protein denatures unevenly. Separates.</t>
        </is>
      </c>
    </row>
    <row r="26" ht="17.25" customHeight="1" s="160">
      <c r="B26" s="298" t="inlineStr">
        <is>
          <t>Powder pre-mix</t>
        </is>
      </c>
      <c r="C26" s="299" t="inlineStr">
        <is>
          <t>All DRY powders (cacao, matcha, cinnamon, creatine, taurine, collagen, protein pwds, fiber pwds) can be pre-mixed in a jar. Make 7-day batches for speed.</t>
        </is>
      </c>
    </row>
    <row r="27" ht="15" customHeight="1" s="160">
      <c r="B27" s="296" t="inlineStr">
        <is>
          <t>Frozen fruit prep</t>
        </is>
      </c>
      <c r="C27" s="297" t="inlineStr">
        <is>
          <t>Pre-portion frozen fruit + avocado + beet in daily Ziploc bags. Grab-and-blend.</t>
        </is>
      </c>
    </row>
    <row r="28" ht="15" customHeight="1" s="160">
      <c r="B28" s="298" t="inlineStr">
        <is>
          <t>Capsule organizer</t>
        </is>
      </c>
      <c r="C28" s="299" t="inlineStr">
        <is>
          <t>Use AM/PM pill organizer. Pre-load weekly. Iron separate (EOD).</t>
        </is>
      </c>
    </row>
    <row r="30" ht="15" customHeight="1" s="160">
      <c r="B30" s="163" t="inlineStr">
        <is>
          <t>TROUBLESHOOTING</t>
        </is>
      </c>
    </row>
    <row r="31" ht="15" customHeight="1" s="160">
      <c r="B31" s="296" t="inlineStr">
        <is>
          <t>Too thick</t>
        </is>
      </c>
      <c r="C31" s="297" t="inlineStr">
        <is>
          <t>Blend longer OR add 50-100ml water. Frozen watermelon adds volume.</t>
        </is>
      </c>
    </row>
    <row r="32" ht="15" customHeight="1" s="160">
      <c r="B32" s="298" t="inlineStr">
        <is>
          <t>Gritty/chalky</t>
        </is>
      </c>
      <c r="C32" s="299" t="inlineStr">
        <is>
          <t>Egg white protein is the usual culprit. Blend 30 sec longer. Lecithin 20g should emulsify.</t>
        </is>
      </c>
    </row>
    <row r="33" ht="15" customHeight="1" s="160">
      <c r="B33" s="296" t="inlineStr">
        <is>
          <t>Bloating</t>
        </is>
      </c>
      <c r="C33" s="297" t="inlineStr">
        <is>
          <t>Normal weeks 1-2 of fiber ramp. See Onboarding sheet. Reduce banana flour first.</t>
        </is>
      </c>
    </row>
    <row r="34" ht="15" customHeight="1" s="160">
      <c r="B34" s="298" t="inlineStr">
        <is>
          <t>Acne flare</t>
        </is>
      </c>
      <c r="C34" s="299" t="inlineStr">
        <is>
          <t>Cut whey to 0g (rely on egg white). Monitor 4 weeks. Retest IGF-1.</t>
        </is>
      </c>
    </row>
    <row r="35" ht="15" customHeight="1" s="160">
      <c r="B35" s="296" t="inlineStr">
        <is>
          <t>Tastes like salad</t>
        </is>
      </c>
      <c r="C35" s="297" t="inlineStr">
        <is>
          <t>More cacao (30g instead of 25g). More monk fruit. Ensure berries are ripe before freezing.</t>
        </is>
      </c>
    </row>
    <row r="36" ht="15" customHeight="1" s="160">
      <c r="B36" s="298" t="inlineStr">
        <is>
          <t>Too sweet</t>
        </is>
      </c>
      <c r="C36" s="299" t="inlineStr">
        <is>
          <t>Reduce monk fruit drops by half. Remove vanilla. Add 5g more cacao.</t>
        </is>
      </c>
    </row>
    <row r="37" ht="15" customHeight="1" s="160">
      <c r="B37" s="296" t="inlineStr">
        <is>
          <t>Stomach cramps</t>
        </is>
      </c>
      <c r="C37" s="297" t="inlineStr">
        <is>
          <t>Sip slower. 60-90 min minimum. High fiber + high protein = stomach acid surge if chugged.</t>
        </is>
      </c>
    </row>
    <row r="38" ht="15" customHeight="1" s="160">
      <c r="B38" s="298" t="inlineStr">
        <is>
          <t>Brain fog after shake</t>
        </is>
      </c>
      <c r="C38" s="299" t="inlineStr">
        <is>
          <t>Possible blood sugar spike from 180g net carbs. Try splitting into 2 portions 3 hrs apart.</t>
        </is>
      </c>
    </row>
    <row r="39" ht="15" customHeight="1" s="160">
      <c r="B39" s="296" t="inlineStr">
        <is>
          <t>Cost concerns</t>
        </is>
      </c>
      <c r="C39" s="297" t="inlineStr">
        <is>
          <t>Biggest costs: egg white protein (~$40/mo), macadamia (~$30), Nordic Omega (~$35). Total ~$12-15/day.</t>
        </is>
      </c>
    </row>
    <row r="41" ht="15" customHeight="1" s="160">
      <c r="B41" s="163" t="inlineStr">
        <is>
          <t>FIBER DIVERSITY MAP — 7 TYPES FEEDING DISTINCT MICROBIAL POPULATIONS</t>
        </is>
      </c>
    </row>
    <row r="42" ht="15" customHeight="1" s="160">
      <c r="B42" s="166" t="inlineStr">
        <is>
          <t>Fiber Type</t>
        </is>
      </c>
      <c r="C42" s="166" t="inlineStr">
        <is>
          <t>Source / Speed / Targets</t>
        </is>
      </c>
    </row>
    <row r="43" ht="15" customHeight="1" s="160">
      <c r="B43" s="296" t="inlineStr">
        <is>
          <t>Inulin/FOS</t>
        </is>
      </c>
      <c r="C43" s="170" t="inlineStr">
        <is>
          <t>Chicory 3g | Fast | Bifidobacteria</t>
        </is>
      </c>
    </row>
    <row r="44" ht="15" customHeight="1" s="160">
      <c r="B44" s="298" t="inlineStr">
        <is>
          <t>Arabinogalactan</t>
        </is>
      </c>
      <c r="C44" s="189" t="inlineStr">
        <is>
          <t>Acacia 5g ★ | Slow | Bifido + Lactobacilli + F. prausnitzii</t>
        </is>
      </c>
    </row>
    <row r="45" ht="15" customHeight="1" s="160">
      <c r="B45" s="296" t="inlineStr">
        <is>
          <t>Resistant Starch RS2</t>
        </is>
      </c>
      <c r="C45" s="170" t="inlineStr">
        <is>
          <t>Green Banana 10g ★ | Slow-med | Roseburia + Ruminococcus → butyrate</t>
        </is>
      </c>
    </row>
    <row r="46" ht="15" customHeight="1" s="160">
      <c r="B46" s="298" t="inlineStr">
        <is>
          <t>Beta-Glucan 1,3/1,4</t>
        </is>
      </c>
      <c r="C46" s="189" t="inlineStr">
        <is>
          <t>Oat BG 3g ★ | Medium | Bacteroidetes + Prevotella → LDL ↓</t>
        </is>
      </c>
    </row>
    <row r="47" ht="15" customHeight="1" s="160">
      <c r="B47" s="296" t="inlineStr">
        <is>
          <t>Pectin</t>
        </is>
      </c>
      <c r="C47" s="170" t="inlineStr">
        <is>
          <t>Berries + Beet | Medium | Bacteroidetes + some Firmicutes</t>
        </is>
      </c>
    </row>
    <row r="48" ht="15" customHeight="1" s="160">
      <c r="B48" s="298" t="inlineStr">
        <is>
          <t>Cellulose / Hemicellulose</t>
        </is>
      </c>
      <c r="C48" s="189" t="inlineStr">
        <is>
          <t>Rice Bran + Cacao + Kale | Very slow | Bulking + Ruminococcaceae</t>
        </is>
      </c>
    </row>
    <row r="49" ht="15" customHeight="1" s="160">
      <c r="B49" s="296" t="inlineStr">
        <is>
          <t>Mucilage</t>
        </is>
      </c>
      <c r="C49" s="170" t="inlineStr">
        <is>
          <t>(REMOVED — Flaxseed) | Slow | Was gel-forming. No replacement currently.</t>
        </is>
      </c>
    </row>
  </sheetData>
  <mergeCells count="6">
    <mergeCell ref="B13:C13"/>
    <mergeCell ref="B30:C30"/>
    <mergeCell ref="B2:C2"/>
    <mergeCell ref="B22:C22"/>
    <mergeCell ref="B41:C41"/>
    <mergeCell ref="B4:C4"/>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J88"/>
  <sheetViews>
    <sheetView workbookViewId="0">
      <pane ySplit="1" topLeftCell="A2" activePane="bottomLeft" state="frozen"/>
      <selection pane="bottomLeft" activeCell="A1" sqref="A1"/>
    </sheetView>
  </sheetViews>
  <sheetFormatPr baseColWidth="8" defaultRowHeight="15"/>
  <cols>
    <col width="22" customWidth="1" style="160" min="1" max="1"/>
    <col width="10" customWidth="1" style="160" min="2" max="2"/>
    <col width="10" customWidth="1" style="160" min="3" max="3"/>
    <col width="8" customWidth="1" style="160" min="4" max="4"/>
    <col width="12" customWidth="1" style="160" min="5" max="5"/>
    <col width="55" customWidth="1" style="160" min="6" max="6"/>
    <col width="14" customWidth="1" style="160" min="7" max="7"/>
    <col width="14" customWidth="1" style="160" min="8" max="8"/>
    <col width="14" customWidth="1" style="160" min="9" max="9"/>
    <col width="14" customWidth="1" style="160" min="10" max="10"/>
  </cols>
  <sheetData>
    <row r="1">
      <c r="A1" s="322" t="inlineStr">
        <is>
          <t>Nutrient</t>
        </is>
      </c>
      <c r="B1" s="322" t="inlineStr">
        <is>
          <t>Actual</t>
        </is>
      </c>
      <c r="C1" s="322" t="inlineStr">
        <is>
          <t>Our Ideal</t>
        </is>
      </c>
      <c r="D1" s="322" t="inlineStr">
        <is>
          <t>% Hit</t>
        </is>
      </c>
      <c r="E1" s="322" t="inlineStr">
        <is>
          <t>Status</t>
        </is>
      </c>
      <c r="F1" s="322" t="inlineStr">
        <is>
          <t>Why This Ideal</t>
        </is>
      </c>
      <c r="G1" s="322" t="inlineStr">
        <is>
          <t>High Therapeutic</t>
        </is>
      </c>
      <c r="H1" s="322" t="inlineStr">
        <is>
          <t>Side Effects At</t>
        </is>
      </c>
      <c r="I1" s="322" t="inlineStr">
        <is>
          <t>Deficiency Below</t>
        </is>
      </c>
      <c r="J1" s="322" t="inlineStr">
        <is>
          <t>Avg US Diet</t>
        </is>
      </c>
    </row>
    <row r="2">
      <c r="A2" s="323" t="inlineStr">
        <is>
          <t>GAPS - Below Target (1)</t>
        </is>
      </c>
    </row>
    <row r="3">
      <c r="A3" s="341" t="inlineStr">
        <is>
          <t>PhytoSt (mg) (CC)</t>
        </is>
      </c>
      <c r="B3" s="342" t="n">
        <v>341.9</v>
      </c>
      <c r="C3" s="342" t="n">
        <v>600</v>
      </c>
      <c r="D3" s="342" t="n">
        <v>57</v>
      </c>
      <c r="E3" s="343" t="inlineStr">
        <is>
          <t>LOW</t>
        </is>
      </c>
      <c r="F3" s="344" t="inlineStr">
        <is>
          <t>400mg. Food plant sterols (EVOO, nuts). No supp needed.</t>
        </is>
      </c>
      <c r="G3" s="344" t="inlineStr">
        <is>
          <t>2000-3000mg (cholesterol therapy)</t>
        </is>
      </c>
      <c r="H3" s="344" t="inlineStr">
        <is>
          <t>&gt;3000mg = carotenoid malabsorption. Phytoestrogen concern.</t>
        </is>
      </c>
      <c r="I3" s="344" t="inlineStr">
        <is>
          <t>No deficiency. Avg diet = 200-400mg.</t>
        </is>
      </c>
      <c r="J3" s="344" t="inlineStr">
        <is>
          <t>~250mg</t>
        </is>
      </c>
    </row>
    <row r="5">
      <c r="A5" s="323" t="inlineStr">
        <is>
          <t>ON TARGET - 80-120% (33)</t>
        </is>
      </c>
    </row>
    <row r="6">
      <c r="A6" s="324" t="inlineStr">
        <is>
          <t>Boron (mg) (AX)</t>
        </is>
      </c>
      <c r="B6" s="325" t="n">
        <v>3.6</v>
      </c>
      <c r="C6" s="325" t="n">
        <v>3</v>
      </c>
      <c r="D6" s="325" t="n">
        <v>120</v>
      </c>
      <c r="E6" s="326" t="inlineStr">
        <is>
          <t>ON TARGET</t>
        </is>
      </c>
      <c r="F6" s="327" t="inlineStr">
        <is>
          <t>No RDA. 2-3mg bone/hormone metabolism.</t>
        </is>
      </c>
      <c r="G6" s="327" t="inlineStr">
        <is>
          <t>3-6mg</t>
        </is>
      </c>
      <c r="H6" s="327" t="inlineStr">
        <is>
          <t>&gt;20mg/day = nausea, vomiting, diarrhea</t>
        </is>
      </c>
      <c r="I6" s="327" t="inlineStr">
        <is>
          <t>&lt;0.5mg = may impair bone/cognitive (limited evidence)</t>
        </is>
      </c>
      <c r="J6" s="327" t="inlineStr">
        <is>
          <t>~1.2mg</t>
        </is>
      </c>
    </row>
    <row r="7">
      <c r="A7" s="324" t="inlineStr">
        <is>
          <t>Whey (g) (Q)</t>
        </is>
      </c>
      <c r="B7" s="325" t="n">
        <v>30.6</v>
      </c>
      <c r="C7" s="325" t="n">
        <v>27</v>
      </c>
      <c r="D7" s="325" t="n">
        <v>113</v>
      </c>
      <c r="E7" s="326" t="inlineStr">
        <is>
          <t>ON TARGET</t>
        </is>
      </c>
      <c r="F7" s="327" t="inlineStr">
        <is>
          <t>Fast-absorbing for post-exercise MPS spike.</t>
        </is>
      </c>
      <c r="G7" s="327" t="inlineStr">
        <is>
          <t>40-50g/day</t>
        </is>
      </c>
      <c r="H7" s="327" t="inlineStr">
        <is>
          <t>No UL for whey specifically</t>
        </is>
      </c>
      <c r="I7" s="327" t="inlineStr">
        <is>
          <t>&lt;10g = no MPS benefit</t>
        </is>
      </c>
      <c r="J7" s="327" t="inlineStr">
        <is>
          <t>~5g (most people)</t>
        </is>
      </c>
    </row>
    <row r="8">
      <c r="A8" s="324" t="inlineStr">
        <is>
          <t>Total Carbs (AD)</t>
        </is>
      </c>
      <c r="B8" s="325" t="n">
        <v>235.3</v>
      </c>
      <c r="C8" s="325" t="n">
        <v>210</v>
      </c>
      <c r="D8" s="325" t="n">
        <v>112</v>
      </c>
      <c r="E8" s="326" t="inlineStr">
        <is>
          <t>ON TARGET</t>
        </is>
      </c>
      <c r="F8" s="327" t="inlineStr">
        <is>
          <t>~28% of 3000 kcal. Glycogen + brain fuel.</t>
        </is>
      </c>
      <c r="G8" s="327" t="inlineStr">
        <is>
          <t>300-400g (endurance athletes)</t>
        </is>
      </c>
      <c r="H8" s="327" t="inlineStr">
        <is>
          <t>No UL; excess = fat gain, insulin resistance</t>
        </is>
      </c>
      <c r="I8" s="327" t="inlineStr">
        <is>
          <t>&lt;50g = keto (fine short term, debated long)</t>
        </is>
      </c>
      <c r="J8" s="327" t="inlineStr">
        <is>
          <t>~270g</t>
        </is>
      </c>
    </row>
    <row r="9">
      <c r="A9" s="324" t="inlineStr">
        <is>
          <t>Probio (B AFU) (CM)</t>
        </is>
      </c>
      <c r="B9" s="325" t="n">
        <v>53.6</v>
      </c>
      <c r="C9" s="325" t="n">
        <v>50</v>
      </c>
      <c r="D9" s="325" t="n">
        <v>107</v>
      </c>
      <c r="E9" s="326" t="inlineStr">
        <is>
          <t>ON TARGET</t>
        </is>
      </c>
      <c r="F9" s="327" t="inlineStr">
        <is>
          <t>50B AFU. Seed DS-01 multi-strain synbiotic.</t>
        </is>
      </c>
      <c r="G9" s="327" t="inlineStr">
        <is>
          <t>50-100B CFU</t>
        </is>
      </c>
      <c r="H9" s="327" t="inlineStr">
        <is>
          <t>No known toxicity. Rare: SIBO in immunocompromised.</t>
        </is>
      </c>
      <c r="I9" s="327" t="inlineStr">
        <is>
          <t>&lt;1B = minimal colonization benefit.</t>
        </is>
      </c>
      <c r="J9" s="327" t="inlineStr">
        <is>
          <t>~0 (unless supplementing)</t>
        </is>
      </c>
    </row>
    <row r="10">
      <c r="A10" s="324" t="inlineStr">
        <is>
          <t>EPA (mg) (BN)</t>
        </is>
      </c>
      <c r="B10" s="325" t="n">
        <v>1297</v>
      </c>
      <c r="C10" s="325" t="n">
        <v>1250</v>
      </c>
      <c r="D10" s="325" t="n">
        <v>104</v>
      </c>
      <c r="E10" s="326" t="inlineStr">
        <is>
          <t>ON TARGET</t>
        </is>
      </c>
      <c r="F10" s="327" t="inlineStr">
        <is>
          <t>1250mg. Anti-inflammatory, cardio, focus/focus.</t>
        </is>
      </c>
      <c r="G10" s="327" t="inlineStr">
        <is>
          <t>2000-3000mg (psychiatric doses)</t>
        </is>
      </c>
      <c r="H10" s="327" t="inlineStr">
        <is>
          <t>&gt;3000mg EPA+DHA combined = bleeding risk, immune suppression</t>
        </is>
      </c>
      <c r="I10" s="327" t="inlineStr">
        <is>
          <t>&lt;250mg = suboptimal anti-inflammatory protection</t>
        </is>
      </c>
      <c r="J10" s="327" t="inlineStr">
        <is>
          <t>~50mg</t>
        </is>
      </c>
    </row>
    <row r="11">
      <c r="A11" s="324" t="inlineStr">
        <is>
          <t>CoQ10 (mg) (CJ)</t>
        </is>
      </c>
      <c r="B11" s="325" t="n">
        <v>103.7</v>
      </c>
      <c r="C11" s="325" t="n">
        <v>100</v>
      </c>
      <c r="D11" s="325" t="n">
        <v>104</v>
      </c>
      <c r="E11" s="326" t="inlineStr">
        <is>
          <t>ON TARGET</t>
        </is>
      </c>
      <c r="F11" s="327" t="inlineStr">
        <is>
          <t>100mg. Mitochondrial electron transport. Qunol ubiquinol.</t>
        </is>
      </c>
      <c r="G11" s="327" t="inlineStr">
        <is>
          <t>200-400mg (heart failure, statins)</t>
        </is>
      </c>
      <c r="H11" s="327" t="inlineStr">
        <is>
          <t>&gt;1200mg = GI upset in some. Generally very safe.</t>
        </is>
      </c>
      <c r="I11" s="327" t="inlineStr">
        <is>
          <t>Body makes it. Declines with age. &lt;30mg supp = minimal benefit.</t>
        </is>
      </c>
      <c r="J11" s="327" t="inlineStr">
        <is>
          <t>~5mg (food)</t>
        </is>
      </c>
    </row>
    <row r="12">
      <c r="A12" s="324" t="inlineStr">
        <is>
          <t>Lutein (mcg) (BX)</t>
        </is>
      </c>
      <c r="B12" s="325" t="n">
        <v>10362</v>
      </c>
      <c r="C12" s="325" t="n">
        <v>10000</v>
      </c>
      <c r="D12" s="325" t="n">
        <v>104</v>
      </c>
      <c r="E12" s="326" t="inlineStr">
        <is>
          <t>ON TARGET</t>
        </is>
      </c>
      <c r="F12" s="327" t="inlineStr">
        <is>
          <t>10,000mcg. Macular pigment, blue-light filter. Vision priority.</t>
        </is>
      </c>
      <c r="G12" s="327" t="inlineStr">
        <is>
          <t>10,000-20,000mcg (AREDS2)</t>
        </is>
      </c>
      <c r="H12" s="327" t="inlineStr">
        <is>
          <t>No known toxicity. Carotenodermia (yellow skin) at extreme doses.</t>
        </is>
      </c>
      <c r="I12" s="327" t="inlineStr">
        <is>
          <t>No deficiency. &lt;2000mcg = suboptimal macular pigment.</t>
        </is>
      </c>
      <c r="J12" s="327" t="inlineStr">
        <is>
          <t>~1500mcg</t>
        </is>
      </c>
    </row>
    <row r="13">
      <c r="A13" s="324" t="inlineStr">
        <is>
          <t>DHA (mg) (BO)</t>
        </is>
      </c>
      <c r="B13" s="325" t="n">
        <v>678.7</v>
      </c>
      <c r="C13" s="325" t="n">
        <v>675</v>
      </c>
      <c r="D13" s="325" t="n">
        <v>101</v>
      </c>
      <c r="E13" s="326" t="inlineStr">
        <is>
          <t>ON TARGET</t>
        </is>
      </c>
      <c r="F13" s="327" t="inlineStr">
        <is>
          <t>750mg. Brain structure (60% brain fat = DHA), retinal health.</t>
        </is>
      </c>
      <c r="G13" s="327" t="inlineStr">
        <is>
          <t>1000-2000mg (cognitive)</t>
        </is>
      </c>
      <c r="H13" s="327" t="inlineStr">
        <is>
          <t>&gt;3000mg EPA+DHA combined (see EPA)</t>
        </is>
      </c>
      <c r="I13" s="327" t="inlineStr">
        <is>
          <t>&lt;100mg = impaired brain development in children</t>
        </is>
      </c>
      <c r="J13" s="327" t="inlineStr">
        <is>
          <t>~70mg</t>
        </is>
      </c>
    </row>
    <row r="14">
      <c r="A14" s="324" t="inlineStr">
        <is>
          <t>B12 (mcg) (BK)</t>
        </is>
      </c>
      <c r="B14" s="325" t="n">
        <v>603.1</v>
      </c>
      <c r="C14" s="325" t="n">
        <v>600</v>
      </c>
      <c r="D14" s="325" t="n">
        <v>101</v>
      </c>
      <c r="E14" s="326" t="inlineStr">
        <is>
          <t>ON TARGET</t>
        </is>
      </c>
      <c r="F14" s="327" t="inlineStr">
        <is>
          <t>600mcg. Thorne methylcobalamin. Massive but harmless (water-soluble).</t>
        </is>
      </c>
      <c r="G14" s="327" t="inlineStr">
        <is>
          <t>1000-5000mcg (pernicious anemia)</t>
        </is>
      </c>
      <c r="H14" s="327" t="inlineStr">
        <is>
          <t>No known toxicity at any dose. Excess excreted.</t>
        </is>
      </c>
      <c r="I14" s="327" t="inlineStr">
        <is>
          <t>&lt;1mcg = pernicious anemia, neuropathy, cognitive decline</t>
        </is>
      </c>
      <c r="J14" s="327" t="inlineStr">
        <is>
          <t>~5mcg</t>
        </is>
      </c>
    </row>
    <row r="15">
      <c r="A15" s="324" t="inlineStr">
        <is>
          <t>Vit E (mg) (BB)</t>
        </is>
      </c>
      <c r="B15" s="325" t="n">
        <v>40.1</v>
      </c>
      <c r="C15" s="325" t="n">
        <v>40</v>
      </c>
      <c r="D15" s="325" t="n">
        <v>100</v>
      </c>
      <c r="E15" s="326" t="inlineStr">
        <is>
          <t>ON TARGET</t>
        </is>
      </c>
      <c r="F15" s="327" t="inlineStr">
        <is>
          <t>40mg food-sourced. High-dose supp E linked to mortality.</t>
        </is>
      </c>
      <c r="G15" s="327" t="inlineStr">
        <is>
          <t>100-200mg (food sources)</t>
        </is>
      </c>
      <c r="H15" s="327" t="inlineStr">
        <is>
          <t>&gt;400 IU (268mg) supp = increased all-cause mortality (Miller 2005)</t>
        </is>
      </c>
      <c r="I15" s="327" t="inlineStr">
        <is>
          <t>&lt;5mg = peripheral neuropathy, ataxia (rare)</t>
        </is>
      </c>
      <c r="J15" s="327" t="inlineStr">
        <is>
          <t>~8mg</t>
        </is>
      </c>
    </row>
    <row r="16">
      <c r="A16" s="324" t="inlineStr">
        <is>
          <t>Taurine (mg) (CI)</t>
        </is>
      </c>
      <c r="B16" s="325" t="n">
        <v>1503.2</v>
      </c>
      <c r="C16" s="325" t="n">
        <v>1500</v>
      </c>
      <c r="D16" s="325" t="n">
        <v>100</v>
      </c>
      <c r="E16" s="326" t="inlineStr">
        <is>
          <t>ON TARGET</t>
        </is>
      </c>
      <c r="F16" s="327" t="inlineStr">
        <is>
          <t>1500mg. Bile acids, antioxidant, cardiac, longevity (Singh 2023).</t>
        </is>
      </c>
      <c r="G16" s="327" t="inlineStr">
        <is>
          <t>3000-6000mg</t>
        </is>
      </c>
      <c r="H16" s="327" t="inlineStr">
        <is>
          <t>&gt;10,000mg = no adverse effects in studies. Very safe.</t>
        </is>
      </c>
      <c r="I16" s="327" t="inlineStr">
        <is>
          <t>Conditionally essential. Body makes ~50-100mg.</t>
        </is>
      </c>
      <c r="J16" s="327" t="inlineStr">
        <is>
          <t>~200mg</t>
        </is>
      </c>
    </row>
    <row r="17">
      <c r="A17" s="324" t="inlineStr">
        <is>
          <t>Vit D (mcg) (BA)</t>
        </is>
      </c>
      <c r="B17" s="325" t="n">
        <v>100.2</v>
      </c>
      <c r="C17" s="325" t="n">
        <v>100</v>
      </c>
      <c r="D17" s="325" t="n">
        <v>100</v>
      </c>
      <c r="E17" s="326" t="inlineStr">
        <is>
          <t>ON TARGET [EXCEEDS UL]</t>
        </is>
      </c>
      <c r="F17" s="327" t="inlineStr">
        <is>
          <t>100mcg (4000 IU). No sunlight. Target serum 40-60 ng/mL.</t>
        </is>
      </c>
      <c r="G17" s="327" t="inlineStr">
        <is>
          <t>125-250mcg (5000-10000 IU)</t>
        </is>
      </c>
      <c r="H17" s="327" t="inlineStr">
        <is>
          <t>&gt;250mcg chronic unmonitored = hypercalcemia, kidney stones</t>
        </is>
      </c>
      <c r="I17" s="327" t="inlineStr">
        <is>
          <t>&lt;5mcg = rickets/osteomalacia. &lt;15mcg = insufficiency.</t>
        </is>
      </c>
      <c r="J17" s="327" t="inlineStr">
        <is>
          <t>~5mcg (without sun)</t>
        </is>
      </c>
    </row>
    <row r="18">
      <c r="A18" s="324" t="inlineStr">
        <is>
          <t>Collagen (g) (T)</t>
        </is>
      </c>
      <c r="B18" s="325" t="n">
        <v>13</v>
      </c>
      <c r="C18" s="325" t="n">
        <v>13</v>
      </c>
      <c r="D18" s="325" t="n">
        <v>100</v>
      </c>
      <c r="E18" s="326" t="inlineStr">
        <is>
          <t>ON TARGET</t>
        </is>
      </c>
      <c r="F18" s="327" t="inlineStr">
        <is>
          <t>Connective tissue, joints, gut lining. Research: 10-15g/day.</t>
        </is>
      </c>
      <c r="G18" s="327" t="inlineStr">
        <is>
          <t>15-20g/day</t>
        </is>
      </c>
      <c r="H18" s="327" t="inlineStr">
        <is>
          <t>&gt;40g = GI discomfort</t>
        </is>
      </c>
      <c r="I18" s="327" t="inlineStr">
        <is>
          <t>&lt;5g = no joint benefit</t>
        </is>
      </c>
      <c r="J18" s="327" t="inlineStr">
        <is>
          <t>~0g (most people)</t>
        </is>
      </c>
    </row>
    <row r="19">
      <c r="A19" s="324" t="inlineStr">
        <is>
          <t>K2 MK-7 (BE)</t>
        </is>
      </c>
      <c r="B19" s="325" t="n">
        <v>100</v>
      </c>
      <c r="C19" s="325" t="n">
        <v>100</v>
      </c>
      <c r="D19" s="325" t="n">
        <v>100</v>
      </c>
      <c r="E19" s="326" t="inlineStr">
        <is>
          <t>ON TARGET</t>
        </is>
      </c>
      <c r="F19" s="327" t="inlineStr">
        <is>
          <t>100mcg. Current InnovixLabs dose. Long half-life, 24h activity.</t>
        </is>
      </c>
      <c r="G19" s="327" t="inlineStr">
        <is>
          <t>180-360mcg</t>
        </is>
      </c>
      <c r="H19" s="327" t="inlineStr">
        <is>
          <t>No known toxicity at any studied dose</t>
        </is>
      </c>
      <c r="I19" s="327" t="inlineStr">
        <is>
          <t>&lt;10mcg = incomplete osteocalcin carboxylation</t>
        </is>
      </c>
      <c r="J19" s="327" t="inlineStr">
        <is>
          <t>~5mcg (Western diet)</t>
        </is>
      </c>
    </row>
    <row r="20">
      <c r="A20" s="324" t="inlineStr">
        <is>
          <t>EGCG (mg) (BQ)</t>
        </is>
      </c>
      <c r="B20" s="325" t="n">
        <v>200</v>
      </c>
      <c r="C20" s="325" t="n">
        <v>200</v>
      </c>
      <c r="D20" s="325" t="n">
        <v>100</v>
      </c>
      <c r="E20" s="326" t="inlineStr">
        <is>
          <t>ON TARGET</t>
        </is>
      </c>
      <c r="F20" s="327" t="inlineStr">
        <is>
          <t>200mg. Green tea catechin: thermogenic, neuroprotective.</t>
        </is>
      </c>
      <c r="G20" s="327" t="inlineStr">
        <is>
          <t>400-800mg</t>
        </is>
      </c>
      <c r="H20" s="327" t="inlineStr">
        <is>
          <t>&gt;800mg concentrated extract = liver injury (case reports)</t>
        </is>
      </c>
      <c r="I20" s="327" t="inlineStr">
        <is>
          <t>No deficiency state. &lt;50mg = no measurable effect.</t>
        </is>
      </c>
      <c r="J20" s="327" t="inlineStr">
        <is>
          <t>~50mg (tea drinkers)</t>
        </is>
      </c>
    </row>
    <row r="21">
      <c r="A21" s="324" t="inlineStr">
        <is>
          <t>Cocoa Flav (BR)</t>
        </is>
      </c>
      <c r="B21" s="325" t="n">
        <v>125</v>
      </c>
      <c r="C21" s="325" t="n">
        <v>125</v>
      </c>
      <c r="D21" s="325" t="n">
        <v>100</v>
      </c>
      <c r="E21" s="326" t="inlineStr">
        <is>
          <t>ON TARGET</t>
        </is>
      </c>
      <c r="F21" s="327" t="inlineStr">
        <is>
          <t>125mg. Raw cacao flavanols: NO production, blood flow.</t>
        </is>
      </c>
      <c r="G21" s="327" t="inlineStr">
        <is>
          <t>400-900mg (CocoaVia studies)</t>
        </is>
      </c>
      <c r="H21" s="327" t="inlineStr">
        <is>
          <t>No known toxicity from food cocoa. Concentrated extracts unknown.</t>
        </is>
      </c>
      <c r="I21" s="327" t="inlineStr">
        <is>
          <t>No deficiency. &lt;50mg = no vascular benefit.</t>
        </is>
      </c>
      <c r="J21" s="327" t="inlineStr">
        <is>
          <t>~20mg</t>
        </is>
      </c>
    </row>
    <row r="22">
      <c r="A22" s="324" t="inlineStr">
        <is>
          <t>Collagen (g) (CG)</t>
        </is>
      </c>
      <c r="B22" s="325" t="n">
        <v>13</v>
      </c>
      <c r="C22" s="325" t="n">
        <v>13</v>
      </c>
      <c r="D22" s="325" t="n">
        <v>100</v>
      </c>
      <c r="E22" s="326" t="inlineStr">
        <is>
          <t>ON TARGET</t>
        </is>
      </c>
      <c r="F22" s="327" t="inlineStr">
        <is>
          <t>Connective tissue, joints, gut lining. Research: 10-15g/day.</t>
        </is>
      </c>
      <c r="G22" s="327" t="inlineStr">
        <is>
          <t>15-20g/day</t>
        </is>
      </c>
      <c r="H22" s="327" t="inlineStr">
        <is>
          <t>&gt;40g = GI discomfort</t>
        </is>
      </c>
      <c r="I22" s="327" t="inlineStr">
        <is>
          <t>&lt;5g = no joint benefit</t>
        </is>
      </c>
      <c r="J22" s="327" t="inlineStr">
        <is>
          <t>~0g (most people)</t>
        </is>
      </c>
    </row>
    <row r="23">
      <c r="A23" s="324" t="inlineStr">
        <is>
          <t>Creatine (g) (CK)</t>
        </is>
      </c>
      <c r="B23" s="325" t="n">
        <v>5</v>
      </c>
      <c r="C23" s="325" t="n">
        <v>5</v>
      </c>
      <c r="D23" s="325" t="n">
        <v>100</v>
      </c>
      <c r="E23" s="326" t="inlineStr">
        <is>
          <t>ON TARGET</t>
        </is>
      </c>
      <c r="F23" s="327" t="inlineStr">
        <is>
          <t>5g/day. Phosphocreatine ATP buffer. Standard maintenance.</t>
        </is>
      </c>
      <c r="G23" s="327" t="inlineStr">
        <is>
          <t>10-20g (loading phase, 5-7 days only)</t>
        </is>
      </c>
      <c r="H23" s="327" t="inlineStr">
        <is>
          <t>&gt;20g chronic = GI upset, water retention. Kidneys fine if healthy.</t>
        </is>
      </c>
      <c r="I23" s="327" t="inlineStr">
        <is>
          <t>&lt;3g = suboptimal for performance benefit.</t>
        </is>
      </c>
      <c r="J23" s="327" t="inlineStr">
        <is>
          <t>~1g (meat eaters)</t>
        </is>
      </c>
    </row>
    <row r="24">
      <c r="A24" s="324" t="inlineStr">
        <is>
          <t>Lithium (mg) (CL)</t>
        </is>
      </c>
      <c r="B24" s="325" t="n">
        <v>5</v>
      </c>
      <c r="C24" s="325" t="n">
        <v>5</v>
      </c>
      <c r="D24" s="325" t="n">
        <v>100</v>
      </c>
      <c r="E24" s="326" t="inlineStr">
        <is>
          <t>ON TARGET</t>
        </is>
      </c>
      <c r="F24" s="327" t="inlineStr">
        <is>
          <t>5mg low-dose. Neuroprotective, BDNF, anti-aging.</t>
        </is>
      </c>
      <c r="G24" s="327" t="inlineStr">
        <is>
          <t>5-20mg (nutritional lithium)</t>
        </is>
      </c>
      <c r="H24" s="327" t="inlineStr">
        <is>
          <t>&gt;300mg = therapeutic psych dose (NARROW window, requires monitoring)</t>
        </is>
      </c>
      <c r="I24" s="327" t="inlineStr">
        <is>
          <t>&lt;1mg = may miss neuroprotective benefit (epidemiology only)</t>
        </is>
      </c>
      <c r="J24" s="327" t="inlineStr">
        <is>
          <t>~2mg</t>
        </is>
      </c>
    </row>
    <row r="25">
      <c r="A25" s="324" t="inlineStr">
        <is>
          <t>Lyco (mg) (BZ)</t>
        </is>
      </c>
      <c r="B25" s="325" t="n">
        <v>10</v>
      </c>
      <c r="C25" s="325" t="n">
        <v>10</v>
      </c>
      <c r="D25" s="325" t="n">
        <v>100</v>
      </c>
      <c r="E25" s="326" t="inlineStr">
        <is>
          <t>ON TARGET</t>
        </is>
      </c>
      <c r="F25" s="327" t="inlineStr">
        <is>
          <t>10mg. Lycopene: prostate health, antioxidant.</t>
        </is>
      </c>
      <c r="G25" s="327" t="inlineStr">
        <is>
          <t>15-30mg</t>
        </is>
      </c>
      <c r="H25" s="327" t="inlineStr">
        <is>
          <t>No known toxicity. Lycopenodermia (orange skin) at &gt;30mg chronic.</t>
        </is>
      </c>
      <c r="I25" s="327" t="inlineStr">
        <is>
          <t>No deficiency. &lt;2mg = suboptimal prostate protection.</t>
        </is>
      </c>
      <c r="J25" s="327" t="inlineStr">
        <is>
          <t>~5mg</t>
        </is>
      </c>
    </row>
    <row r="26">
      <c r="A26" s="324" t="inlineStr">
        <is>
          <t>Egg (g) (S)</t>
        </is>
      </c>
      <c r="B26" s="325" t="n">
        <v>86.5</v>
      </c>
      <c r="C26" s="325" t="n">
        <v>87</v>
      </c>
      <c r="D26" s="325" t="n">
        <v>99</v>
      </c>
      <c r="E26" s="326" t="inlineStr">
        <is>
          <t>ON TARGET</t>
        </is>
      </c>
      <c r="F26" s="327" t="inlineStr">
        <is>
          <t>Highest DIAAS. Complete amino acid profile.</t>
        </is>
      </c>
      <c r="G26" s="327" t="inlineStr">
        <is>
          <t>100-150g/day</t>
        </is>
      </c>
      <c r="H26" s="327" t="inlineStr">
        <is>
          <t>No UL</t>
        </is>
      </c>
      <c r="I26" s="327" t="inlineStr">
        <is>
          <t>Not essential if other sources adequate</t>
        </is>
      </c>
      <c r="J26" s="327" t="inlineStr">
        <is>
          <t>~15g</t>
        </is>
      </c>
    </row>
    <row r="27">
      <c r="A27" s="324" t="inlineStr">
        <is>
          <t>Ellag (mg) (BS)</t>
        </is>
      </c>
      <c r="B27" s="325" t="n">
        <v>99</v>
      </c>
      <c r="C27" s="325" t="n">
        <v>100</v>
      </c>
      <c r="D27" s="325" t="n">
        <v>99</v>
      </c>
      <c r="E27" s="326" t="inlineStr">
        <is>
          <t>ON TARGET</t>
        </is>
      </c>
      <c r="F27" s="327" t="inlineStr">
        <is>
          <t>100mg. Ellagic acid/urolithins: gut health, anti-inflammatory.</t>
        </is>
      </c>
      <c r="G27" s="327" t="inlineStr">
        <is>
          <t>200-500mg</t>
        </is>
      </c>
      <c r="H27" s="327" t="inlineStr">
        <is>
          <t>No known toxicity at food levels.</t>
        </is>
      </c>
      <c r="I27" s="327" t="inlineStr">
        <is>
          <t>No deficiency. &lt;20mg = minimal urolithin production.</t>
        </is>
      </c>
      <c r="J27" s="327" t="inlineStr">
        <is>
          <t>~10mg</t>
        </is>
      </c>
    </row>
    <row r="28">
      <c r="A28" s="324" t="inlineStr">
        <is>
          <t>ALA (g) (AA)</t>
        </is>
      </c>
      <c r="B28" s="325" t="n">
        <v>1.6</v>
      </c>
      <c r="C28" s="325" t="n">
        <v>1.6</v>
      </c>
      <c r="D28" s="325" t="n">
        <v>98</v>
      </c>
      <c r="E28" s="326" t="inlineStr">
        <is>
          <t>ON TARGET</t>
        </is>
      </c>
      <c r="F28" s="327" t="inlineStr">
        <is>
          <t>AI = 1.6g/day. Plant omega-3 precursor to EPA/DHA.</t>
        </is>
      </c>
      <c r="G28" s="327" t="inlineStr">
        <is>
          <t>3-4g/day (flaxseed heavy)</t>
        </is>
      </c>
      <c r="H28" s="327" t="inlineStr">
        <is>
          <t>&gt;5g = may increase bleeding risk</t>
        </is>
      </c>
      <c r="I28" s="327" t="inlineStr">
        <is>
          <t>&lt;0.5g = omega-3 deficiency</t>
        </is>
      </c>
      <c r="J28" s="327" t="inlineStr">
        <is>
          <t>~1.4g</t>
        </is>
      </c>
    </row>
    <row r="29">
      <c r="A29" s="324" t="inlineStr">
        <is>
          <t>Cal (O)</t>
        </is>
      </c>
      <c r="B29" s="325" t="n">
        <v>2724.8</v>
      </c>
      <c r="C29" s="325" t="n">
        <v>2800</v>
      </c>
      <c r="D29" s="325" t="n">
        <v>97</v>
      </c>
      <c r="E29" s="326" t="inlineStr">
        <is>
          <t>ON TARGET</t>
        </is>
      </c>
      <c r="F29" s="327" t="inlineStr">
        <is>
          <t>Active male ~180lb. 3000 kcal for muscle + cognition without fat gain.</t>
        </is>
      </c>
      <c r="G29" s="327" t="inlineStr">
        <is>
          <t>3500-4000 (bulking)</t>
        </is>
      </c>
      <c r="H29" s="327" t="inlineStr">
        <is>
          <t>Chronic &gt;4500 = fat gain</t>
        </is>
      </c>
      <c r="I29" s="327" t="inlineStr">
        <is>
          <t>&lt;1800 = muscle loss, fatigue</t>
        </is>
      </c>
      <c r="J29" s="327" t="inlineStr">
        <is>
          <t>~2100</t>
        </is>
      </c>
    </row>
    <row r="30">
      <c r="A30" s="324" t="inlineStr">
        <is>
          <t>Total Prot (P)</t>
        </is>
      </c>
      <c r="B30" s="325" t="n">
        <v>175</v>
      </c>
      <c r="C30" s="325" t="n">
        <v>180</v>
      </c>
      <c r="D30" s="325" t="n">
        <v>97</v>
      </c>
      <c r="E30" s="326" t="inlineStr">
        <is>
          <t>ON TARGET</t>
        </is>
      </c>
      <c r="F30" s="327" t="inlineStr">
        <is>
          <t>~1g/lb bodyweight. Optimal MPS, recovery, satiety.</t>
        </is>
      </c>
      <c r="G30" s="327" t="inlineStr">
        <is>
          <t>1.2-1.6 g/lb (bodybuilders)</t>
        </is>
      </c>
      <c r="H30" s="327" t="inlineStr">
        <is>
          <t>&gt;2.5 g/lb chronic = kidney stress (if pre-existing)</t>
        </is>
      </c>
      <c r="I30" s="327" t="inlineStr">
        <is>
          <t>&lt;0.4 g/lb = muscle wasting</t>
        </is>
      </c>
      <c r="J30" s="327" t="inlineStr">
        <is>
          <t>~90g</t>
        </is>
      </c>
    </row>
    <row r="31">
      <c r="A31" s="324" t="inlineStr">
        <is>
          <t>MUFA (g) (Y)</t>
        </is>
      </c>
      <c r="B31" s="325" t="n">
        <v>77.59999999999999</v>
      </c>
      <c r="C31" s="325" t="n">
        <v>80</v>
      </c>
      <c r="D31" s="325" t="n">
        <v>97</v>
      </c>
      <c r="E31" s="326" t="inlineStr">
        <is>
          <t>ON TARGET</t>
        </is>
      </c>
      <c r="F31" s="327" t="inlineStr">
        <is>
          <t>Primary fat. Anti-inflammatory. EVOO + macadamia driven.</t>
        </is>
      </c>
      <c r="G31" s="327" t="inlineStr">
        <is>
          <t>30-50g/day (Mediterranean)</t>
        </is>
      </c>
      <c r="H31" s="327" t="inlineStr">
        <is>
          <t>No UL; excess = caloric surplus</t>
        </is>
      </c>
      <c r="I31" s="327" t="inlineStr">
        <is>
          <t>Not essential (body makes it)</t>
        </is>
      </c>
      <c r="J31" s="327" t="inlineStr">
        <is>
          <t>~30g</t>
        </is>
      </c>
    </row>
    <row r="32">
      <c r="A32" s="324" t="inlineStr">
        <is>
          <t>Total Fat (W)</t>
        </is>
      </c>
      <c r="B32" s="325" t="n">
        <v>130.6</v>
      </c>
      <c r="C32" s="325" t="n">
        <v>135</v>
      </c>
      <c r="D32" s="325" t="n">
        <v>97</v>
      </c>
      <c r="E32" s="326" t="inlineStr">
        <is>
          <t>ON TARGET</t>
        </is>
      </c>
      <c r="F32" s="327" t="inlineStr">
        <is>
          <t>~45% of 3000 kcal. Hormones, brain function.</t>
        </is>
      </c>
      <c r="G32" s="327" t="inlineStr">
        <is>
          <t>40-50% kcal (keto: 70%)</t>
        </is>
      </c>
      <c r="H32" s="327" t="inlineStr">
        <is>
          <t>&gt;60% kcal chronic = lipid issues in some</t>
        </is>
      </c>
      <c r="I32" s="327" t="inlineStr">
        <is>
          <t>&lt;20% kcal = hormone disruption</t>
        </is>
      </c>
      <c r="J32" s="327" t="inlineStr">
        <is>
          <t>~80g</t>
        </is>
      </c>
    </row>
    <row r="33">
      <c r="A33" s="324" t="inlineStr">
        <is>
          <t>Casein (g) (R)</t>
        </is>
      </c>
      <c r="B33" s="325" t="n">
        <v>14.4</v>
      </c>
      <c r="C33" s="325" t="n">
        <v>15</v>
      </c>
      <c r="D33" s="325" t="n">
        <v>96</v>
      </c>
      <c r="E33" s="326" t="inlineStr">
        <is>
          <t>ON TARGET</t>
        </is>
      </c>
      <c r="F33" s="327" t="inlineStr">
        <is>
          <t>Slow-release for sustained amino delivery.</t>
        </is>
      </c>
      <c r="G33" s="327" t="inlineStr">
        <is>
          <t>30-40g/day</t>
        </is>
      </c>
      <c r="H33" s="327" t="inlineStr">
        <is>
          <t>No UL</t>
        </is>
      </c>
      <c r="I33" s="327" t="inlineStr">
        <is>
          <t>&lt;5g = minimal benefit</t>
        </is>
      </c>
      <c r="J33" s="327" t="inlineStr">
        <is>
          <t>~8g (dairy consumers)</t>
        </is>
      </c>
    </row>
    <row r="34">
      <c r="A34" s="324" t="inlineStr">
        <is>
          <t>Antho (mg) (BP)</t>
        </is>
      </c>
      <c r="B34" s="325" t="n">
        <v>191.4</v>
      </c>
      <c r="C34" s="325" t="n">
        <v>200</v>
      </c>
      <c r="D34" s="325" t="n">
        <v>96</v>
      </c>
      <c r="E34" s="326" t="inlineStr">
        <is>
          <t>ON TARGET</t>
        </is>
      </c>
      <c r="F34" s="327" t="inlineStr">
        <is>
          <t>200mg. Anthocyanins: neuroprotective, cardiovascular.</t>
        </is>
      </c>
      <c r="G34" s="327" t="inlineStr">
        <is>
          <t>300-500mg</t>
        </is>
      </c>
      <c r="H34" s="327" t="inlineStr">
        <is>
          <t>No known toxicity. Food-derived pigments.</t>
        </is>
      </c>
      <c r="I34" s="327" t="inlineStr">
        <is>
          <t>No established deficiency</t>
        </is>
      </c>
      <c r="J34" s="327" t="inlineStr">
        <is>
          <t>~12mg</t>
        </is>
      </c>
    </row>
    <row r="35">
      <c r="A35" s="324" t="inlineStr">
        <is>
          <t>Querc (mg) (BV)</t>
        </is>
      </c>
      <c r="B35" s="325" t="n">
        <v>28.5</v>
      </c>
      <c r="C35" s="325" t="n">
        <v>30</v>
      </c>
      <c r="D35" s="325" t="n">
        <v>95</v>
      </c>
      <c r="E35" s="326" t="inlineStr">
        <is>
          <t>ON TARGET</t>
        </is>
      </c>
      <c r="F35" s="327" t="inlineStr">
        <is>
          <t>30mg. Anti-inflammatory, senolytic. 27mg = 2x avg diet.</t>
        </is>
      </c>
      <c r="G35" s="327" t="inlineStr">
        <is>
          <t>500-1000mg (supplement doses)</t>
        </is>
      </c>
      <c r="H35" s="327" t="inlineStr">
        <is>
          <t>&gt;1000mg = headache, GI upset in some.</t>
        </is>
      </c>
      <c r="I35" s="327" t="inlineStr">
        <is>
          <t>No deficiency. &lt;5mg = below avg diet.</t>
        </is>
      </c>
      <c r="J35" s="327" t="inlineStr">
        <is>
          <t>~15mg</t>
        </is>
      </c>
    </row>
    <row r="36">
      <c r="A36" s="324" t="inlineStr">
        <is>
          <t>Plant (g) (U)</t>
        </is>
      </c>
      <c r="B36" s="325" t="n">
        <v>30.5</v>
      </c>
      <c r="C36" s="325" t="n">
        <v>35</v>
      </c>
      <c r="D36" s="325" t="n">
        <v>87</v>
      </c>
      <c r="E36" s="326" t="inlineStr">
        <is>
          <t>ON TARGET</t>
        </is>
      </c>
      <c r="F36" s="327" t="inlineStr">
        <is>
          <t>Amino acid diversity. Lentil + rice bran complement animal sources.</t>
        </is>
      </c>
      <c r="G36" s="327" t="inlineStr">
        <is>
          <t>50-80g (vegans)</t>
        </is>
      </c>
      <c r="H36" s="327" t="inlineStr">
        <is>
          <t>No UL</t>
        </is>
      </c>
      <c r="I36" s="327" t="inlineStr">
        <is>
          <t>Not essential if animal sources adequate</t>
        </is>
      </c>
      <c r="J36" s="327" t="inlineStr">
        <is>
          <t>~15g</t>
        </is>
      </c>
    </row>
    <row r="37">
      <c r="A37" s="324" t="inlineStr">
        <is>
          <t>Vit C (mg) (AZ)</t>
        </is>
      </c>
      <c r="B37" s="325" t="n">
        <v>631.4</v>
      </c>
      <c r="C37" s="325" t="n">
        <v>750</v>
      </c>
      <c r="D37" s="325" t="n">
        <v>84</v>
      </c>
      <c r="E37" s="326" t="inlineStr">
        <is>
          <t>ON TARGET</t>
        </is>
      </c>
      <c r="F37" s="327" t="inlineStr">
        <is>
          <t>750mg therapeutic. Antioxidant, collagen synthesis, immune.</t>
        </is>
      </c>
      <c r="G37" s="327" t="inlineStr">
        <is>
          <t>1000-2000mg</t>
        </is>
      </c>
      <c r="H37" s="327" t="inlineStr">
        <is>
          <t>&gt;2000mg (UL) = diarrhea, kidney stones</t>
        </is>
      </c>
      <c r="I37" s="327" t="inlineStr">
        <is>
          <t>&lt;10mg = scurvy. &lt;30mg = poor wound healing.</t>
        </is>
      </c>
      <c r="J37" s="327" t="inlineStr">
        <is>
          <t>~85mg</t>
        </is>
      </c>
    </row>
    <row r="38">
      <c r="A38" s="324" t="inlineStr">
        <is>
          <t>Lignans (mg) (BW)</t>
        </is>
      </c>
      <c r="B38" s="325" t="n">
        <v>4.2</v>
      </c>
      <c r="C38" s="325" t="n">
        <v>5</v>
      </c>
      <c r="D38" s="325" t="n">
        <v>84</v>
      </c>
      <c r="E38" s="326" t="inlineStr">
        <is>
          <t>ON TARGET</t>
        </is>
      </c>
      <c r="F38" s="327" t="inlineStr">
        <is>
          <t>5mg. Enterolactone precursors. Higher = phytoestrogen risk.</t>
        </is>
      </c>
      <c r="G38" s="327" t="inlineStr">
        <is>
          <t>50-100mg (flaxseed-heavy diets)</t>
        </is>
      </c>
      <c r="H38" s="327" t="inlineStr">
        <is>
          <t>No acute toxicity. Hormonal effects at &gt;50mg debated.</t>
        </is>
      </c>
      <c r="I38" s="327" t="inlineStr">
        <is>
          <t>No deficiency. Avg Western = 0.5-2mg.</t>
        </is>
      </c>
      <c r="J38" s="327" t="inlineStr">
        <is>
          <t>~1mg</t>
        </is>
      </c>
    </row>
    <row r="40">
      <c r="A40" s="323" t="inlineStr">
        <is>
          <t>MODERATELY OVER - 120-200% (19)</t>
        </is>
      </c>
    </row>
    <row r="41">
      <c r="A41" s="328" t="inlineStr">
        <is>
          <t>K1 (mcg) (BC)</t>
        </is>
      </c>
      <c r="B41" s="329" t="n">
        <v>972.7</v>
      </c>
      <c r="C41" s="329" t="n">
        <v>500</v>
      </c>
      <c r="D41" s="329" t="n">
        <v>195</v>
      </c>
      <c r="E41" s="330" t="inlineStr">
        <is>
          <t>OVER</t>
        </is>
      </c>
      <c r="F41" s="331" t="inlineStr">
        <is>
          <t>AI=120mcg. Blood clotting, bone health. No UL.</t>
        </is>
      </c>
      <c r="G41" s="331" t="inlineStr">
        <is>
          <t>500-1000mcg</t>
        </is>
      </c>
      <c r="H41" s="331" t="inlineStr">
        <is>
          <t>No known toxicity even at very high doses</t>
        </is>
      </c>
      <c r="I41" s="331" t="inlineStr">
        <is>
          <t>&lt;50mcg = impaired clotting, easy bruising</t>
        </is>
      </c>
      <c r="J41" s="331" t="inlineStr">
        <is>
          <t>~80mcg</t>
        </is>
      </c>
    </row>
    <row r="42">
      <c r="A42" s="328" t="inlineStr">
        <is>
          <t>Choline (mg) (AJ)</t>
        </is>
      </c>
      <c r="B42" s="329" t="n">
        <v>1026.2</v>
      </c>
      <c r="C42" s="329" t="n">
        <v>550</v>
      </c>
      <c r="D42" s="329" t="n">
        <v>187</v>
      </c>
      <c r="E42" s="330" t="inlineStr">
        <is>
          <t>OVER</t>
        </is>
      </c>
      <c r="F42" s="331" t="inlineStr">
        <is>
          <t>AI=550mg. Methylation, cell membranes, acetylcholine.</t>
        </is>
      </c>
      <c r="G42" s="331" t="inlineStr">
        <is>
          <t>1000-2000mg</t>
        </is>
      </c>
      <c r="H42" s="331" t="inlineStr">
        <is>
          <t>&gt;3500mg = fishy odor, GI, hypotension</t>
        </is>
      </c>
      <c r="I42" s="331" t="inlineStr">
        <is>
          <t>&lt;200mg = fatty liver, cognitive issues</t>
        </is>
      </c>
      <c r="J42" s="331" t="inlineStr">
        <is>
          <t>~320mg</t>
        </is>
      </c>
    </row>
    <row r="43">
      <c r="A43" s="328" t="inlineStr">
        <is>
          <t>Sperm (mg) (CE)</t>
        </is>
      </c>
      <c r="B43" s="329" t="n">
        <v>5.5</v>
      </c>
      <c r="C43" s="329" t="n">
        <v>3</v>
      </c>
      <c r="D43" s="329" t="n">
        <v>184</v>
      </c>
      <c r="E43" s="330" t="inlineStr">
        <is>
          <t>OVER</t>
        </is>
      </c>
      <c r="F43" s="331" t="inlineStr">
        <is>
          <t>3mg. Spermidine: autophagy inducer, anti-aging.</t>
        </is>
      </c>
      <c r="G43" s="331" t="inlineStr">
        <is>
          <t>5-10mg</t>
        </is>
      </c>
      <c r="H43" s="331" t="inlineStr">
        <is>
          <t>No known toxicity at food levels.</t>
        </is>
      </c>
      <c r="I43" s="331" t="inlineStr">
        <is>
          <t>No deficiency. &lt;1mg = below avg intake.</t>
        </is>
      </c>
      <c r="J43" s="331" t="inlineStr">
        <is>
          <t>~7mg</t>
        </is>
      </c>
    </row>
    <row r="44">
      <c r="A44" s="328" t="inlineStr">
        <is>
          <t>P (mg) (AN)</t>
        </is>
      </c>
      <c r="B44" s="329" t="n">
        <v>1253.8</v>
      </c>
      <c r="C44" s="329" t="n">
        <v>700</v>
      </c>
      <c r="D44" s="329" t="n">
        <v>179</v>
      </c>
      <c r="E44" s="330" t="inlineStr">
        <is>
          <t>OVER</t>
        </is>
      </c>
      <c r="F44" s="331" t="inlineStr">
        <is>
          <t>RDA 700mg. Bone, ATP. High intake normal with protein-rich diet.</t>
        </is>
      </c>
      <c r="G44" s="331" t="inlineStr">
        <is>
          <t>1000-1500mg</t>
        </is>
      </c>
      <c r="H44" s="331" t="inlineStr">
        <is>
          <t>&gt;4000mg = calcium interference, bone loss</t>
        </is>
      </c>
      <c r="I44" s="331" t="inlineStr">
        <is>
          <t>&lt;400mg = weakness, bone pain (rare)</t>
        </is>
      </c>
      <c r="J44" s="331" t="inlineStr">
        <is>
          <t>~1300mg</t>
        </is>
      </c>
    </row>
    <row r="45">
      <c r="A45" s="332" t="inlineStr">
        <is>
          <t>Se (mcg) (AS)</t>
        </is>
      </c>
      <c r="B45" s="333" t="n">
        <v>353.5</v>
      </c>
      <c r="C45" s="333" t="n">
        <v>200</v>
      </c>
      <c r="D45" s="333" t="n">
        <v>177</v>
      </c>
      <c r="E45" s="334" t="inlineStr">
        <is>
          <t>OVER [NEAR UL]</t>
        </is>
      </c>
      <c r="F45" s="335" t="inlineStr">
        <is>
          <t>200mcg therapeutic. Thyroid, glutathione peroxidase. UL=400mcg.</t>
        </is>
      </c>
      <c r="G45" s="335" t="inlineStr">
        <is>
          <t>200-400mcg</t>
        </is>
      </c>
      <c r="H45" s="335" t="inlineStr">
        <is>
          <t>&gt;400mcg chronic = selenosis (hair/nail loss, garlic breath)</t>
        </is>
      </c>
      <c r="I45" s="335" t="inlineStr">
        <is>
          <t>&lt;20mcg = Keshan disease, thyroid dysfunction</t>
        </is>
      </c>
      <c r="J45" s="335" t="inlineStr">
        <is>
          <t>~110mcg</t>
        </is>
      </c>
    </row>
    <row r="46">
      <c r="A46" s="328" t="inlineStr">
        <is>
          <t>Mg (mg) (AL)</t>
        </is>
      </c>
      <c r="B46" s="329" t="n">
        <v>730.5</v>
      </c>
      <c r="C46" s="329" t="n">
        <v>420</v>
      </c>
      <c r="D46" s="329" t="n">
        <v>174</v>
      </c>
      <c r="E46" s="330" t="inlineStr">
        <is>
          <t>OVER</t>
        </is>
      </c>
      <c r="F46" s="331" t="inlineStr">
        <is>
          <t>Ideal 350mg. UL=350 applies to supplemental only. 854mg from food = safe.</t>
        </is>
      </c>
      <c r="G46" s="331" t="inlineStr">
        <is>
          <t>400-800mg (food + supp)</t>
        </is>
      </c>
      <c r="H46" s="331" t="inlineStr">
        <is>
          <t>&gt;5000mg supp = diarrhea, cardiac. Food-based has no UL.</t>
        </is>
      </c>
      <c r="I46" s="331" t="inlineStr">
        <is>
          <t>&lt;200mg = cramps, anxiety, arrhythmia</t>
        </is>
      </c>
      <c r="J46" s="331" t="inlineStr">
        <is>
          <t>~270mg</t>
        </is>
      </c>
    </row>
    <row r="47">
      <c r="A47" s="328" t="inlineStr">
        <is>
          <t>Fiber (g) (AH)</t>
        </is>
      </c>
      <c r="B47" s="329" t="n">
        <v>63.9</v>
      </c>
      <c r="C47" s="329" t="n">
        <v>38</v>
      </c>
      <c r="D47" s="329" t="n">
        <v>168</v>
      </c>
      <c r="E47" s="330" t="inlineStr">
        <is>
          <t>OVER</t>
        </is>
      </c>
      <c r="F47" s="331" t="inlineStr">
        <is>
          <t>AI=38g. 68g from whole foods. Great for microbiome.</t>
        </is>
      </c>
      <c r="G47" s="331" t="inlineStr">
        <is>
          <t>50-80g (whole-food plant diets)</t>
        </is>
      </c>
      <c r="H47" s="331" t="inlineStr">
        <is>
          <t>&gt;100g sudden = severe bloating/gas</t>
        </is>
      </c>
      <c r="I47" s="331" t="inlineStr">
        <is>
          <t>&lt;15g = constipation, poor microbiome</t>
        </is>
      </c>
      <c r="J47" s="331" t="inlineStr">
        <is>
          <t>~16g</t>
        </is>
      </c>
    </row>
    <row r="48">
      <c r="A48" s="328" t="inlineStr">
        <is>
          <t>Sugars (Simple) (AE)</t>
        </is>
      </c>
      <c r="B48" s="329" t="n">
        <v>81.40000000000001</v>
      </c>
      <c r="C48" s="329" t="n">
        <v>50</v>
      </c>
      <c r="D48" s="329" t="n">
        <v>163</v>
      </c>
      <c r="E48" s="330" t="inlineStr">
        <is>
          <t>OVER</t>
        </is>
      </c>
      <c r="F48" s="331" t="inlineStr">
        <is>
          <t>Mostly fruit-bound (fiber slows absorption).</t>
        </is>
      </c>
      <c r="G48" s="331" t="inlineStr">
        <is>
          <t>&lt;50g added sugars (WHO)</t>
        </is>
      </c>
      <c r="H48" s="331" t="inlineStr">
        <is>
          <t>&gt;75g added = metabolic syndrome risk</t>
        </is>
      </c>
      <c r="I48" s="331" t="inlineStr">
        <is>
          <t>Not essential</t>
        </is>
      </c>
      <c r="J48" s="331" t="inlineStr">
        <is>
          <t>~80g (incl. added)</t>
        </is>
      </c>
    </row>
    <row r="49">
      <c r="A49" s="328" t="inlineStr">
        <is>
          <t>PUFA (g) (Z)</t>
        </is>
      </c>
      <c r="B49" s="329" t="n">
        <v>12</v>
      </c>
      <c r="C49" s="329" t="n">
        <v>8</v>
      </c>
      <c r="D49" s="329" t="n">
        <v>150</v>
      </c>
      <c r="E49" s="330" t="inlineStr">
        <is>
          <t>OVER</t>
        </is>
      </c>
      <c r="F49" s="331" t="inlineStr">
        <is>
          <t>Intentionally low. Minimize omega-6 inflammatory load.</t>
        </is>
      </c>
      <c r="G49" s="331" t="inlineStr">
        <is>
          <t>5-10% kcal</t>
        </is>
      </c>
      <c r="H49" s="331" t="inlineStr">
        <is>
          <t>&gt;10% kcal = oxidative stress risk</t>
        </is>
      </c>
      <c r="I49" s="331" t="inlineStr">
        <is>
          <t>&lt;3g = EFA deficiency (dry skin, poor healing)</t>
        </is>
      </c>
      <c r="J49" s="331" t="inlineStr">
        <is>
          <t>~18g</t>
        </is>
      </c>
    </row>
    <row r="50">
      <c r="A50" s="328" t="inlineStr">
        <is>
          <t>Astax (mg) (CA)</t>
        </is>
      </c>
      <c r="B50" s="329" t="n">
        <v>12</v>
      </c>
      <c r="C50" s="329" t="n">
        <v>8</v>
      </c>
      <c r="D50" s="329" t="n">
        <v>150</v>
      </c>
      <c r="E50" s="330" t="inlineStr">
        <is>
          <t>OVER</t>
        </is>
      </c>
      <c r="F50" s="331" t="inlineStr">
        <is>
          <t>8mg. Most potent carotenoid antioxidant (6000x vit C).</t>
        </is>
      </c>
      <c r="G50" s="331" t="inlineStr">
        <is>
          <t>12-24mg</t>
        </is>
      </c>
      <c r="H50" s="331" t="inlineStr">
        <is>
          <t>No known toxicity up to 40mg studied.</t>
        </is>
      </c>
      <c r="I50" s="331" t="inlineStr">
        <is>
          <t>No deficiency. &lt;4mg = no measurable antioxidant effect.</t>
        </is>
      </c>
      <c r="J50" s="331" t="inlineStr">
        <is>
          <t>~0mg (not in Western diet)</t>
        </is>
      </c>
    </row>
    <row r="51">
      <c r="A51" s="328" t="inlineStr">
        <is>
          <t>Sulfo (mg) (CB)</t>
        </is>
      </c>
      <c r="B51" s="329" t="n">
        <v>30</v>
      </c>
      <c r="C51" s="329" t="n">
        <v>20</v>
      </c>
      <c r="D51" s="329" t="n">
        <v>150</v>
      </c>
      <c r="E51" s="330" t="inlineStr">
        <is>
          <t>OVER</t>
        </is>
      </c>
      <c r="F51" s="331" t="inlineStr">
        <is>
          <t>20mg. Nrf2 activator, phase II detox enzymes.</t>
        </is>
      </c>
      <c r="G51" s="331" t="inlineStr">
        <is>
          <t>30-60mg</t>
        </is>
      </c>
      <c r="H51" s="331" t="inlineStr">
        <is>
          <t>&gt;100mg = GI discomfort, thyroid concern (goitrogenic).</t>
        </is>
      </c>
      <c r="I51" s="331" t="inlineStr">
        <is>
          <t>No deficiency. &lt;5mg = no Nrf2 activation.</t>
        </is>
      </c>
      <c r="J51" s="331" t="inlineStr">
        <is>
          <t>~1mg</t>
        </is>
      </c>
    </row>
    <row r="52">
      <c r="A52" s="332" t="inlineStr">
        <is>
          <t>Na (mg) (AO)</t>
        </is>
      </c>
      <c r="B52" s="333" t="n">
        <v>2170.7</v>
      </c>
      <c r="C52" s="333" t="n">
        <v>1500</v>
      </c>
      <c r="D52" s="333" t="n">
        <v>145</v>
      </c>
      <c r="E52" s="334" t="inlineStr">
        <is>
          <t>OVER [NEAR UL]</t>
        </is>
      </c>
      <c r="F52" s="335" t="inlineStr">
        <is>
          <t>AHA &lt;1500mg. UL=2300mg. Currently 2622 from egg white powder.</t>
        </is>
      </c>
      <c r="G52" s="335" t="inlineStr">
        <is>
          <t>&lt;1500mg (cardiac patients)</t>
        </is>
      </c>
      <c r="H52" s="335" t="inlineStr">
        <is>
          <t>&gt;3400mg chronic = hypertension, stroke risk</t>
        </is>
      </c>
      <c r="I52" s="335" t="inlineStr">
        <is>
          <t>&lt;500mg = hyponatremia, dizziness (rare from diet)</t>
        </is>
      </c>
      <c r="J52" s="335" t="inlineStr">
        <is>
          <t>~3400mg</t>
        </is>
      </c>
    </row>
    <row r="53">
      <c r="A53" s="332" t="inlineStr">
        <is>
          <t>Zn (mg) (AR)</t>
        </is>
      </c>
      <c r="B53" s="333" t="n">
        <v>38.7</v>
      </c>
      <c r="C53" s="333" t="n">
        <v>27</v>
      </c>
      <c r="D53" s="333" t="n">
        <v>143</v>
      </c>
      <c r="E53" s="334" t="inlineStr">
        <is>
          <t>OVER [NEAR UL]</t>
        </is>
      </c>
      <c r="F53" s="335" t="inlineStr">
        <is>
          <t>27mg therapeutic. Immune, testosterone, wound healing. UL=40mg.</t>
        </is>
      </c>
      <c r="G53" s="335" t="inlineStr">
        <is>
          <t>30-50mg (short-term immune)</t>
        </is>
      </c>
      <c r="H53" s="335" t="inlineStr">
        <is>
          <t>&gt;40mg chronic = copper depletion, nausea</t>
        </is>
      </c>
      <c r="I53" s="335" t="inlineStr">
        <is>
          <t>&lt;5mg = hair loss, poor immunity, low T</t>
        </is>
      </c>
      <c r="J53" s="335" t="inlineStr">
        <is>
          <t>~11mg</t>
        </is>
      </c>
    </row>
    <row r="54">
      <c r="A54" s="328" t="inlineStr">
        <is>
          <t>HydroT (mg) (BU)</t>
        </is>
      </c>
      <c r="B54" s="329" t="n">
        <v>10</v>
      </c>
      <c r="C54" s="329" t="n">
        <v>7</v>
      </c>
      <c r="D54" s="329" t="n">
        <v>143</v>
      </c>
      <c r="E54" s="330" t="inlineStr">
        <is>
          <t>OVER</t>
        </is>
      </c>
      <c r="F54" s="331" t="inlineStr">
        <is>
          <t>7mg. Hydroxycinnamic acids (ferulic, caffeic, chlorogenic).</t>
        </is>
      </c>
      <c r="G54" s="331" t="inlineStr">
        <is>
          <t>200-500mg (chlorogenic acid supps)</t>
        </is>
      </c>
      <c r="H54" s="331" t="inlineStr">
        <is>
          <t>No known toxicity at food levels.</t>
        </is>
      </c>
      <c r="I54" s="331" t="inlineStr">
        <is>
          <t>No deficiency state.</t>
        </is>
      </c>
      <c r="J54" s="331" t="inlineStr">
        <is>
          <t>~500mg (coffee drinkers)</t>
        </is>
      </c>
    </row>
    <row r="55">
      <c r="A55" s="328" t="inlineStr">
        <is>
          <t>K2 MK-4 (BD)</t>
        </is>
      </c>
      <c r="B55" s="329" t="n">
        <v>706.2</v>
      </c>
      <c r="C55" s="329" t="n">
        <v>500</v>
      </c>
      <c r="D55" s="329" t="n">
        <v>141</v>
      </c>
      <c r="E55" s="330" t="inlineStr">
        <is>
          <t>OVER</t>
        </is>
      </c>
      <c r="F55" s="331" t="inlineStr">
        <is>
          <t>No RDA. MK-4 activates osteocalcin/MGP for bones + arteries.</t>
        </is>
      </c>
      <c r="G55" s="331" t="inlineStr">
        <is>
          <t>1000-5000mcg (Japan osteoporosis: 45,000mcg!)</t>
        </is>
      </c>
      <c r="H55" s="331" t="inlineStr">
        <is>
          <t>No known toxicity at any studied dose</t>
        </is>
      </c>
      <c r="I55" s="331" t="inlineStr">
        <is>
          <t>No established deficiency threshold</t>
        </is>
      </c>
      <c r="J55" s="331" t="inlineStr">
        <is>
          <t>~10mcg</t>
        </is>
      </c>
    </row>
    <row r="56">
      <c r="A56" s="328" t="inlineStr">
        <is>
          <t>Ω-6 (g) (AB)</t>
        </is>
      </c>
      <c r="B56" s="329" t="n">
        <v>9.6</v>
      </c>
      <c r="C56" s="329" t="n">
        <v>7</v>
      </c>
      <c r="D56" s="329" t="n">
        <v>137</v>
      </c>
      <c r="E56" s="330" t="inlineStr">
        <is>
          <t>OVER</t>
        </is>
      </c>
      <c r="F56" s="331" t="inlineStr"/>
      <c r="G56" s="331" t="inlineStr"/>
      <c r="H56" s="331" t="inlineStr"/>
      <c r="I56" s="331" t="inlineStr"/>
      <c r="J56" s="331" t="inlineStr"/>
    </row>
    <row r="57">
      <c r="A57" s="328" t="inlineStr">
        <is>
          <t>Sat (g) (X)</t>
        </is>
      </c>
      <c r="B57" s="329" t="n">
        <v>29</v>
      </c>
      <c r="C57" s="329" t="n">
        <v>22</v>
      </c>
      <c r="D57" s="329" t="n">
        <v>132</v>
      </c>
      <c r="E57" s="330" t="inlineStr">
        <is>
          <t>OVER</t>
        </is>
      </c>
      <c r="F57" s="331" t="inlineStr">
        <is>
          <t>&lt;10% calories (AHA). 22g = 7.3% of 3000 kcal.</t>
        </is>
      </c>
      <c r="G57" s="331" t="inlineStr">
        <is>
          <t>&lt;7% kcal (strict cardiac)</t>
        </is>
      </c>
      <c r="H57" s="331" t="inlineStr">
        <is>
          <t>&gt;13% kcal = LDL elevation, CVD risk</t>
        </is>
      </c>
      <c r="I57" s="331" t="inlineStr">
        <is>
          <t>Not essential (body makes it)</t>
        </is>
      </c>
      <c r="J57" s="331" t="inlineStr">
        <is>
          <t>~26g</t>
        </is>
      </c>
    </row>
    <row r="58">
      <c r="A58" s="328" t="inlineStr">
        <is>
          <t>Ca (mg) (AK)</t>
        </is>
      </c>
      <c r="B58" s="329" t="n">
        <v>1258.6</v>
      </c>
      <c r="C58" s="329" t="n">
        <v>1000</v>
      </c>
      <c r="D58" s="329" t="n">
        <v>126</v>
      </c>
      <c r="E58" s="330" t="inlineStr">
        <is>
          <t>OVER</t>
        </is>
      </c>
      <c r="F58" s="331" t="inlineStr">
        <is>
          <t>RDA 1000mg. Bone density, muscle contraction.</t>
        </is>
      </c>
      <c r="G58" s="331" t="inlineStr">
        <is>
          <t>1200-1500mg (osteoporosis)</t>
        </is>
      </c>
      <c r="H58" s="331" t="inlineStr">
        <is>
          <t>&gt;2500mg = kidney stones, cardiac calcification</t>
        </is>
      </c>
      <c r="I58" s="331" t="inlineStr">
        <is>
          <t>&lt;400mg = osteoporosis risk</t>
        </is>
      </c>
      <c r="J58" s="331" t="inlineStr">
        <is>
          <t>~1000mg</t>
        </is>
      </c>
    </row>
    <row r="59">
      <c r="A59" s="328" t="inlineStr">
        <is>
          <t>Nitrate (mg) (CD)</t>
        </is>
      </c>
      <c r="B59" s="329" t="n">
        <v>488.5</v>
      </c>
      <c r="C59" s="329" t="n">
        <v>400</v>
      </c>
      <c r="D59" s="329" t="n">
        <v>122</v>
      </c>
      <c r="E59" s="330" t="inlineStr">
        <is>
          <t>OVER</t>
        </is>
      </c>
      <c r="F59" s="331" t="inlineStr">
        <is>
          <t>400mg. Dietary nitrate -&gt; NO: blood flow, exercise performance.</t>
        </is>
      </c>
      <c r="G59" s="331" t="inlineStr">
        <is>
          <t>400-800mg (beetroot shot studies)</t>
        </is>
      </c>
      <c r="H59" s="331" t="inlineStr">
        <is>
          <t>&gt;1500mg = methemoglobinemia risk (theoretical; not seen from food).</t>
        </is>
      </c>
      <c r="I59" s="331" t="inlineStr">
        <is>
          <t>No deficiency. &lt;100mg = no NO boost.</t>
        </is>
      </c>
      <c r="J59" s="331" t="inlineStr">
        <is>
          <t>~80mg</t>
        </is>
      </c>
    </row>
    <row r="61">
      <c r="A61" s="323" t="inlineStr">
        <is>
          <t>WAY OVER - &gt;200% (19)</t>
        </is>
      </c>
    </row>
    <row r="62">
      <c r="A62" s="328" t="inlineStr">
        <is>
          <t>B1 (mg) (BF)</t>
        </is>
      </c>
      <c r="B62" s="329" t="n">
        <v>51.5</v>
      </c>
      <c r="C62" s="329" t="n">
        <v>1.2</v>
      </c>
      <c r="D62" s="329" t="n">
        <v>4289</v>
      </c>
      <c r="E62" s="330" t="inlineStr">
        <is>
          <t>WAY OVER</t>
        </is>
      </c>
      <c r="F62" s="331" t="inlineStr">
        <is>
          <t>RDA 1.2mg. Thorne mega-doses. Water-soluble, excreted.</t>
        </is>
      </c>
      <c r="G62" s="331" t="inlineStr">
        <is>
          <t>50-100mg</t>
        </is>
      </c>
      <c r="H62" s="331" t="inlineStr">
        <is>
          <t>No UL. Excess excreted. Anaphylaxis only via IV at extreme doses.</t>
        </is>
      </c>
      <c r="I62" s="331" t="inlineStr">
        <is>
          <t>&lt;0.5mg = beriberi (heart failure, neuropathy)</t>
        </is>
      </c>
      <c r="J62" s="331" t="inlineStr">
        <is>
          <t>~1.5mg</t>
        </is>
      </c>
    </row>
    <row r="63">
      <c r="A63" s="328" t="inlineStr">
        <is>
          <t>Biotin (mcg) (BL)</t>
        </is>
      </c>
      <c r="B63" s="329" t="n">
        <v>1028.5</v>
      </c>
      <c r="C63" s="329" t="n">
        <v>30</v>
      </c>
      <c r="D63" s="329" t="n">
        <v>3428</v>
      </c>
      <c r="E63" s="330" t="inlineStr">
        <is>
          <t>WAY OVER</t>
        </is>
      </c>
      <c r="F63" s="331" t="inlineStr">
        <is>
          <t>AI=30mcg. Thorne mega-doses. Hair/nail/skin cofactor.</t>
        </is>
      </c>
      <c r="G63" s="331" t="inlineStr">
        <is>
          <t>2500-10000mcg (hair/nail)</t>
        </is>
      </c>
      <c r="H63" s="331" t="inlineStr">
        <is>
          <t>No UL. But &gt;1000mcg can falsify lab tests (troponin, TSH, etc).</t>
        </is>
      </c>
      <c r="I63" s="331" t="inlineStr">
        <is>
          <t>&lt;10mcg = hair loss, dermatitis (rare from diet)</t>
        </is>
      </c>
      <c r="J63" s="331" t="inlineStr">
        <is>
          <t>~35mcg</t>
        </is>
      </c>
    </row>
    <row r="64">
      <c r="A64" s="328" t="inlineStr">
        <is>
          <t>B6 (mg) (BI)</t>
        </is>
      </c>
      <c r="B64" s="329" t="n">
        <v>21.5</v>
      </c>
      <c r="C64" s="329" t="n">
        <v>1.3</v>
      </c>
      <c r="D64" s="329" t="n">
        <v>1654</v>
      </c>
      <c r="E64" s="330" t="inlineStr">
        <is>
          <t>WAY OVER</t>
        </is>
      </c>
      <c r="F64" s="331" t="inlineStr">
        <is>
          <t>RDA 1.3mg. UL=100mg. Currently 22mg.</t>
        </is>
      </c>
      <c r="G64" s="331" t="inlineStr">
        <is>
          <t>25-50mg</t>
        </is>
      </c>
      <c r="H64" s="331" t="inlineStr">
        <is>
          <t>&gt;100mg chronic = peripheral neuropathy (numbness, tingling)</t>
        </is>
      </c>
      <c r="I64" s="331" t="inlineStr">
        <is>
          <t>&lt;0.5mg = anemia, confusion, dermatitis</t>
        </is>
      </c>
      <c r="J64" s="331" t="inlineStr">
        <is>
          <t>~2mg</t>
        </is>
      </c>
    </row>
    <row r="65">
      <c r="A65" s="328" t="inlineStr">
        <is>
          <t>ProAC (mg) (BT)</t>
        </is>
      </c>
      <c r="B65" s="329" t="n">
        <v>1244.7</v>
      </c>
      <c r="C65" s="329" t="n">
        <v>100</v>
      </c>
      <c r="D65" s="329" t="n">
        <v>1245</v>
      </c>
      <c r="E65" s="330" t="inlineStr">
        <is>
          <t>WAY OVER</t>
        </is>
      </c>
      <c r="F65" s="331" t="inlineStr">
        <is>
          <t>100mg. Proanthocyanidins: vascular, antioxidant.</t>
        </is>
      </c>
      <c r="G65" s="331" t="inlineStr">
        <is>
          <t>200-500mg</t>
        </is>
      </c>
      <c r="H65" s="331" t="inlineStr">
        <is>
          <t>No known toxicity.</t>
        </is>
      </c>
      <c r="I65" s="331" t="inlineStr">
        <is>
          <t>No deficiency. Beneficial effects start ~50mg.</t>
        </is>
      </c>
      <c r="J65" s="331" t="inlineStr">
        <is>
          <t>~90mg</t>
        </is>
      </c>
    </row>
    <row r="66">
      <c r="A66" s="328" t="inlineStr">
        <is>
          <t>B2 (mg) (BG)</t>
        </is>
      </c>
      <c r="B66" s="329" t="n">
        <v>16</v>
      </c>
      <c r="C66" s="329" t="n">
        <v>1.3</v>
      </c>
      <c r="D66" s="329" t="n">
        <v>1230</v>
      </c>
      <c r="E66" s="330" t="inlineStr">
        <is>
          <t>WAY OVER</t>
        </is>
      </c>
      <c r="F66" s="331" t="inlineStr">
        <is>
          <t>RDA 1.3mg. FAD/FMN cofactor. Water-soluble.</t>
        </is>
      </c>
      <c r="G66" s="331" t="inlineStr">
        <is>
          <t>25-100mg</t>
        </is>
      </c>
      <c r="H66" s="331" t="inlineStr">
        <is>
          <t>No UL. Excess excreted (turns urine yellow).</t>
        </is>
      </c>
      <c r="I66" s="331" t="inlineStr">
        <is>
          <t>&lt;0.5mg = ariboflavinosis (cracked lips, sore throat)</t>
        </is>
      </c>
      <c r="J66" s="331" t="inlineStr">
        <is>
          <t>~2mg</t>
        </is>
      </c>
    </row>
    <row r="67">
      <c r="A67" s="328" t="inlineStr">
        <is>
          <t>Zeax (mcg) (BY)</t>
        </is>
      </c>
      <c r="B67" s="329" t="n">
        <v>35132</v>
      </c>
      <c r="C67" s="329" t="n">
        <v>3000</v>
      </c>
      <c r="D67" s="329" t="n">
        <v>1171</v>
      </c>
      <c r="E67" s="330" t="inlineStr">
        <is>
          <t>WAY OVER</t>
        </is>
      </c>
      <c r="F67" s="331" t="inlineStr">
        <is>
          <t>3000mcg. Macular co-pigment with lutein.</t>
        </is>
      </c>
      <c r="G67" s="331" t="inlineStr">
        <is>
          <t>2000-4000mcg (AREDS2)</t>
        </is>
      </c>
      <c r="H67" s="331" t="inlineStr">
        <is>
          <t>No known toxicity.</t>
        </is>
      </c>
      <c r="I67" s="331" t="inlineStr">
        <is>
          <t>No deficiency. Co-functions with lutein.</t>
        </is>
      </c>
      <c r="J67" s="331" t="inlineStr">
        <is>
          <t>~300mcg</t>
        </is>
      </c>
    </row>
    <row r="68">
      <c r="A68" s="328" t="inlineStr">
        <is>
          <t>Cr (mcg) (AV)</t>
        </is>
      </c>
      <c r="B68" s="329" t="n">
        <v>400</v>
      </c>
      <c r="C68" s="329" t="n">
        <v>35</v>
      </c>
      <c r="D68" s="329" t="n">
        <v>1143</v>
      </c>
      <c r="E68" s="330" t="inlineStr">
        <is>
          <t>WAY OVER</t>
        </is>
      </c>
      <c r="F68" s="331" t="inlineStr">
        <is>
          <t>AI=35mcg. Thorne 400mcg. Insulin sensitizer.</t>
        </is>
      </c>
      <c r="G68" s="331" t="inlineStr">
        <is>
          <t>200-1000mcg</t>
        </is>
      </c>
      <c r="H68" s="331" t="inlineStr">
        <is>
          <t>No UL set. &gt;1000mcg = kidney concern (case reports)</t>
        </is>
      </c>
      <c r="I68" s="331" t="inlineStr">
        <is>
          <t>&lt;15mcg = impaired glucose tolerance (debated)</t>
        </is>
      </c>
      <c r="J68" s="331" t="inlineStr">
        <is>
          <t>~30mcg</t>
        </is>
      </c>
    </row>
    <row r="69">
      <c r="A69" s="328" t="inlineStr">
        <is>
          <t>Panto (mg) (BM)</t>
        </is>
      </c>
      <c r="B69" s="329" t="n">
        <v>53.1</v>
      </c>
      <c r="C69" s="329" t="n">
        <v>5</v>
      </c>
      <c r="D69" s="329" t="n">
        <v>1061</v>
      </c>
      <c r="E69" s="330" t="inlineStr">
        <is>
          <t>WAY OVER</t>
        </is>
      </c>
      <c r="F69" s="331" t="inlineStr">
        <is>
          <t>AI=5mg. Thorne 45mg. CoA synthesis.</t>
        </is>
      </c>
      <c r="G69" s="331" t="inlineStr">
        <is>
          <t>500-1000mg (acne: 10,000mg, controversial)</t>
        </is>
      </c>
      <c r="H69" s="331" t="inlineStr">
        <is>
          <t>&gt;10,000mg = diarrhea. Otherwise no UL.</t>
        </is>
      </c>
      <c r="I69" s="331" t="inlineStr">
        <is>
          <t>&lt;2mg = burning feet syndrome (rare)</t>
        </is>
      </c>
      <c r="J69" s="331" t="inlineStr">
        <is>
          <t>~5mg</t>
        </is>
      </c>
    </row>
    <row r="70">
      <c r="A70" s="328" t="inlineStr">
        <is>
          <t>Prebio Fiber (CH)</t>
        </is>
      </c>
      <c r="B70" s="329" t="n">
        <v>34.8</v>
      </c>
      <c r="C70" s="329" t="n">
        <v>5</v>
      </c>
      <c r="D70" s="329" t="n">
        <v>696</v>
      </c>
      <c r="E70" s="330" t="inlineStr">
        <is>
          <t>WAY OVER</t>
        </is>
      </c>
      <c r="F70" s="331" t="inlineStr">
        <is>
          <t>5g target. Feeds Bifidobacterium, Akkermansia.</t>
        </is>
      </c>
      <c r="G70" s="331" t="inlineStr">
        <is>
          <t>10-20g</t>
        </is>
      </c>
      <c r="H70" s="331" t="inlineStr">
        <is>
          <t>&gt;30g sudden = severe gas/bloating (ramp up slowly).</t>
        </is>
      </c>
      <c r="I70" s="331" t="inlineStr">
        <is>
          <t>&lt;2g = minimal prebiotic effect.</t>
        </is>
      </c>
      <c r="J70" s="331" t="inlineStr">
        <is>
          <t>~3g</t>
        </is>
      </c>
    </row>
    <row r="71">
      <c r="A71" s="328" t="inlineStr">
        <is>
          <t>Leucine (g) (CF)</t>
        </is>
      </c>
      <c r="B71" s="329" t="n">
        <v>14.2</v>
      </c>
      <c r="C71" s="329" t="n">
        <v>3</v>
      </c>
      <c r="D71" s="329" t="n">
        <v>473</v>
      </c>
      <c r="E71" s="330" t="inlineStr">
        <is>
          <t>WAY OVER</t>
        </is>
      </c>
      <c r="F71" s="331" t="inlineStr">
        <is>
          <t>3g trigger for MPS. Getting 15.9g = harmless excess.</t>
        </is>
      </c>
      <c r="G71" s="331" t="inlineStr">
        <is>
          <t>5-10g (MPS optimization)</t>
        </is>
      </c>
      <c r="H71" s="331" t="inlineStr">
        <is>
          <t>No UL. Excess oxidized for energy.</t>
        </is>
      </c>
      <c r="I71" s="331" t="inlineStr">
        <is>
          <t>&lt;2g per meal = no MPS trigger.</t>
        </is>
      </c>
      <c r="J71" s="331" t="inlineStr">
        <is>
          <t>~6g</t>
        </is>
      </c>
    </row>
    <row r="72">
      <c r="A72" s="332" t="inlineStr">
        <is>
          <t>B3 (mg) (BH)</t>
        </is>
      </c>
      <c r="B72" s="333" t="n">
        <v>69</v>
      </c>
      <c r="C72" s="333" t="n">
        <v>16</v>
      </c>
      <c r="D72" s="333" t="n">
        <v>431</v>
      </c>
      <c r="E72" s="334" t="inlineStr">
        <is>
          <t>WAY OVER [EXCEEDS UL]</t>
        </is>
      </c>
      <c r="F72" s="335" t="inlineStr">
        <is>
          <t>RDA 16mg. Thorne 60mg niacinamide (no flush). UL for nicotinic acid.</t>
        </is>
      </c>
      <c r="G72" s="335" t="inlineStr">
        <is>
          <t>500-2000mg niacinamide (acne/skin)</t>
        </is>
      </c>
      <c r="H72" s="335" t="inlineStr">
        <is>
          <t>&gt;35mg nicotinic acid = flushing. &gt;3000mg niacinamide = liver damage.</t>
        </is>
      </c>
      <c r="I72" s="335" t="inlineStr">
        <is>
          <t>&lt;5mg = pellagra (dermatitis, diarrhea, dementia)</t>
        </is>
      </c>
      <c r="J72" s="335" t="inlineStr">
        <is>
          <t>~25mg</t>
        </is>
      </c>
    </row>
    <row r="73">
      <c r="A73" s="332" t="inlineStr">
        <is>
          <t>Mn (mg) (AU)</t>
        </is>
      </c>
      <c r="B73" s="333" t="n">
        <v>9.699999999999999</v>
      </c>
      <c r="C73" s="333" t="n">
        <v>2.3</v>
      </c>
      <c r="D73" s="333" t="n">
        <v>421</v>
      </c>
      <c r="E73" s="334" t="inlineStr">
        <is>
          <t>WAY OVER [NEAR UL]</t>
        </is>
      </c>
      <c r="F73" s="335" t="inlineStr">
        <is>
          <t>AI=2.3mg. 12.4mg from food. UL=11mg but dietary Mn 1-5% absorbed.</t>
        </is>
      </c>
      <c r="G73" s="335" t="inlineStr">
        <is>
          <t>5-10mg</t>
        </is>
      </c>
      <c r="H73" s="335" t="inlineStr">
        <is>
          <t>&gt;11mg supp = neurotoxicity risk (manganism). Dietary much safer.</t>
        </is>
      </c>
      <c r="I73" s="335" t="inlineStr">
        <is>
          <t>&lt;1mg = poor bone/cartilage formation</t>
        </is>
      </c>
      <c r="J73" s="335" t="inlineStr">
        <is>
          <t>~3mg</t>
        </is>
      </c>
    </row>
    <row r="74">
      <c r="A74" s="332" t="inlineStr">
        <is>
          <t>Folate (mcg) (BJ)</t>
        </is>
      </c>
      <c r="B74" s="333" t="n">
        <v>1949.3</v>
      </c>
      <c r="C74" s="333" t="n">
        <v>600</v>
      </c>
      <c r="D74" s="333" t="n">
        <v>325</v>
      </c>
      <c r="E74" s="334" t="inlineStr">
        <is>
          <t>WAY OVER [EXCEEDS UL]</t>
        </is>
      </c>
      <c r="F74" s="335" t="inlineStr">
        <is>
          <t>600mcg. Methylation, DNA synthesis. Thorne = methylfolate (not folic acid).</t>
        </is>
      </c>
      <c r="G74" s="335" t="inlineStr">
        <is>
          <t>800-1200mcg methylfolate</t>
        </is>
      </c>
      <c r="H74" s="335" t="inlineStr">
        <is>
          <t>&gt;1000mcg folic acid (UL) = masks B12 deficiency. Methylfolate exempt.</t>
        </is>
      </c>
      <c r="I74" s="335" t="inlineStr">
        <is>
          <t>&lt;100mcg = megaloblastic anemia, neural tube defects</t>
        </is>
      </c>
      <c r="J74" s="335" t="inlineStr">
        <is>
          <t>~400mcg</t>
        </is>
      </c>
    </row>
    <row r="75">
      <c r="A75" s="328" t="inlineStr">
        <is>
          <t>Cu (mcg) (AT)</t>
        </is>
      </c>
      <c r="B75" s="329" t="n">
        <v>4208</v>
      </c>
      <c r="C75" s="329" t="n">
        <v>1500</v>
      </c>
      <c r="D75" s="329" t="n">
        <v>281</v>
      </c>
      <c r="E75" s="330" t="inlineStr">
        <is>
          <t>WAY OVER</t>
        </is>
      </c>
      <c r="F75" s="331" t="inlineStr">
        <is>
          <t>1500mcg therapeutic. Ceruloplasmin, SOD, iron metabolism.</t>
        </is>
      </c>
      <c r="G75" s="331" t="inlineStr">
        <is>
          <t>2000-3000mcg</t>
        </is>
      </c>
      <c r="H75" s="331" t="inlineStr">
        <is>
          <t>&gt;10,000mcg (UL) = liver damage, nausea</t>
        </is>
      </c>
      <c r="I75" s="331" t="inlineStr">
        <is>
          <t>&lt;300mcg = anemia, neutropenia, bone issues</t>
        </is>
      </c>
      <c r="J75" s="331" t="inlineStr">
        <is>
          <t>~1200mcg</t>
        </is>
      </c>
    </row>
    <row r="76">
      <c r="A76" s="328" t="inlineStr">
        <is>
          <t>Fe (mg) (AQ)</t>
        </is>
      </c>
      <c r="B76" s="329" t="n">
        <v>31.2</v>
      </c>
      <c r="C76" s="329" t="n">
        <v>12.5</v>
      </c>
      <c r="D76" s="329" t="n">
        <v>249</v>
      </c>
      <c r="E76" s="330" t="inlineStr">
        <is>
          <t>WAY OVER</t>
        </is>
      </c>
      <c r="F76" s="331" t="inlineStr">
        <is>
          <t>Thorne 12.5mg avg + food. Monitor ferritin.</t>
        </is>
      </c>
      <c r="G76" s="331" t="inlineStr">
        <is>
          <t>18-27mg (women/athletes)</t>
        </is>
      </c>
      <c r="H76" s="331" t="inlineStr">
        <is>
          <t>&gt;45mg (UL) = GI pain, organ damage chronic</t>
        </is>
      </c>
      <c r="I76" s="331" t="inlineStr">
        <is>
          <t>&lt;5mg = iron-deficiency anemia</t>
        </is>
      </c>
      <c r="J76" s="331" t="inlineStr">
        <is>
          <t>~15mg</t>
        </is>
      </c>
    </row>
    <row r="77">
      <c r="A77" s="332" t="inlineStr">
        <is>
          <t>Vit A (mcg) (AY)</t>
        </is>
      </c>
      <c r="B77" s="333" t="n">
        <v>2604</v>
      </c>
      <c r="C77" s="333" t="n">
        <v>1200</v>
      </c>
      <c r="D77" s="333" t="n">
        <v>217</v>
      </c>
      <c r="E77" s="334" t="inlineStr">
        <is>
          <t>WAY OVER [NEAR UL]</t>
        </is>
      </c>
      <c r="F77" s="335" t="inlineStr">
        <is>
          <t>RDA 900, target 1200mcg. Immune, vision, gene expression.</t>
        </is>
      </c>
      <c r="G77" s="335" t="inlineStr">
        <is>
          <t>1500-3000mcg</t>
        </is>
      </c>
      <c r="H77" s="335" t="inlineStr">
        <is>
          <t>&gt;3000mcg (UL) preformed = liver damage, birth defects. Beta-carotene safe.</t>
        </is>
      </c>
      <c r="I77" s="335" t="inlineStr">
        <is>
          <t>&lt;300mcg = night blindness, xerophthalmia</t>
        </is>
      </c>
      <c r="J77" s="335" t="inlineStr">
        <is>
          <t>~600mcg</t>
        </is>
      </c>
    </row>
    <row r="78">
      <c r="A78" s="328" t="inlineStr">
        <is>
          <t>Mo (mcg) (AP)</t>
        </is>
      </c>
      <c r="B78" s="329" t="n">
        <v>93.8</v>
      </c>
      <c r="C78" s="329" t="n">
        <v>45</v>
      </c>
      <c r="D78" s="329" t="n">
        <v>209</v>
      </c>
      <c r="E78" s="330" t="inlineStr">
        <is>
          <t>WAY OVER</t>
        </is>
      </c>
      <c r="F78" s="331" t="inlineStr">
        <is>
          <t>RDA 45mcg. Enzyme cofactor (sulfite oxidase, xanthine oxidase).</t>
        </is>
      </c>
      <c r="G78" s="331" t="inlineStr">
        <is>
          <t>75-250mcg</t>
        </is>
      </c>
      <c r="H78" s="331" t="inlineStr">
        <is>
          <t>&gt;2000mg (UL) = gout-like symptoms</t>
        </is>
      </c>
      <c r="I78" s="331" t="inlineStr">
        <is>
          <t>&lt;25mcg = sulfite sensitivity (rare)</t>
        </is>
      </c>
      <c r="J78" s="331" t="inlineStr">
        <is>
          <t>~120mcg</t>
        </is>
      </c>
    </row>
    <row r="79">
      <c r="A79" s="328" t="inlineStr">
        <is>
          <t>Iodine (mcg) (AW)</t>
        </is>
      </c>
      <c r="B79" s="329" t="n">
        <v>384.7</v>
      </c>
      <c r="C79" s="329" t="n">
        <v>188</v>
      </c>
      <c r="D79" s="329" t="n">
        <v>205</v>
      </c>
      <c r="E79" s="330" t="inlineStr">
        <is>
          <t>WAY OVER</t>
        </is>
      </c>
      <c r="F79" s="331" t="inlineStr">
        <is>
          <t>188mcg. Thyroid hormone synthesis. UL=1100mcg.</t>
        </is>
      </c>
      <c r="G79" s="331" t="inlineStr">
        <is>
          <t>200-500mcg</t>
        </is>
      </c>
      <c r="H79" s="331" t="inlineStr">
        <is>
          <t>&gt;1100mcg chronic = thyroid dysfunction, goiter</t>
        </is>
      </c>
      <c r="I79" s="331" t="inlineStr">
        <is>
          <t>&lt;50mcg = goiter, hypothyroidism, cretinism</t>
        </is>
      </c>
      <c r="J79" s="331" t="inlineStr">
        <is>
          <t>~170mcg</t>
        </is>
      </c>
    </row>
    <row r="80">
      <c r="A80" s="328" t="inlineStr">
        <is>
          <t>K (mg) (AM)</t>
        </is>
      </c>
      <c r="B80" s="329" t="n">
        <v>5297</v>
      </c>
      <c r="C80" s="329" t="n">
        <v>2600</v>
      </c>
      <c r="D80" s="329" t="n">
        <v>204</v>
      </c>
      <c r="E80" s="330" t="inlineStr">
        <is>
          <t>WAY OVER</t>
        </is>
      </c>
      <c r="F80" s="331" t="inlineStr">
        <is>
          <t>AI=2600mg. Counterbalances sodium for blood pressure.</t>
        </is>
      </c>
      <c r="G80" s="331" t="inlineStr">
        <is>
          <t>3500-4700mg</t>
        </is>
      </c>
      <c r="H80" s="331" t="inlineStr">
        <is>
          <t>&gt;6000mg acute (suppl) = hyperkalemia</t>
        </is>
      </c>
      <c r="I80" s="331" t="inlineStr">
        <is>
          <t>&lt;1500mg = hypertension, fatigue</t>
        </is>
      </c>
      <c r="J80" s="331" t="inlineStr">
        <is>
          <t>~2500mg</t>
        </is>
      </c>
    </row>
    <row r="83">
      <c r="A83" s="336" t="inlineStr">
        <is>
          <t>SCORECARD</t>
        </is>
      </c>
    </row>
    <row r="84">
      <c r="A84" s="337" t="inlineStr">
        <is>
          <t>On Target (80-120%)</t>
        </is>
      </c>
      <c r="B84" s="338" t="n">
        <v>33</v>
      </c>
    </row>
    <row r="85">
      <c r="A85" s="337" t="inlineStr">
        <is>
          <t>Gaps (&lt;80%)</t>
        </is>
      </c>
      <c r="B85" s="339" t="n">
        <v>1</v>
      </c>
    </row>
    <row r="86">
      <c r="A86" s="337" t="inlineStr">
        <is>
          <t>Over (120-200%)</t>
        </is>
      </c>
      <c r="B86" s="340" t="n">
        <v>19</v>
      </c>
    </row>
    <row r="87">
      <c r="A87" s="337" t="inlineStr">
        <is>
          <t>Way Over (&gt;200%)</t>
        </is>
      </c>
      <c r="B87" s="340" t="n">
        <v>19</v>
      </c>
    </row>
    <row r="88">
      <c r="A88" s="337" t="inlineStr">
        <is>
          <t>Hit Rate</t>
        </is>
      </c>
      <c r="B88" s="336" t="inlineStr">
        <is>
          <t>46%</t>
        </is>
      </c>
    </row>
  </sheetData>
  <mergeCells count="4">
    <mergeCell ref="A40:J40"/>
    <mergeCell ref="A5:J5"/>
    <mergeCell ref="A61:J61"/>
    <mergeCell ref="A2:J2"/>
  </mergeCell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B1:B83"/>
  <sheetViews>
    <sheetView workbookViewId="0">
      <selection activeCell="A1" sqref="A1"/>
    </sheetView>
  </sheetViews>
  <sheetFormatPr baseColWidth="8" defaultRowHeight="15"/>
  <cols>
    <col width="5" customWidth="1" style="160" min="1" max="1"/>
    <col width="80" customWidth="1" style="160" min="2" max="2"/>
  </cols>
  <sheetData>
    <row r="1">
      <c r="B1" s="367" t="inlineStr">
        <is>
          <t>SHAKE PREPARATION GUIDE</t>
        </is>
      </c>
    </row>
    <row r="3">
      <c r="B3" s="368" t="inlineStr">
        <is>
          <t>EQUIPMENT NEEDED</t>
        </is>
      </c>
    </row>
    <row r="4">
      <c r="B4" s="369" t="inlineStr">
        <is>
          <t>- High-speed blender (Vitamix A3500/Pro 750 or equivalent with 64oz container)</t>
        </is>
      </c>
    </row>
    <row r="5">
      <c r="B5" s="369" t="inlineStr">
        <is>
          <t>- Kitchen scale (grams)</t>
        </is>
      </c>
    </row>
    <row r="6">
      <c r="B6" s="369" t="inlineStr">
        <is>
          <t>- 14 titanium containers (7 large for produce, 7 small for powder)</t>
        </is>
      </c>
    </row>
    <row r="7">
      <c r="B7" s="369" t="inlineStr">
        <is>
          <t>- Large thermos or drinking container (2L+)</t>
        </is>
      </c>
    </row>
    <row r="8">
      <c r="B8" s="369" t="inlineStr">
        <is>
          <t>- Microwave-safe bowl</t>
        </is>
      </c>
    </row>
    <row r="9">
      <c r="B9" s="369" t="inlineStr">
        <is>
          <t>- Small glass for broccoli sprout shot</t>
        </is>
      </c>
    </row>
    <row r="11">
      <c r="B11" s="368" t="inlineStr">
        <is>
          <t>WEEKLY PREP (30 min Sunday)</t>
        </is>
      </c>
    </row>
    <row r="12">
      <c r="B12" s="369" t="inlineStr">
        <is>
          <t>1. Cook beets: Peel, cube, microwave 4-5 min with water (covered). Or roast whole in foil at 400F for 60 min. Store cooked cubes in fridge.</t>
        </is>
      </c>
    </row>
    <row r="13">
      <c r="B13" s="369" t="inlineStr">
        <is>
          <t>2. Freeze avocados: Cube 5-6 ripe avocados, spread on sheet, freeze, bag into 120g portions.</t>
        </is>
      </c>
    </row>
    <row r="14">
      <c r="B14" s="369" t="inlineStr">
        <is>
          <t>3. Freeze watermelon: Cube whole melon, bag in 220g portions, freeze.</t>
        </is>
      </c>
    </row>
    <row r="15">
      <c r="B15" s="369" t="inlineStr">
        <is>
          <t>4. Make 7 frozen produce containers: 220g berries + 220g watermelon + 120g avocado + 60g kale + 50g spinach each.</t>
        </is>
      </c>
    </row>
    <row r="16">
      <c r="B16" s="369" t="inlineStr">
        <is>
          <t>5. Make 7 powder containers: See powder list below.</t>
        </is>
      </c>
    </row>
    <row r="18">
      <c r="B18" s="368" t="inlineStr">
        <is>
          <t>DAILY BLENDING — TWO-BLEND PROCESS</t>
        </is>
      </c>
    </row>
    <row r="20">
      <c r="B20" s="369" t="inlineStr">
        <is>
          <t>STEP 1 — MELT CACAO + DISSOLVE CREATINE (microwave)</t>
        </is>
      </c>
    </row>
    <row r="21">
      <c r="B21" s="369" t="inlineStr">
        <is>
          <t xml:space="preserve">  480ml whole milk</t>
        </is>
      </c>
    </row>
    <row r="22">
      <c r="B22" s="369" t="inlineStr">
        <is>
          <t xml:space="preserve">  50g cacao powder/paste (chop if paste)</t>
        </is>
      </c>
    </row>
    <row r="23">
      <c r="B23" s="369" t="inlineStr">
        <is>
          <t xml:space="preserve">  10g creatine</t>
        </is>
      </c>
    </row>
    <row r="24">
      <c r="B24" s="369" t="inlineStr">
        <is>
          <t xml:space="preserve">  Microwave 60-90 sec, stir until dissolved. Keep under 70C.</t>
        </is>
      </c>
    </row>
    <row r="25">
      <c r="B25" s="369" t="inlineStr">
        <is>
          <t xml:space="preserve">  Cool 2-3 min.</t>
        </is>
      </c>
    </row>
    <row r="27">
      <c r="B27" s="369" t="inlineStr">
        <is>
          <t>STEP 2 — FIRST BLEND (hard items + liquids)</t>
        </is>
      </c>
    </row>
    <row r="28">
      <c r="B28" s="369" t="inlineStr">
        <is>
          <t xml:space="preserve">  Milk + cacao + creatine mixture from step 1</t>
        </is>
      </c>
    </row>
    <row r="29">
      <c r="B29" s="369" t="inlineStr">
        <is>
          <t xml:space="preserve">  50g macadamia halves</t>
        </is>
      </c>
    </row>
    <row r="30">
      <c r="B30" s="369" t="inlineStr">
        <is>
          <t xml:space="preserve">  1 medjool date (pitted)</t>
        </is>
      </c>
    </row>
    <row r="31">
      <c r="B31" s="369" t="inlineStr">
        <is>
          <t xml:space="preserve">  20g allulose</t>
        </is>
      </c>
    </row>
    <row r="32">
      <c r="B32" s="369" t="inlineStr">
        <is>
          <t xml:space="preserve">  45ml EVOO</t>
        </is>
      </c>
    </row>
    <row r="33">
      <c r="B33" s="369" t="inlineStr">
        <is>
          <t xml:space="preserve">  5ml vanilla extract</t>
        </is>
      </c>
    </row>
    <row r="34">
      <c r="B34" s="369" t="inlineStr">
        <is>
          <t xml:space="preserve">  Blend high speed 60-90 seconds.</t>
        </is>
      </c>
    </row>
    <row r="36">
      <c r="B36" s="369" t="inlineStr">
        <is>
          <t>STEP 3 — POUR INTO THERMOS</t>
        </is>
      </c>
    </row>
    <row r="37">
      <c r="B37" s="369" t="inlineStr">
        <is>
          <t xml:space="preserve">  Pour first blend into thermos. Frees blender for round 2.</t>
        </is>
      </c>
    </row>
    <row r="39">
      <c r="B39" s="369" t="inlineStr">
        <is>
          <t>STEP 4 — SECOND BLEND (frozen produce + powders)</t>
        </is>
      </c>
    </row>
    <row r="40">
      <c r="B40" s="369" t="inlineStr">
        <is>
          <t xml:space="preserve">  Dump frozen produce container (berries, watermelon, avocado, kale, spinach)</t>
        </is>
      </c>
    </row>
    <row r="41">
      <c r="B41" s="369" t="inlineStr">
        <is>
          <t xml:space="preserve">  Dump powder container</t>
        </is>
      </c>
    </row>
    <row r="42">
      <c r="B42" s="369" t="inlineStr">
        <is>
          <t xml:space="preserve">  Add fresh: 5g matcha + 7g psyllium LAST</t>
        </is>
      </c>
    </row>
    <row r="43">
      <c r="B43" s="369" t="inlineStr">
        <is>
          <t xml:space="preserve">  Blend high speed 60-90 seconds.</t>
        </is>
      </c>
    </row>
    <row r="44">
      <c r="B44" s="369" t="inlineStr">
        <is>
          <t xml:space="preserve">  Pour into same thermos. Stir or shake to combine.</t>
        </is>
      </c>
    </row>
    <row r="46">
      <c r="B46" s="369" t="inlineStr">
        <is>
          <t>STEP 5 — SIDE ITEMS (2 minutes while shake settles)</t>
        </is>
      </c>
    </row>
    <row r="47">
      <c r="B47" s="369" t="inlineStr">
        <is>
          <t xml:space="preserve">  Broccoli sprout shot: 5g broccoli sprout + 0.5g mustard seed in small glass of water. Stir, shoot it.</t>
        </is>
      </c>
    </row>
    <row r="48">
      <c r="B48" s="369" t="inlineStr">
        <is>
          <t xml:space="preserve">  Goji berries: eat 15g dry as a snack.</t>
        </is>
      </c>
    </row>
    <row r="49">
      <c r="B49" s="369" t="inlineStr">
        <is>
          <t xml:space="preserve">  Beet: eat 100g cooked beet cubes with pinch of salt.</t>
        </is>
      </c>
    </row>
    <row r="50">
      <c r="B50" s="369" t="inlineStr">
        <is>
          <t xml:space="preserve">  Astaxanthin: swallow 1 softgel with water (do NOT blend).</t>
        </is>
      </c>
    </row>
    <row r="52">
      <c r="B52" s="368" t="inlineStr">
        <is>
          <t>POWDER CONTAINER CONTENTS (per day)</t>
        </is>
      </c>
    </row>
    <row r="53">
      <c r="B53" s="369" t="inlineStr">
        <is>
          <t xml:space="preserve">  105g egg white protein powder</t>
        </is>
      </c>
    </row>
    <row r="54">
      <c r="B54" s="369" t="inlineStr">
        <is>
          <t xml:space="preserve">  30g whey protein isolate</t>
        </is>
      </c>
    </row>
    <row r="55">
      <c r="B55" s="369" t="inlineStr">
        <is>
          <t xml:space="preserve">  50g cacao powder (full-fat, non-defatted)</t>
        </is>
      </c>
    </row>
    <row r="56">
      <c r="B56" s="369" t="inlineStr">
        <is>
          <t xml:space="preserve">  25g red lentil flour</t>
        </is>
      </c>
    </row>
    <row r="57">
      <c r="B57" s="369" t="inlineStr">
        <is>
          <t xml:space="preserve">  20g sunflower lecithin</t>
        </is>
      </c>
    </row>
    <row r="58">
      <c r="B58" s="369" t="inlineStr">
        <is>
          <t xml:space="preserve">  15g collagen peptides</t>
        </is>
      </c>
    </row>
    <row r="59">
      <c r="B59" s="369" t="inlineStr">
        <is>
          <t xml:space="preserve">  10g green banana flour</t>
        </is>
      </c>
    </row>
    <row r="60">
      <c r="B60" s="369" t="inlineStr">
        <is>
          <t xml:space="preserve">  10g creatine</t>
        </is>
      </c>
    </row>
    <row r="61">
      <c r="B61" s="369" t="inlineStr">
        <is>
          <t xml:space="preserve">  5g acacia fiber</t>
        </is>
      </c>
    </row>
    <row r="62">
      <c r="B62" s="369" t="inlineStr">
        <is>
          <t xml:space="preserve">  3g chicory root inulin</t>
        </is>
      </c>
    </row>
    <row r="63">
      <c r="B63" s="369" t="inlineStr">
        <is>
          <t xml:space="preserve">  2g ceylon cinnamon</t>
        </is>
      </c>
    </row>
    <row r="64">
      <c r="B64" s="369" t="inlineStr">
        <is>
          <t xml:space="preserve">  1.5g taurine</t>
        </is>
      </c>
    </row>
    <row r="65">
      <c r="B65" s="369" t="inlineStr">
        <is>
          <t xml:space="preserve">  1g salt</t>
        </is>
      </c>
    </row>
    <row r="66">
      <c r="B66" s="369" t="inlineStr">
        <is>
          <t xml:space="preserve">  1g instant coffee (optional)</t>
        </is>
      </c>
    </row>
    <row r="68">
      <c r="B68" s="368" t="inlineStr">
        <is>
          <t>ADD FRESH EACH MORNING (not pre-mixed)</t>
        </is>
      </c>
    </row>
    <row r="69">
      <c r="B69" s="369" t="inlineStr">
        <is>
          <t xml:space="preserve">  5g matcha — EGCG degrades with air exposure</t>
        </is>
      </c>
    </row>
    <row r="70">
      <c r="B70" s="369" t="inlineStr">
        <is>
          <t xml:space="preserve">  7g psyllium husk — absorbs moisture and clumps</t>
        </is>
      </c>
    </row>
    <row r="72">
      <c r="B72" s="368" t="inlineStr">
        <is>
          <t>YIELD &amp; SERVING</t>
        </is>
      </c>
    </row>
    <row r="73">
      <c r="B73" s="369" t="inlineStr">
        <is>
          <t xml:space="preserve">  Makes ~1.5-2L of thick shake.</t>
        </is>
      </c>
    </row>
    <row r="74">
      <c r="B74" s="369" t="inlineStr">
        <is>
          <t xml:space="preserve">  Sip over 1-3 hours. Do NOT chug.</t>
        </is>
      </c>
    </row>
    <row r="75">
      <c r="B75" s="369" t="inlineStr">
        <is>
          <t xml:space="preserve">  Stir occasionally — psyllium thickens over time.</t>
        </is>
      </c>
    </row>
    <row r="76">
      <c r="B76" s="369" t="inlineStr">
        <is>
          <t xml:space="preserve">  Good for up to 24 hours refrigerated.</t>
        </is>
      </c>
    </row>
    <row r="77">
      <c r="B77" s="369" t="inlineStr">
        <is>
          <t xml:space="preserve">  This is a MEAL. ~2,900 calories, ~130g protein.</t>
        </is>
      </c>
    </row>
    <row r="79">
      <c r="B79" s="368" t="inlineStr">
        <is>
          <t>RULES</t>
        </is>
      </c>
    </row>
    <row r="80">
      <c r="B80" s="369" t="inlineStr">
        <is>
          <t xml:space="preserve">  - Drink 2L+ water beyond the shake daily</t>
        </is>
      </c>
    </row>
    <row r="81">
      <c r="B81" s="369" t="inlineStr">
        <is>
          <t xml:space="preserve">  - Take probiotic (Seed DS-01) daily, especially weeks 1-2</t>
        </is>
      </c>
    </row>
    <row r="82">
      <c r="B82" s="369" t="inlineStr">
        <is>
          <t xml:space="preserve">  - Do not heat above 70C (degrades matcha compounds)</t>
        </is>
      </c>
    </row>
    <row r="83">
      <c r="B83" s="369" t="inlineStr">
        <is>
          <t xml:space="preserve">  - Monitor heart rate if combining high cacao with stimulant medication + matcha</t>
        </is>
      </c>
    </row>
  </sheetData>
  <pageMargins left="0.75" right="0.75" top="1" bottom="1" header="0.5" footer="0.5"/>
</worksheet>
</file>

<file path=xl/worksheets/sheet8.xml><?xml version="1.0" encoding="utf-8"?>
<worksheet xmlns="http://schemas.openxmlformats.org/spreadsheetml/2006/main">
  <sheetPr>
    <tabColor rgb="0000B050"/>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4" customWidth="1" style="160" min="1" max="1"/>
    <col width="55" customWidth="1" style="160" min="2" max="2"/>
    <col width="15" customWidth="1" style="160" min="3" max="3"/>
    <col width="12" customWidth="1" style="160" min="4" max="4"/>
    <col width="12" customWidth="1" style="160" min="5" max="5"/>
    <col width="10" customWidth="1" style="160" min="6" max="6"/>
    <col width="35" customWidth="1" style="160" min="7" max="7"/>
  </cols>
  <sheetData>
    <row r="1">
      <c r="A1" s="370" t="inlineStr">
        <is>
          <t>#</t>
        </is>
      </c>
      <c r="B1" s="370" t="inlineStr">
        <is>
          <t>Product</t>
        </is>
      </c>
      <c r="C1" s="370" t="inlineStr">
        <is>
          <t>Size</t>
        </is>
      </c>
      <c r="D1" s="370" t="inlineStr">
        <is>
          <t>Price</t>
        </is>
      </c>
      <c r="E1" s="370" t="inlineStr">
        <is>
          <t>$/Month</t>
        </is>
      </c>
      <c r="F1" s="370" t="inlineStr">
        <is>
          <t>Days/Pkg</t>
        </is>
      </c>
      <c r="G1" s="370" t="inlineStr">
        <is>
          <t>Where to Buy</t>
        </is>
      </c>
    </row>
    <row r="2">
      <c r="A2" s="371" t="n">
        <v>1</v>
      </c>
      <c r="B2" s="371" t="inlineStr">
        <is>
          <t>Pacha Mana Organic Chuncho Cacao Powder (full-fat)</t>
        </is>
      </c>
      <c r="C2" s="371" t="inlineStr">
        <is>
          <t>8 oz</t>
        </is>
      </c>
      <c r="D2" s="372" t="n">
        <v>35</v>
      </c>
      <c r="E2" s="372" t="n">
        <v>231.28</v>
      </c>
      <c r="F2" s="371" t="n">
        <v>4.5</v>
      </c>
      <c r="G2" s="371" t="inlineStr">
        <is>
          <t>Amazon</t>
        </is>
      </c>
    </row>
    <row r="3">
      <c r="A3" s="371" t="n">
        <v>2</v>
      </c>
      <c r="B3" s="371" t="inlineStr">
        <is>
          <t>Judee's Egg White Protein Powder</t>
        </is>
      </c>
      <c r="C3" s="371" t="inlineStr">
        <is>
          <t>5 lb</t>
        </is>
      </c>
      <c r="D3" s="372" t="n">
        <v>130.99</v>
      </c>
      <c r="E3" s="372" t="n">
        <v>181.93</v>
      </c>
      <c r="F3" s="371" t="n">
        <v>21.6</v>
      </c>
      <c r="G3" s="371" t="inlineStr">
        <is>
          <t>Amazon</t>
        </is>
      </c>
    </row>
    <row r="4">
      <c r="A4" s="371" t="n">
        <v>3</v>
      </c>
      <c r="B4" s="371" t="inlineStr">
        <is>
          <t>PJ KABOS Robust Organic EVOO (699mg/kg HPLC)</t>
        </is>
      </c>
      <c r="C4" s="371" t="inlineStr">
        <is>
          <t>2x500ml</t>
        </is>
      </c>
      <c r="D4" s="372" t="n">
        <v>74.90000000000001</v>
      </c>
      <c r="E4" s="372" t="n">
        <v>101.22</v>
      </c>
      <c r="F4" s="371" t="n">
        <v>22.2</v>
      </c>
      <c r="G4" s="371" t="inlineStr">
        <is>
          <t>pjkabos.com / Amazon</t>
        </is>
      </c>
    </row>
    <row r="5">
      <c r="A5" s="371" t="n">
        <v>4</v>
      </c>
      <c r="B5" s="371" t="inlineStr">
        <is>
          <t>Raw Macadamia Halves &amp; Pieces (unsalted)</t>
        </is>
      </c>
      <c r="C5" s="371" t="inlineStr">
        <is>
          <t>1.5 lb</t>
        </is>
      </c>
      <c r="D5" s="372" t="n">
        <v>36</v>
      </c>
      <c r="E5" s="372" t="n">
        <v>79.41</v>
      </c>
      <c r="F5" s="371" t="n">
        <v>13.6</v>
      </c>
      <c r="G5" s="371" t="inlineStr">
        <is>
          <t>Amazon</t>
        </is>
      </c>
    </row>
    <row r="6">
      <c r="A6" s="371" t="n">
        <v>5</v>
      </c>
      <c r="B6" s="371" t="inlineStr">
        <is>
          <t>Maple Hill 100% Grass-Fed Organic Whole Milk</t>
        </is>
      </c>
      <c r="C6" s="371" t="inlineStr">
        <is>
          <t>64 oz</t>
        </is>
      </c>
      <c r="D6" s="372" t="n">
        <v>7.49</v>
      </c>
      <c r="E6" s="372" t="n">
        <v>57.03</v>
      </c>
      <c r="F6" s="371" t="n">
        <v>3.9</v>
      </c>
      <c r="G6" s="371" t="inlineStr">
        <is>
          <t>Amazon WFM</t>
        </is>
      </c>
    </row>
    <row r="7">
      <c r="A7" s="371" t="n">
        <v>6</v>
      </c>
      <c r="B7" s="371" t="inlineStr">
        <is>
          <t>KOYAH Organic Broccoli Sprout Powder (freeze-dried)</t>
        </is>
      </c>
      <c r="C7" s="371" t="inlineStr">
        <is>
          <t>122g</t>
        </is>
      </c>
      <c r="D7" s="372" t="n">
        <v>44.39</v>
      </c>
      <c r="E7" s="372" t="n">
        <v>54.58</v>
      </c>
      <c r="F7" s="371" t="n">
        <v>24.4</v>
      </c>
      <c r="G7" s="371" t="inlineStr">
        <is>
          <t>Amazon</t>
        </is>
      </c>
    </row>
    <row r="8">
      <c r="A8" s="371" t="n">
        <v>7</v>
      </c>
      <c r="B8" s="371" t="inlineStr">
        <is>
          <t>Great Value Organic Berry Medley</t>
        </is>
      </c>
      <c r="C8" s="371" t="inlineStr">
        <is>
          <t>16 oz</t>
        </is>
      </c>
      <c r="D8" s="372" t="n">
        <v>3.52</v>
      </c>
      <c r="E8" s="372" t="n">
        <v>51.26</v>
      </c>
      <c r="F8" s="371" t="n">
        <v>2.1</v>
      </c>
      <c r="G8" s="371" t="inlineStr">
        <is>
          <t>Walmart</t>
        </is>
      </c>
    </row>
    <row r="9">
      <c r="A9" s="371" t="n">
        <v>8</v>
      </c>
      <c r="B9" s="371" t="inlineStr">
        <is>
          <t>Nutricost Grass-Fed Whey Protein Isolate</t>
        </is>
      </c>
      <c r="C9" s="371" t="inlineStr">
        <is>
          <t>5 lb</t>
        </is>
      </c>
      <c r="D9" s="372" t="n">
        <v>106.95</v>
      </c>
      <c r="E9" s="372" t="n">
        <v>42.44</v>
      </c>
      <c r="F9" s="371" t="n">
        <v>75.59999999999999</v>
      </c>
      <c r="G9" s="371" t="inlineStr">
        <is>
          <t>Amazon</t>
        </is>
      </c>
    </row>
    <row r="10">
      <c r="A10" s="371" t="n">
        <v>9</v>
      </c>
      <c r="B10" s="371" t="inlineStr">
        <is>
          <t>Jade Leaf Organic Culinary Matcha</t>
        </is>
      </c>
      <c r="C10" s="371" t="inlineStr">
        <is>
          <t>100g</t>
        </is>
      </c>
      <c r="D10" s="372" t="n">
        <v>27.99</v>
      </c>
      <c r="E10" s="372" t="n">
        <v>41.99</v>
      </c>
      <c r="F10" s="371" t="n">
        <v>20</v>
      </c>
      <c r="G10" s="371" t="inlineStr">
        <is>
          <t>Amazon</t>
        </is>
      </c>
    </row>
    <row r="11">
      <c r="A11" s="371" t="n">
        <v>10</v>
      </c>
      <c r="B11" s="371" t="inlineStr">
        <is>
          <t>Great Lakes Grass-Fed Collagen Peptides</t>
        </is>
      </c>
      <c r="C11" s="371" t="inlineStr">
        <is>
          <t>16 oz</t>
        </is>
      </c>
      <c r="D11" s="372" t="n">
        <v>29.99</v>
      </c>
      <c r="E11" s="372" t="n">
        <v>29.7</v>
      </c>
      <c r="F11" s="371" t="n">
        <v>30.3</v>
      </c>
      <c r="G11" s="371" t="inlineStr">
        <is>
          <t>Amazon</t>
        </is>
      </c>
    </row>
    <row r="12">
      <c r="A12" s="371" t="n">
        <v>11</v>
      </c>
      <c r="B12" s="371" t="inlineStr">
        <is>
          <t>Thorne Creatine Monohydrate (NSF)</t>
        </is>
      </c>
      <c r="C12" s="371" t="inlineStr">
        <is>
          <t>90 srv</t>
        </is>
      </c>
      <c r="D12" s="372" t="n">
        <v>44</v>
      </c>
      <c r="E12" s="372" t="n">
        <v>29.33</v>
      </c>
      <c r="F12" s="371" t="n">
        <v>45</v>
      </c>
      <c r="G12" s="371" t="inlineStr">
        <is>
          <t>Amazon</t>
        </is>
      </c>
    </row>
    <row r="13">
      <c r="A13" s="371" t="n">
        <v>12</v>
      </c>
      <c r="B13" s="371" t="inlineStr">
        <is>
          <t>NOW Foods Sunflower Lecithin Powder</t>
        </is>
      </c>
      <c r="C13" s="371" t="inlineStr">
        <is>
          <t>1 lb</t>
        </is>
      </c>
      <c r="D13" s="372" t="n">
        <v>18.99</v>
      </c>
      <c r="E13" s="372" t="n">
        <v>25.1</v>
      </c>
      <c r="F13" s="371" t="n">
        <v>22.7</v>
      </c>
      <c r="G13" s="371" t="inlineStr">
        <is>
          <t>Amazon</t>
        </is>
      </c>
    </row>
    <row r="14">
      <c r="A14" s="371" t="n">
        <v>13</v>
      </c>
      <c r="B14" s="371" t="inlineStr">
        <is>
          <t>Food to Live Organic Red Lentil Flour</t>
        </is>
      </c>
      <c r="C14" s="371" t="inlineStr">
        <is>
          <t>1 lb</t>
        </is>
      </c>
      <c r="D14" s="372" t="n">
        <v>14.13</v>
      </c>
      <c r="E14" s="372" t="n">
        <v>23.34</v>
      </c>
      <c r="F14" s="371" t="n">
        <v>18.2</v>
      </c>
      <c r="G14" s="371" t="inlineStr">
        <is>
          <t>Amazon</t>
        </is>
      </c>
    </row>
    <row r="15">
      <c r="A15" s="371" t="n">
        <v>14</v>
      </c>
      <c r="B15" s="371" t="inlineStr">
        <is>
          <t>NOW Foods Slender Zero Organic Allulose</t>
        </is>
      </c>
      <c r="C15" s="371" t="inlineStr">
        <is>
          <t>12 oz</t>
        </is>
      </c>
      <c r="D15" s="372" t="n">
        <v>13</v>
      </c>
      <c r="E15" s="372" t="n">
        <v>22.94</v>
      </c>
      <c r="F15" s="371" t="n">
        <v>17</v>
      </c>
      <c r="G15" s="371" t="inlineStr">
        <is>
          <t>Amazon</t>
        </is>
      </c>
    </row>
    <row r="16">
      <c r="A16" s="371" t="n">
        <v>15</v>
      </c>
      <c r="B16" s="371" t="inlineStr">
        <is>
          <t>Fresh Whole Avocados (cube + freeze)</t>
        </is>
      </c>
      <c r="C16" s="371" t="inlineStr">
        <is>
          <t>each</t>
        </is>
      </c>
      <c r="D16" s="372" t="n">
        <v>0.8</v>
      </c>
      <c r="E16" s="372" t="n">
        <v>19.2</v>
      </c>
      <c r="F16" s="371" t="n">
        <v>1.2</v>
      </c>
      <c r="G16" s="371" t="inlineStr">
        <is>
          <t>Walmart</t>
        </is>
      </c>
    </row>
    <row r="17">
      <c r="A17" s="371" t="n">
        <v>16</v>
      </c>
      <c r="B17" s="371" t="inlineStr">
        <is>
          <t>Nutrex Hawaii BioAstin Astaxanthin 12mg</t>
        </is>
      </c>
      <c r="C17" s="371" t="inlineStr">
        <is>
          <t>50 ct</t>
        </is>
      </c>
      <c r="D17" s="372" t="n">
        <v>31.99</v>
      </c>
      <c r="E17" s="372" t="n">
        <v>19.19</v>
      </c>
      <c r="F17" s="371" t="n">
        <v>50</v>
      </c>
      <c r="G17" s="371" t="inlineStr">
        <is>
          <t>Amazon</t>
        </is>
      </c>
    </row>
    <row r="18">
      <c r="A18" s="371" t="n">
        <v>17</v>
      </c>
      <c r="B18" s="371" t="inlineStr">
        <is>
          <t>Terrasoul Organic Goji Berries</t>
        </is>
      </c>
      <c r="C18" s="371" t="inlineStr">
        <is>
          <t>2 lb</t>
        </is>
      </c>
      <c r="D18" s="372" t="n">
        <v>31.99</v>
      </c>
      <c r="E18" s="372" t="n">
        <v>15.87</v>
      </c>
      <c r="F18" s="371" t="n">
        <v>60.5</v>
      </c>
      <c r="G18" s="371" t="inlineStr">
        <is>
          <t>Amazon</t>
        </is>
      </c>
    </row>
    <row r="19">
      <c r="A19" s="371" t="n">
        <v>18</v>
      </c>
      <c r="B19" s="371" t="inlineStr">
        <is>
          <t>Vanilla Extract, Pure</t>
        </is>
      </c>
      <c r="C19" s="371" t="inlineStr">
        <is>
          <t>4 oz</t>
        </is>
      </c>
      <c r="D19" s="372" t="n">
        <v>11</v>
      </c>
      <c r="E19" s="372" t="n">
        <v>13.98</v>
      </c>
      <c r="F19" s="371" t="n">
        <v>23.6</v>
      </c>
      <c r="G19" s="371" t="inlineStr">
        <is>
          <t>Walmart</t>
        </is>
      </c>
    </row>
    <row r="20">
      <c r="A20" s="371" t="n">
        <v>19</v>
      </c>
      <c r="B20" s="371" t="inlineStr">
        <is>
          <t>Whole Seedless Watermelon (cube + freeze)</t>
        </is>
      </c>
      <c r="C20" s="371" t="inlineStr">
        <is>
          <t>whole</t>
        </is>
      </c>
      <c r="D20" s="372" t="n">
        <v>5</v>
      </c>
      <c r="E20" s="372" t="n">
        <v>13.2</v>
      </c>
      <c r="F20" s="371" t="n">
        <v>11.4</v>
      </c>
      <c r="G20" s="371" t="inlineStr">
        <is>
          <t>Walmart</t>
        </is>
      </c>
    </row>
    <row r="21">
      <c r="A21" s="371" t="n">
        <v>20</v>
      </c>
      <c r="B21" s="371" t="inlineStr">
        <is>
          <t>Organic India Whole Husk Psyllium</t>
        </is>
      </c>
      <c r="C21" s="371" t="inlineStr">
        <is>
          <t>12 oz</t>
        </is>
      </c>
      <c r="D21" s="372" t="n">
        <v>17.97</v>
      </c>
      <c r="E21" s="372" t="n">
        <v>11.09</v>
      </c>
      <c r="F21" s="371" t="n">
        <v>48.6</v>
      </c>
      <c r="G21" s="371" t="inlineStr">
        <is>
          <t>Amazon</t>
        </is>
      </c>
    </row>
    <row r="22">
      <c r="A22" s="371" t="n">
        <v>21</v>
      </c>
      <c r="B22" s="371" t="inlineStr">
        <is>
          <t>Medjool Dates (pitted, 1/day)</t>
        </is>
      </c>
      <c r="C22" s="371" t="inlineStr">
        <is>
          <t>2 lb</t>
        </is>
      </c>
      <c r="D22" s="372" t="n">
        <v>13</v>
      </c>
      <c r="E22" s="372" t="n">
        <v>10.83</v>
      </c>
      <c r="F22" s="371" t="n">
        <v>37.8</v>
      </c>
      <c r="G22" s="371" t="inlineStr">
        <is>
          <t>Walmart</t>
        </is>
      </c>
    </row>
    <row r="23">
      <c r="A23" s="371" t="n">
        <v>22</v>
      </c>
      <c r="B23" s="371" t="inlineStr">
        <is>
          <t>365 Organic Frozen Kale</t>
        </is>
      </c>
      <c r="C23" s="371" t="inlineStr">
        <is>
          <t>16 oz</t>
        </is>
      </c>
      <c r="D23" s="372" t="n">
        <v>2.49</v>
      </c>
      <c r="E23" s="372" t="n">
        <v>9.869999999999999</v>
      </c>
      <c r="F23" s="371" t="n">
        <v>7.6</v>
      </c>
      <c r="G23" s="371" t="inlineStr">
        <is>
          <t>Amazon WFM</t>
        </is>
      </c>
    </row>
    <row r="24">
      <c r="A24" s="371" t="n">
        <v>23</v>
      </c>
      <c r="B24" s="371" t="inlineStr">
        <is>
          <t>Just About Foods Organic Green Banana Flour</t>
        </is>
      </c>
      <c r="C24" s="371" t="inlineStr">
        <is>
          <t>1 lb</t>
        </is>
      </c>
      <c r="D24" s="372" t="n">
        <v>14.99</v>
      </c>
      <c r="E24" s="372" t="n">
        <v>9.91</v>
      </c>
      <c r="F24" s="371" t="n">
        <v>45.4</v>
      </c>
      <c r="G24" s="371" t="inlineStr">
        <is>
          <t>Amazon</t>
        </is>
      </c>
    </row>
    <row r="25">
      <c r="A25" s="371" t="n">
        <v>24</v>
      </c>
      <c r="B25" s="371" t="inlineStr">
        <is>
          <t>Raw Beets (cook weekly, eat on side)</t>
        </is>
      </c>
      <c r="C25" s="371" t="inlineStr">
        <is>
          <t>1 lb</t>
        </is>
      </c>
      <c r="D25" s="372" t="n">
        <v>1.5</v>
      </c>
      <c r="E25" s="372" t="n">
        <v>9.91</v>
      </c>
      <c r="F25" s="371" t="n">
        <v>4.5</v>
      </c>
      <c r="G25" s="371" t="inlineStr">
        <is>
          <t>Walmart</t>
        </is>
      </c>
    </row>
    <row r="26">
      <c r="A26" s="371" t="n">
        <v>25</v>
      </c>
      <c r="B26" s="371" t="inlineStr">
        <is>
          <t>365 Organic Frozen Spinach</t>
        </is>
      </c>
      <c r="C26" s="371" t="inlineStr">
        <is>
          <t>16 oz</t>
        </is>
      </c>
      <c r="D26" s="372" t="n">
        <v>2.49</v>
      </c>
      <c r="E26" s="372" t="n">
        <v>8.23</v>
      </c>
      <c r="F26" s="371" t="n">
        <v>9.1</v>
      </c>
      <c r="G26" s="371" t="inlineStr">
        <is>
          <t>Amazon WFM</t>
        </is>
      </c>
    </row>
    <row r="27">
      <c r="A27" s="371" t="n">
        <v>26</v>
      </c>
      <c r="B27" s="371" t="inlineStr">
        <is>
          <t>Simply Organic Ceylon Cinnamon</t>
        </is>
      </c>
      <c r="C27" s="371" t="inlineStr">
        <is>
          <t>2.08 oz</t>
        </is>
      </c>
      <c r="D27" s="372" t="n">
        <v>7.29</v>
      </c>
      <c r="E27" s="372" t="n">
        <v>7.41</v>
      </c>
      <c r="F27" s="371" t="n">
        <v>29.5</v>
      </c>
      <c r="G27" s="371" t="inlineStr">
        <is>
          <t>Amazon</t>
        </is>
      </c>
    </row>
    <row r="28">
      <c r="A28" s="371" t="n">
        <v>27</v>
      </c>
      <c r="B28" s="371" t="inlineStr">
        <is>
          <t>Mount Hagen Organic Instant Coffee</t>
        </is>
      </c>
      <c r="C28" s="371" t="inlineStr">
        <is>
          <t>1.76 oz</t>
        </is>
      </c>
      <c r="D28" s="372" t="n">
        <v>9.710000000000001</v>
      </c>
      <c r="E28" s="372" t="n">
        <v>5.83</v>
      </c>
      <c r="F28" s="371" t="n">
        <v>50</v>
      </c>
      <c r="G28" s="371" t="inlineStr">
        <is>
          <t>Amazon</t>
        </is>
      </c>
    </row>
    <row r="29">
      <c r="A29" s="371" t="n">
        <v>28</v>
      </c>
      <c r="B29" s="371" t="inlineStr">
        <is>
          <t>NOW Foods Organic Acacia Fiber Powder</t>
        </is>
      </c>
      <c r="C29" s="371" t="inlineStr">
        <is>
          <t>12 oz</t>
        </is>
      </c>
      <c r="D29" s="372" t="n">
        <v>12</v>
      </c>
      <c r="E29" s="372" t="n">
        <v>5.29</v>
      </c>
      <c r="F29" s="371" t="n">
        <v>68</v>
      </c>
      <c r="G29" s="371" t="inlineStr">
        <is>
          <t>Amazon</t>
        </is>
      </c>
    </row>
    <row r="30">
      <c r="A30" s="371" t="n">
        <v>29</v>
      </c>
      <c r="B30" s="371" t="inlineStr">
        <is>
          <t>Micro Ingredients Organic Chicory Root Inulin</t>
        </is>
      </c>
      <c r="C30" s="371" t="inlineStr">
        <is>
          <t>2 lb</t>
        </is>
      </c>
      <c r="D30" s="372" t="n">
        <v>30</v>
      </c>
      <c r="E30" s="372" t="n">
        <v>2.98</v>
      </c>
      <c r="F30" s="371" t="n">
        <v>302.3</v>
      </c>
      <c r="G30" s="371" t="inlineStr">
        <is>
          <t>Amazon</t>
        </is>
      </c>
    </row>
    <row r="31">
      <c r="A31" s="371" t="n">
        <v>30</v>
      </c>
      <c r="B31" s="371" t="inlineStr">
        <is>
          <t>NOW Foods Taurine Pure Powder</t>
        </is>
      </c>
      <c r="C31" s="371" t="inlineStr">
        <is>
          <t>8 oz</t>
        </is>
      </c>
      <c r="D31" s="372" t="n">
        <v>10.4</v>
      </c>
      <c r="E31" s="372" t="n">
        <v>2.06</v>
      </c>
      <c r="F31" s="371" t="n">
        <v>151.3</v>
      </c>
      <c r="G31" s="371" t="inlineStr">
        <is>
          <t>Amazon</t>
        </is>
      </c>
    </row>
    <row r="32">
      <c r="A32" s="371" t="n">
        <v>31</v>
      </c>
      <c r="B32" s="371" t="inlineStr">
        <is>
          <t>365 Organic Ground Mustard Seed</t>
        </is>
      </c>
      <c r="C32" s="371" t="inlineStr">
        <is>
          <t>1.69 oz</t>
        </is>
      </c>
      <c r="D32" s="372" t="n">
        <v>4.29</v>
      </c>
      <c r="E32" s="372" t="n">
        <v>1.34</v>
      </c>
      <c r="F32" s="371" t="n">
        <v>96</v>
      </c>
      <c r="G32" s="371" t="inlineStr">
        <is>
          <t>Amazon WFM</t>
        </is>
      </c>
    </row>
    <row r="33">
      <c r="A33" s="371" t="n">
        <v>32</v>
      </c>
      <c r="B33" s="371" t="inlineStr">
        <is>
          <t>Morton Iodized Himalayan Pink Salt</t>
        </is>
      </c>
      <c r="C33" s="371" t="inlineStr">
        <is>
          <t>22 oz</t>
        </is>
      </c>
      <c r="D33" s="372" t="n">
        <v>6.78</v>
      </c>
      <c r="E33" s="372" t="n">
        <v>0.33</v>
      </c>
      <c r="F33" s="371" t="n">
        <v>623</v>
      </c>
      <c r="G33" s="371" t="inlineStr">
        <is>
          <t>Walmart</t>
        </is>
      </c>
    </row>
    <row r="34">
      <c r="B34" s="373" t="inlineStr">
        <is>
          <t>TOTAL (32 items)</t>
        </is>
      </c>
      <c r="E34" s="374" t="n">
        <v>1138.07</v>
      </c>
    </row>
    <row r="35">
      <c r="B35" s="371" t="inlineStr">
        <is>
          <t>CA Sales Tax (10.5% on supplements only)</t>
        </is>
      </c>
      <c r="E35" s="372" t="n">
        <v>19.5</v>
      </c>
    </row>
    <row r="36">
      <c r="B36" s="373" t="inlineStr">
        <is>
          <t>GRAND TOTAL (with tax)</t>
        </is>
      </c>
      <c r="E36" s="374" t="n">
        <v>1157.57</v>
      </c>
    </row>
    <row r="38">
      <c r="B38" s="375" t="inlineStr">
        <is>
          <t>NOTE: Cacao is $231/mo at 50g/day. Switching to defatted cacao powder would reduce to ~$33/mo.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2026-04-13T03:07:15Z</dcterms:created>
  <dcterms:modified xsi:type="dcterms:W3CDTF">2026-05-13T17:55:21Z</dcterms:modified>
  <cp:revision>2</cp:revision>
</cp:coreProperties>
</file>